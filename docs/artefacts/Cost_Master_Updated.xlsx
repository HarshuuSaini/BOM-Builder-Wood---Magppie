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78cc02aa040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TCHEN" sheetId="1" r:id="Ref6df94f6a47492c"/>
    <x:sheet xmlns:r="http://schemas.openxmlformats.org/officeDocument/2006/relationships" name="Sheet2" sheetId="2" r:id="R0ebf1e427d894381"/>
    <x:sheet xmlns:r="http://schemas.openxmlformats.org/officeDocument/2006/relationships" name="Sheet1" sheetId="3" r:id="Rc8f7e0c33fb14080"/>
  </x:sheets>
</x:workbook>
</file>

<file path=xl/sharedStrings.xml><?xml version="1.0" encoding="utf-8"?>
<x:sst xmlns:x="http://schemas.openxmlformats.org/spreadsheetml/2006/main">
  <x:si>
    <x:t xml:space="preserve">S. No.</x:t>
  </x:si>
  <x:si>
    <x:t xml:space="preserve">Elevation</x:t>
  </x:si>
  <x:si>
    <x:t xml:space="preserve">Material Description</x:t>
  </x:si>
  <x:si>
    <x:t xml:space="preserve">Remark</x:t>
  </x:si>
  <x:si>
    <x:t xml:space="preserve">Unit Cost</x:t>
  </x:si>
  <x:si>
    <x:t xml:space="preserve">Unit</x:t>
  </x:si>
  <x:si>
    <x:t xml:space="preserve">SQFT</x:t>
  </x:si>
  <x:si>
    <x:t xml:space="preserve">Price</x:t>
  </x:si>
  <x:si>
    <x:t xml:space="preserve">Sq.FT. Price</x:t>
  </x:si>
  <x:si>
    <x:t xml:space="preserve">CARCASS PRELAM HDHMR</x:t>
  </x:si>
  <x:si>
    <x:t xml:space="preserve">HDHMR BSL 2440X1220X18 WARM WHITE 31 TRE</x:t>
  </x:si>
  <x:si>
    <x:t xml:space="preserve">Pcs</x:t>
  </x:si>
  <x:si>
    <x:t xml:space="preserve">HDHMR SF BSL 2440X1220X16 WARM WHITE 31 TRE</x:t>
  </x:si>
  <x:si>
    <x:t xml:space="preserve">HDHMR SF BSL 2440X1220X8 WARM WHITE 31 TRE</x:t>
  </x:si>
  <x:si>
    <x:t xml:space="preserve">CARCASS PRELAM PARTICAL</x:t>
  </x:si>
  <x:si>
    <x:t xml:space="preserve">PARTICAL BOARD BSL 2440X1220X18 WARM WHITE 31 TRE</x:t>
  </x:si>
  <x:si>
    <x:t xml:space="preserve">PARTICAL BOARD BSL 2440X1220X16 WARM WHITE 31 TRE</x:t>
  </x:si>
  <x:si>
    <x:t xml:space="preserve">PARTICAL BOARD BSL 2440X1220X8 WARM WHITE 31 TRE</x:t>
  </x:si>
  <x:si>
    <x:t xml:space="preserve">CARCASS PRELAM MDF</x:t>
  </x:si>
  <x:si>
    <x:t xml:space="preserve">MDF BSL 2440X1220X18 WARM WHITE 31 TRE</x:t>
  </x:si>
  <x:si>
    <x:t xml:space="preserve">MDF SF BSL 2440X1220X16 WARM WHITE 31 TRE</x:t>
  </x:si>
  <x:si>
    <x:t xml:space="preserve">MDF SF BSL 2440X1220X8 WARM WHITE 31 TRE</x:t>
  </x:si>
  <x:si>
    <x:t xml:space="preserve">CARCASS POSTLAM HDHMR</x:t>
  </x:si>
  <x:si>
    <x:t xml:space="preserve">POSTLAM HDHMR BOARD BSL 2440X1220X18 WHITE 1002 AMU</x:t>
  </x:si>
  <x:si>
    <x:t xml:space="preserve">0.7MM</x:t>
  </x:si>
  <x:si>
    <x:t xml:space="preserve">POSTLAM HDHMR BOARD BSL 2440X1220X16 WHITE 1002 AMU</x:t>
  </x:si>
  <x:si>
    <x:t xml:space="preserve">POSTLAM HDHMR BOARD BSL 2440X1220X9 WHITE 1002 AMU</x:t>
  </x:si>
  <x:si>
    <x:t xml:space="preserve">CARCASS POSTLAM PARTICAL</x:t>
  </x:si>
  <x:si>
    <x:t xml:space="preserve">POSTLAM PARTICLE BOARD BSL 2440X1220X18 WHITE 1002 AMU</x:t>
  </x:si>
  <x:si>
    <x:t xml:space="preserve">POSTLAM PARTICLE BOARD BSL 2440X1220X16 WHITE 1002 AMU</x:t>
  </x:si>
  <x:si>
    <x:t xml:space="preserve">POSTLAM PARTICLE BOARD BSL 2440X1220X10 WHITE 1002 AMU</x:t>
  </x:si>
  <x:si>
    <x:t xml:space="preserve">CARCASS POSTLAM MDF</x:t>
  </x:si>
  <x:si>
    <x:t xml:space="preserve">POSTLAM MDF BOARD BSL 2440X1220X18 WHITE 1002 AMU</x:t>
  </x:si>
  <x:si>
    <x:t xml:space="preserve">POSTLAM MDF BOARD BSL 2440X1220X16 WHITE 1002 AMU</x:t>
  </x:si>
  <x:si>
    <x:t xml:space="preserve">POSTLAM MDF BOARD BSL 2440X1220X8 WHITE 1002 AMU</x:t>
  </x:si>
  <x:si>
    <x:t xml:space="preserve">CARCASS POSTLAM BWP PLY</x:t>
  </x:si>
  <x:si>
    <x:t xml:space="preserve">POSTLAM BWP PLY BOARD BSL 2440X1220X18 WHITE 1002 AMU</x:t>
  </x:si>
  <x:si>
    <x:t xml:space="preserve">POSTLAM BWP PLY BOARD BSL 2440X1220X15 WHITE 1002 AMU</x:t>
  </x:si>
  <x:si>
    <x:t xml:space="preserve">POSTLAM PLY BOARD BSL 2440X1220X8 WHITE 1002 AMU</x:t>
  </x:si>
  <x:si>
    <x:t xml:space="preserve">CARCASS</x:t>
  </x:si>
  <x:si>
    <x:t xml:space="preserve">EB MATT X0.8X22 FROSTY WHITE 6346 SID</x:t>
  </x:si>
  <x:si>
    <x:t xml:space="preserve">Mtr</x:t>
  </x:si>
  <x:si>
    <x:t xml:space="preserve">VISIBLE SIDE PRELAM HDHMR</x:t>
  </x:si>
  <x:si>
    <x:t xml:space="preserve">HDHMR OSL 2440X1220X18 WHITE_OUTER SHUTTER MATCHING LAM 1</x:t>
  </x:si>
  <x:si>
    <x:t xml:space="preserve">VISIBLE SIDE PRELAM PARTICAL</x:t>
  </x:si>
  <x:si>
    <x:t xml:space="preserve">PARTICAL OSL 2440X1220X18 WHITE_OUTER SHUTTER MATCHING LAM 1</x:t>
  </x:si>
  <x:si>
    <x:t xml:space="preserve">VISIBLE SIDE PRELAM MDF</x:t>
  </x:si>
  <x:si>
    <x:t xml:space="preserve">MDF OSL 2440X1220X18 WHITE_OUTER SHUTTER MATCHING LAM 1</x:t>
  </x:si>
  <x:si>
    <x:t xml:space="preserve">VISIBLE SIDE POSTLAM HDHMR</x:t>
  </x:si>
  <x:si>
    <x:t xml:space="preserve">POSTLAM HDHMR OSL 2440X1220X18 WHITE_OUTER SHUTTER MATCHING LAM 1</x:t>
  </x:si>
  <x:si>
    <x:t xml:space="preserve">1MM</x:t>
  </x:si>
  <x:si>
    <x:t xml:space="preserve">VISIBLE SIDE POSTLAM PARTICAL</x:t>
  </x:si>
  <x:si>
    <x:t xml:space="preserve">POSTLAM PARTICAL OSL 2440X1220X18 WHITE_OUTER SHUTTER MATCHING LAM 1</x:t>
  </x:si>
  <x:si>
    <x:t xml:space="preserve">VISIBLE SIDE POSTLAM MDF</x:t>
  </x:si>
  <x:si>
    <x:t xml:space="preserve">POSTLAM MDF OSL 2440X1220X18 WHITE_OUTER SHUTTER MATCHING LAM 1</x:t>
  </x:si>
  <x:si>
    <x:t xml:space="preserve">VISIBLE SIDE POSTLAM BWP PLY</x:t>
  </x:si>
  <x:si>
    <x:t xml:space="preserve">POSTLAM BWP PLY OSL 2440X1220X18 WHITE_OUTER SHUTTER MATCHING LAM 1</x:t>
  </x:si>
  <x:si>
    <x:t xml:space="preserve">VISIBLE SIDE</x:t>
  </x:si>
  <x:si>
    <x:t xml:space="preserve">EB 0.80 Mm X 22 Mm Shutter Matching</x:t>
  </x:si>
  <x:si>
    <x:t xml:space="preserve">COUNTER MATERIAL</x:t>
  </x:si>
  <x:si>
    <x:t xml:space="preserve">PLY RAW/PLAIN BWR CALIBRATED 2440X1220X16 FLO</x:t>
  </x:si>
  <x:si>
    <x:t xml:space="preserve">RAW</x:t>
  </x:si>
  <x:si>
    <x:t xml:space="preserve">Nos.</x:t>
  </x:si>
  <x:si>
    <x:t xml:space="preserve">SHUTTER PRELAM HDHMR</x:t>
  </x:si>
  <x:si>
    <x:t xml:space="preserve">SHUTTER PRELAM PARTICAL</x:t>
  </x:si>
  <x:si>
    <x:t xml:space="preserve">SHUTTER PRELAM MDF</x:t>
  </x:si>
  <x:si>
    <x:t xml:space="preserve">SHUTTER POSTLAM HDHMR</x:t>
  </x:si>
  <x:si>
    <x:t xml:space="preserve">SHUTTER POSTLAM PARTICAL</x:t>
  </x:si>
  <x:si>
    <x:t xml:space="preserve">SHUTTER POSTLAM MDF</x:t>
  </x:si>
  <x:si>
    <x:t xml:space="preserve">SHUTTER POSTLAM BWP PLY</x:t>
  </x:si>
  <x:si>
    <x:t xml:space="preserve">SHUTTER</x:t>
  </x:si>
  <x:si>
    <x:t xml:space="preserve">PASTING MATERIAL</x:t>
  </x:si>
  <x:si>
    <x:t xml:space="preserve">GLUE TRANS FOR EDGE BAND 773.8 KLE</x:t>
  </x:si>
  <x:si>
    <x:t xml:space="preserve">4 Grm / mtr</x:t>
  </x:si>
  <x:si>
    <x:t xml:space="preserve">Kg.</x:t>
  </x:si>
  <x:si>
    <x:t xml:space="preserve">GLASS SHUTTER</x:t>
  </x:si>
  <x:si>
    <x:t xml:space="preserve">ALU PROF FOR HANDLE DAP101 3000X45X22 LITE BRONZE 2430 OML</x:t>
  </x:si>
  <x:si>
    <x:t xml:space="preserve">NEON 50</x:t>
  </x:si>
  <x:si>
    <x:t xml:space="preserve">HANDLE</x:t>
  </x:si>
  <x:si>
    <x:t xml:space="preserve">ALU PROF FOR SHUTTER ASP-07 DAP107-45X22 LITE BRONZE 3 MTR W2.40KG OML</x:t>
  </x:si>
  <x:si>
    <x:t xml:space="preserve">Per Shutter 1 Set</x:t>
  </x:si>
  <x:si>
    <x:t xml:space="preserve">CORNER BRACKET GLASS SHUTTER PROF 62X62 GSP-CBM EBC</x:t>
  </x:si>
  <x:si>
    <x:t xml:space="preserve">Set</x:t>
  </x:si>
  <x:si>
    <x:t xml:space="preserve">ALU PROF NEON 20 L21XH22.5MM 3MTR S2/405 SEC.2468 OMALCO LITE BRONZE</x:t>
  </x:si>
  <x:si>
    <x:t xml:space="preserve">NEON 20</x:t>
  </x:si>
  <x:si>
    <x:t xml:space="preserve">ALU PROF FOR HANDLE SHUTTER NEON 22 22X20 D-553/SEC. 2474 OML LITE BRONZE</x:t>
  </x:si>
  <x:si>
    <x:t xml:space="preserve">GLASS 05 MM BLACK TINTED TOUGH EP 809X349MM</x:t>
  </x:si>
  <x:si>
    <x:t xml:space="preserve">Nos</x:t>
  </x:si>
  <x:si>
    <x:t xml:space="preserve">GLASS 05 MM BLACK TINTED TOUGH EP 589X349MM</x:t>
  </x:si>
  <x:si>
    <x:t xml:space="preserve">GLASS 06 MM CLEAR TOUGH EP 782X280 MM</x:t>
  </x:si>
  <x:si>
    <x:t xml:space="preserve">GLASS 06 MM CLEAR TOUGH EP 562X280 MM</x:t>
  </x:si>
  <x:si>
    <x:t xml:space="preserve">GLASS SHELF SUPPORT XX NIKEL PLATED GSS-1 EBC</x:t>
  </x:si>
  <x:si>
    <x:t xml:space="preserve">Ebco</x:t>
  </x:si>
  <x:si>
    <x:t xml:space="preserve">ASSEMBLY HARDWARE</x:t>
  </x:si>
  <x:si>
    <x:t xml:space="preserve">MINI FIX SET OF 3 PCS 9290887 + 9289656 + 40005 HET</x:t>
  </x:si>
  <x:si>
    <x:t xml:space="preserve">WOODEN DOWEL 8X40MM UTA</x:t>
  </x:si>
  <x:si>
    <x:t xml:space="preserve">SCREW FOR CHIP BOARD 16XX4MM MS NIKAL POLISH CINE</x:t>
  </x:si>
  <x:si>
    <x:t xml:space="preserve">SCREW FOR CHIP BOARD 30XX4MM MS NIKAL POLISH CINE</x:t>
  </x:si>
  <x:si>
    <x:t xml:space="preserve">SCREW FOR CHIP BOARD 25XX4MM MS NIKAL POLISH CINE</x:t>
  </x:si>
  <x:si>
    <x:t xml:space="preserve">INSERT PVC 13XX5 WHITE ID5 EBC</x:t>
  </x:si>
  <x:si>
    <x:t xml:space="preserve">FLIPPER SHELF SUPPORT XX14 WHITE SI02D/90 UTA</x:t>
  </x:si>
  <x:si>
    <x:t xml:space="preserve">FLIPPER SHELF SUPPORT SCREW XX 263.20.002 HAF</x:t>
  </x:si>
  <x:si>
    <x:t xml:space="preserve">END CONNECTOR FOR SINK PROF XX BLACK UTA</x:t>
  </x:si>
  <x:si>
    <x:t xml:space="preserve">DOOR BUMPER XX3 TRANSPERENT BS1-7 EBC</x:t>
  </x:si>
  <x:si>
    <x:t xml:space="preserve">HANGING BRACKET W/CVR AND BAR CRY</x:t>
  </x:si>
  <x:si>
    <x:t xml:space="preserve">PVC GITTI 62XX10 WHITE OM</x:t>
  </x:si>
  <x:si>
    <x:t xml:space="preserve">SCREW FOR CHIP BOARD 75XX6 SS 304 CINE</x:t>
  </x:si>
  <x:si>
    <x:t xml:space="preserve">BRACKET RIGHT ANGLE L TYPE 20X20X RAB-2 EBC</x:t>
  </x:si>
  <x:si>
    <x:t xml:space="preserve">L BRACKET RIGHT ANGLE 60X60 RAB 6</x:t>
  </x:si>
  <x:si>
    <x:t xml:space="preserve">KAKU FITTING FOR DUMMY PANEL FIXING CRY</x:t>
  </x:si>
  <x:si>
    <x:t xml:space="preserve">CABINET CONNECTOR 35X10X SS304 CNS-35S EBC</x:t>
  </x:si>
  <x:si>
    <x:t xml:space="preserve">LEG PLINTH BASE ADJUSTABLE LOAD CAP 500 KG XX50 ZINC ALLOY PB1 EBC</x:t>
  </x:si>
  <x:si>
    <x:t xml:space="preserve">DOOR SEAL PROFILE ANTHRACITE DSP-AT PER MTR EBC</x:t>
  </x:si>
  <x:si>
    <x:t xml:space="preserve">HANGING BRACKET BASE CABINET</x:t>
  </x:si>
  <x:si>
    <x:t xml:space="preserve">PVC BUFFER X10X LOC</x:t>
  </x:si>
  <x:si>
    <x:t xml:space="preserve">ALU PROF FOR HANDLE APHD-03 J TYPE 49X23 S2428-D513 4 MTR W1.140 KG OML BLACK</x:t>
  </x:si>
  <x:si>
    <x:t xml:space="preserve">ALU PROF FOR HANDLE C TYPE LEN. 4 MTR DR. SEW/S1/512-2426 /OML BLACK</x:t>
  </x:si>
  <x:si>
    <x:t xml:space="preserve">ALU PROF HANDLE APHD-05 LO 02 65X18MM S2440-D1068 3 MTR W2.27 KG OML BLACK</x:t>
  </x:si>
  <x:si>
    <x:t xml:space="preserve">END CAP FOR C TYPE PROFILE LH OML BLACK</x:t>
  </x:si>
  <x:si>
    <x:t xml:space="preserve">END CAP FOR C TYPE PROFILE RH OML BLACK</x:t>
  </x:si>
  <x:si>
    <x:t xml:space="preserve">END CAP FOR J TYPE PROFILE LH OML BLACK</x:t>
  </x:si>
  <x:si>
    <x:t xml:space="preserve">END CAP FOR J TYPE PROFILE RH OML BLACK</x:t>
  </x:si>
  <x:si>
    <x:t xml:space="preserve">FIXING PLATE 1100300010000 OML</x:t>
  </x:si>
  <x:si>
    <x:t xml:space="preserve">HINGE 0 CRANK</x:t>
  </x:si>
  <x:si>
    <x:t xml:space="preserve">HINGE -0 CRANK SLIDEON HAFELE</x:t>
  </x:si>
  <x:si>
    <x:t xml:space="preserve">Hafele</x:t>
  </x:si>
  <x:si>
    <x:t xml:space="preserve">HINGE BLIND</x:t>
  </x:si>
  <x:si>
    <x:t xml:space="preserve">HINGE BLIND CORNER 95/90 SLIDEON HAFELE</x:t>
  </x:si>
  <x:si>
    <x:t xml:space="preserve">HINGE C00 CRANK 100 DEG SOFT CLOSE WITH ARM CAPS XX 9281432 HET</x:t>
  </x:si>
  <x:si>
    <x:t xml:space="preserve">Hettich</x:t>
  </x:si>
  <x:si>
    <x:t xml:space="preserve">HINGE 95°/90 CLICK ON SOFT CLOSE BLIND CORNER XX 9243043 HET</x:t>
  </x:si>
  <x:si>
    <x:t xml:space="preserve">HINGE 165 Degree</x:t>
  </x:si>
  <x:si>
    <x:t xml:space="preserve">HINGE SLIM</x:t>
  </x:si>
  <x:si>
    <x:t xml:space="preserve">HINGE SLIM FOR ALU PROFILE 0 CRANK SOFT CLOSE 95 DEG  XX GUN BLACK DPOA-209 BLACK SQU</x:t>
  </x:si>
  <x:si>
    <x:t xml:space="preserve">LIAN</x:t>
  </x:si>
  <x:si>
    <x:t xml:space="preserve">DRAWER LOW BACK</x:t>
  </x:si>
  <x:si>
    <x:t xml:space="preserve">DRAWER ANTARO LOW BACK 30 KG 500XX83 GREY 6352694 BLUM</x:t>
  </x:si>
  <x:si>
    <x:t xml:space="preserve">BLUM</x:t>
  </x:si>
  <x:si>
    <x:t xml:space="preserve">DRAWER HIGH BACK</x:t>
  </x:si>
  <x:si>
    <x:t xml:space="preserve">DRAWER ANTARO HIGH BACK 30 KG 500XX203 GREY 6781326 BLUM</x:t>
  </x:si>
  <x:si>
    <x:t xml:space="preserve">DRAWER INNOTECH REGULAR H70 L470 LB HET</x:t>
  </x:si>
  <x:si>
    <x:t xml:space="preserve">HETTICH</x:t>
  </x:si>
  <x:si>
    <x:t xml:space="preserve">DRAWER INNOTECH POT &amp; PAN H144 L470 HB HET</x:t>
  </x:si>
  <x:si>
    <x:t xml:space="preserve">ACCESSORY</x:t>
  </x:si>
  <x:si>
    <x:t xml:space="preserve">PVC CUTLERY TRAY ORGA 600XX SILVER T440 9194937 HET</x:t>
  </x:si>
  <x:si>
    <x:t xml:space="preserve">PVC CUTLERY TRAY ORGA 900XX SILVER T440 919494000 HET</x:t>
  </x:si>
  <x:si>
    <x:t xml:space="preserve">LEMANS CORNER</x:t>
  </x:si>
  <x:si>
    <x:t xml:space="preserve">LEMANS CORNER SOFT CLOSE STYLE BASKET STYLE BASKET LH XX450 GREY 2105 ONXY</x:t>
  </x:si>
  <x:si>
    <x:t xml:space="preserve">ONXY</x:t>
  </x:si>
  <x:si>
    <x:t xml:space="preserve">GTPT</x:t>
  </x:si>
  <x:si>
    <x:t xml:space="preserve">DISH RACK SS 202 900X565X280 SS 304 SID</x:t>
  </x:si>
  <x:si>
    <x:t xml:space="preserve">DISH RACK SS 202 600X565X280 SS 304 FGV</x:t>
  </x:si>
  <x:si>
    <x:t xml:space="preserve">DETERGENT HOLDER</x:t>
  </x:si>
  <x:si>
    <x:t xml:space="preserve">DETERGENT HOLDER SS202 XX DOL</x:t>
  </x:si>
  <x:si>
    <x:t xml:space="preserve">WASTEBIN HOLDER</x:t>
  </x:si>
  <x:si>
    <x:t xml:space="preserve">WASTEBIN HOLDER SS202 XX DOL</x:t>
  </x:si>
  <x:si>
    <x:t xml:space="preserve">WASTEBIN</x:t>
  </x:si>
  <x:si>
    <x:t xml:space="preserve">WASTE BIN SS SWING OUT 14 LTR X364X400 SOWB3-14 EBC</x:t>
  </x:si>
  <x:si>
    <x:t xml:space="preserve">EBCO</x:t>
  </x:si>
  <x:si>
    <x:t xml:space="preserve">BPO 150</x:t>
  </x:si>
  <x:si>
    <x:t xml:space="preserve">BOTTLE PULLOUT SS202 100MM SS202 CHROME HG FOR CABINET 150MM DOL</x:t>
  </x:si>
  <x:si>
    <x:t xml:space="preserve">BPO 200</x:t>
  </x:si>
  <x:si>
    <x:t xml:space="preserve">BOTTLE PULLOUT SS202 154X500X400 MM CHROME HG FOR CABINET 200MM DOL</x:t>
  </x:si>
  <x:si>
    <x:t xml:space="preserve">BPO 300</x:t>
  </x:si>
  <x:si>
    <x:t xml:space="preserve">BOTTLE PULLOUT SS202 245X500X400 MM CHROME HG FOR CABINET 300MM DOL</x:t>
  </x:si>
  <x:si>
    <x:t xml:space="preserve">BPO Channel</x:t>
  </x:si>
  <x:si>
    <x:t xml:space="preserve">TELESCOPIC CHANNEL SOFT CLOSE 500XX SS304 KA4532 HET</x:t>
  </x:si>
  <x:si>
    <x:t xml:space="preserve">BAR LOCK</x:t>
  </x:si>
  <x:si>
    <x:t xml:space="preserve">LOCK FOR WARDROBE KIT STORAGE 2 POINT XX NIKEL PLATED OAK-1 EBC</x:t>
  </x:si>
  <x:si>
    <x:t xml:space="preserve">LOCK BAR 2 POINT OVERLAY ROD 1500XX22 P-WL2-22-S EBC</x:t>
  </x:si>
  <x:si>
    <x:t xml:space="preserve">DRAWER LOCK</x:t>
  </x:si>
  <x:si>
    <x:t xml:space="preserve">LOCK NEW MULTIPURPOSE W/ REV KEY 40X40X20 8000 GOD</x:t>
  </x:si>
  <x:si>
    <x:t xml:space="preserve">GODREJ</x:t>
  </x:si>
  <x:si>
    <x:t xml:space="preserve">LIGHT SWITCH</x:t>
  </x:si>
  <x:si>
    <x:t xml:space="preserve">DOOR CONTACT SWITCH BLACK HAR</x:t>
  </x:si>
  <x:si>
    <x:t xml:space="preserve">DRAWER</x:t>
  </x:si>
  <x:si>
    <x:t xml:space="preserve">QUADRO CHANNEL</x:t>
  </x:si>
  <x:si>
    <x:t xml:space="preserve">DYNAMOOV QUADRO WITH BRACKET SOFT CLOSE 500XX CDSS250 EBC</x:t>
  </x:si>
  <x:si>
    <x:t xml:space="preserve">DYNAMOOV QUADRO SOFT CLOSE SLIDE ON MOUNTING 450XX HET</x:t>
  </x:si>
  <x:si>
    <x:t xml:space="preserve">DYNAMOOV QUADRO SOFT CLOSE SLIDE ON MOUNTING 500XX HET</x:t>
  </x:si>
  <x:si>
    <x:t xml:space="preserve">LIGHT</x:t>
  </x:si>
  <x:si>
    <x:t xml:space="preserve">SURFACE MASTER</x:t>
  </x:si>
  <x:si>
    <x:t xml:space="preserve">ALU PROF FOR LIGHT PROJECT 3000X15.4X6.4 ANODISED 2464 OML</x:t>
  </x:si>
  <x:si>
    <x:t xml:space="preserve">PC DIFFUSER FOR LIGHT PROFILE S2/363 SEC. 2464 VAI</x:t>
  </x:si>
  <x:si>
    <x:t xml:space="preserve">LED LIGHT</x:t>
  </x:si>
  <x:si>
    <x:t xml:space="preserve">LIGHT FLEXIBLE LED STRIP 3000K, 120 LED/MTR, 60W, W-8MM XX WARM WHITE LOTUS</x:t>
  </x:si>
  <x:si>
    <x:t xml:space="preserve">GROOVE LIGHT</x:t>
  </x:si>
  <x:si>
    <x:t xml:space="preserve">LIGHT PROFILE FLEXIBLE LUMINAR XX TRANSPERENT LUM3 OP EBC</x:t>
  </x:si>
  <x:si>
    <x:t xml:space="preserve">LIGHT DRIVER</x:t>
  </x:si>
  <x:si>
    <x:t xml:space="preserve">LIGHT DRIVER LED STRIP 12V, 5AMP , 60W XX LED</x:t>
  </x:si>
  <x:si>
    <x:t xml:space="preserve">LIGHT DRIVER LED STRIP 12V, 2AMP , 24W XX LED</x:t>
  </x:si>
  <x:si>
    <x:t xml:space="preserve">WIRE</x:t>
  </x:si>
  <x:si>
    <x:t xml:space="preserve">LIGHT EXTENSION WIRE TWP SP XX 14/38 SNO</x:t>
  </x:si>
  <x:si>
    <x:t xml:space="preserve">Mtr.</x:t>
  </x:si>
  <x:si>
    <x:t xml:space="preserve">SPOT LIGHT</x:t>
  </x:si>
  <x:si>
    <x:t xml:space="preserve">LIGHT SURFACE ROUND SPOT 3 WATT XX WARM WHITE SMD LOTUS</x:t>
  </x:si>
  <x:si>
    <x:t xml:space="preserve">PVC SKIRTING &amp; LEG</x:t>
  </x:si>
  <x:si>
    <x:t xml:space="preserve">SKIRTING</x:t>
  </x:si>
  <x:si>
    <x:t xml:space="preserve">SKIRTING 100MM BLACK FINISH CRY</x:t>
  </x:si>
  <x:si>
    <x:t xml:space="preserve">SKIRTING 100MM STRAIGHT JOINT BLACK 90 DEG CRY</x:t>
  </x:si>
  <x:si>
    <x:t xml:space="preserve">SKIRTING CLIP FOR LEG Q PLINTH CRY</x:t>
  </x:si>
  <x:si>
    <x:t xml:space="preserve">LEG PVC 100 MM ADJUSTABLE CRY</x:t>
  </x:si>
  <x:si>
    <x:t xml:space="preserve">16,25,554.35</x:t>
  </x:si>
  <x:si>
    <x:t xml:space="preserve">4,70,57,454.77</x:t>
  </x:si>
  <x:si>
    <x:t xml:space="preserve">10,54,420.10</x:t>
  </x:si>
  <x:si>
    <x:t xml:space="preserve">Item ID</x:t>
  </x:si>
  <x:si>
    <x:t xml:space="preserve">Item Name</x:t>
  </x:si>
  <x:si>
    <x:t xml:space="preserve">HSN/SAC</x:t>
  </x:si>
  <x:si>
    <x:t xml:space="preserve">Rate</x:t>
  </x:si>
  <x:si>
    <x:t xml:space="preserve">Status</x:t>
  </x:si>
  <x:si>
    <x:t xml:space="preserve">Usage unit</x:t>
  </x:si>
  <x:si>
    <x:t xml:space="preserve">Purchase Rate</x:t>
  </x:si>
  <x:si>
    <x:t xml:space="preserve">Reorder Point</x:t>
  </x:si>
  <x:si>
    <x:t xml:space="preserve">Vendor</x:t>
  </x:si>
  <x:si>
    <x:t xml:space="preserve">Opening Stock</x:t>
  </x:si>
  <x:si>
    <x:t xml:space="preserve">Opening Stock Value</x:t>
  </x:si>
  <x:si>
    <x:t xml:space="preserve">Bin Quantity</x:t>
  </x:si>
  <x:si>
    <x:t xml:space="preserve">3418412000002167001</x:t>
  </x:si>
  <x:si>
    <x:t xml:space="preserve">AARDWOLF SLAB LIFTER</x:t>
  </x:si>
  <x:si>
    <x:t xml:space="preserve">3418412000002344445</x:t>
  </x:si>
  <x:si>
    <x:t xml:space="preserve">ABS PLATE TRAY 600 MM AAPT600 LAR</x:t>
  </x:si>
  <x:si>
    <x:t xml:space="preserve">3418412000002490701</x:t>
  </x:si>
  <x:si>
    <x:t xml:space="preserve">ACACIA TEAK WOOD 2100X200X100 MM</x:t>
  </x:si>
  <x:si>
    <x:t xml:space="preserve">3418412000002630005</x:t>
  </x:si>
  <x:si>
    <x:t xml:space="preserve">ACE DIESEL FORKLIFT TRUCK - MODEL AF 30D</x:t>
  </x:si>
  <x:si>
    <x:t xml:space="preserve">3418412000002630013</x:t>
  </x:si>
  <x:si>
    <x:t xml:space="preserve">ACRYLIC COVER FOR CANISTER X94.5X108.6 TRASPERENT LOC</x:t>
  </x:si>
  <x:si>
    <x:t xml:space="preserve">Active</x:t>
  </x:si>
  <x:si>
    <x:t xml:space="preserve">Modern Enterprises</x:t>
  </x:si>
  <x:si>
    <x:t xml:space="preserve">3418412000002630024</x:t>
  </x:si>
  <x:si>
    <x:t xml:space="preserve">ACRYLIC COVER WITH GASKET X59.7X76.9 TRASPERENT MOD</x:t>
  </x:si>
  <x:si>
    <x:t xml:space="preserve">3418412000002630035</x:t>
  </x:si>
  <x:si>
    <x:t xml:space="preserve">ADJUSTABLE PLATE HOLDER DJB PH DOR</x:t>
  </x:si>
  <x:si>
    <x:t xml:space="preserve">Crysta International</x:t>
  </x:si>
  <x:si>
    <x:t xml:space="preserve">3418412000002630046</x:t>
  </x:si>
  <x:si>
    <x:t xml:space="preserve">AKEMI 5010 FOR STONE POLISH 2.25 PER KG S</x:t>
  </x:si>
  <x:si>
    <x:t xml:space="preserve">KG</x:t>
  </x:si>
  <x:si>
    <x:t xml:space="preserve">3418412000002630057</x:t>
  </x:si>
  <x:si>
    <x:t xml:space="preserve">ALU. 06MM PLATE ROLLING SHUTTER 100X300MM</x:t>
  </x:si>
  <x:si>
    <x:t xml:space="preserve">3418412000002630068</x:t>
  </x:si>
  <x:si>
    <x:t xml:space="preserve">ALU. 06MM PLATE ROLLING SHUTTER 1256X25MM</x:t>
  </x:si>
  <x:si>
    <x:t xml:space="preserve">3418412000002630079</x:t>
  </x:si>
  <x:si>
    <x:t xml:space="preserve">ALU ANGLE 3MM THICK L ANGLE PROFILE 3600X50X25 W/OUT ANODISED OML</x:t>
  </x:si>
  <x:si>
    <x:t xml:space="preserve">3418412000002630090</x:t>
  </x:si>
  <x:si>
    <x:t xml:space="preserve">ALU ANGLE 3MM THICK L ANGLE PROFILE 3600X75X50 W/OUT ANODISED OML</x:t>
  </x:si>
  <x:si>
    <x:t xml:space="preserve">Omalco Extrusion Pvt. Ltd.</x:t>
  </x:si>
  <x:si>
    <x:t xml:space="preserve">3418412000002630101</x:t>
  </x:si>
  <x:si>
    <x:t xml:space="preserve">ALU ANGLE L TYPE 3000X30X3 RAW GE</x:t>
  </x:si>
  <x:si>
    <x:t xml:space="preserve">3418412000002630112</x:t>
  </x:si>
  <x:si>
    <x:t xml:space="preserve">ALU CORNER CONNECTOR FOR SMART CUBE 53X53X53 BLACK CSPC-AL-3WC EBC</x:t>
  </x:si>
  <x:si>
    <x:t xml:space="preserve">3418412000002630123</x:t>
  </x:si>
  <x:si>
    <x:t xml:space="preserve">ALU CORNER CONNECTOR FOR SMART CUBE 53X53X88 BLACK CSPC-AL-4WE EBC</x:t>
  </x:si>
  <x:si>
    <x:t xml:space="preserve">EBCO Pvt. Ltd.</x:t>
  </x:si>
  <x:si>
    <x:t xml:space="preserve">3418412000002630134</x:t>
  </x:si>
  <x:si>
    <x:t xml:space="preserve">ALU CORNER FOR SHUTTER PROF 858C BRUSHED GOLD LIGNA</x:t>
  </x:si>
  <x:si>
    <x:t xml:space="preserve">Topaz Enterprises</x:t>
  </x:si>
  <x:si>
    <x:t xml:space="preserve">3418412000002630145</x:t>
  </x:si>
  <x:si>
    <x:t xml:space="preserve">ALU DAP 101 PROFILE NEW HM-517 SIZE 45.5X24.24 WITH BRUSH GOLD 3 MTR W 0.60 KG/MTR MINA</x:t>
  </x:si>
  <x:si>
    <x:t xml:space="preserve">3418412000002630156</x:t>
  </x:si>
  <x:si>
    <x:t xml:space="preserve">ALU DAP 107 PROFILE WITH TITUS HANDLE HM-527 SIZE 300+450+500+600MM CERAMIC BLACK MINA</x:t>
  </x:si>
  <x:si>
    <x:t xml:space="preserve">3418412000002630167</x:t>
  </x:si>
  <x:si>
    <x:t xml:space="preserve">ALU DAP 107 PROFILE WITH TITUS HANDLE HM-527 SIZE 600+2400MM ANODISED CHAMPAGNE T-3 MINA</x:t>
  </x:si>
  <x:si>
    <x:t xml:space="preserve">3418412000002630178</x:t>
  </x:si>
  <x:si>
    <x:t xml:space="preserve">ALU DAP 107 PROFILE WITH TITUS HANDLE HM-527 SIZE 600+2400MM BRUSH GOLD MINA</x:t>
  </x:si>
  <x:si>
    <x:t xml:space="preserve">3418412000002630189</x:t>
  </x:si>
  <x:si>
    <x:t xml:space="preserve">ALU ELENOR 15 PROFILE SECTION NO 2493 3 MTR LITE BRONZE IMP</x:t>
  </x:si>
  <x:si>
    <x:t xml:space="preserve">3418412000002630200</x:t>
  </x:si>
  <x:si>
    <x:t xml:space="preserve">ALU ELENOR 15 PROFILE WITHOUT ANODIZE SECTION NO 2493 3 MTR OML</x:t>
  </x:si>
  <x:si>
    <x:t xml:space="preserve">3418412000002630211</x:t>
  </x:si>
  <x:si>
    <x:t xml:space="preserve">ALU FLAT 3000X150X6 RAW OML</x:t>
  </x:si>
  <x:si>
    <x:t xml:space="preserve">3418412000002630222</x:t>
  </x:si>
  <x:si>
    <x:t xml:space="preserve">ALU HANDLE APHD-02.1 FOR HANDLE-30MM X 18MM K643 S2424-D912 WITHOUT AN RETAIL 3 MTR W1.46 KG OML</x:t>
  </x:si>
  <x:si>
    <x:t xml:space="preserve">Magppie Living Private Limited -Sec 6</x:t>
  </x:si>
  <x:si>
    <x:t xml:space="preserve">3418412000002630233</x:t>
  </x:si>
  <x:si>
    <x:t xml:space="preserve">ALU HANDLE KADH-13 1200MM BRUSH GOLD FOR PROFILE KAP-89 K ZONE</x:t>
  </x:si>
  <x:si>
    <x:t xml:space="preserve">Astronea Wardrobe Pvt. Ltd.</x:t>
  </x:si>
  <x:si>
    <x:t xml:space="preserve">3418412000002630244</x:t>
  </x:si>
  <x:si>
    <x:t xml:space="preserve">ALU HING MOUNITNG PLATE 2367X46X6</x:t>
  </x:si>
  <x:si>
    <x:t xml:space="preserve">3418412000002630255</x:t>
  </x:si>
  <x:si>
    <x:t xml:space="preserve">ALU HING MOUNTING PLATE 1149X46X6MM</x:t>
  </x:si>
  <x:si>
    <x:t xml:space="preserve">3418412000002630266</x:t>
  </x:si>
  <x:si>
    <x:t xml:space="preserve">ALU HING MOUNTING PLATE 2167X46X6MM</x:t>
  </x:si>
  <x:si>
    <x:t xml:space="preserve">3418412000002630277</x:t>
  </x:si>
  <x:si>
    <x:t xml:space="preserve">ALU HING MOUNTING PLATE 51X46X6MM</x:t>
  </x:si>
  <x:si>
    <x:t xml:space="preserve">3418412000002630288</x:t>
  </x:si>
  <x:si>
    <x:t xml:space="preserve">ALUMINIUM EXTRUSION DIE</x:t>
  </x:si>
  <x:si>
    <x:t xml:space="preserve">3418412000002630299</x:t>
  </x:si>
  <x:si>
    <x:t xml:space="preserve">ALUMINIUM INLAYS T-12MM CP FINISH PER MTR OCEL</x:t>
  </x:si>
  <x:si>
    <x:t xml:space="preserve">3418412000002630310</x:t>
  </x:si>
  <x:si>
    <x:t xml:space="preserve">ALUMINIUM INLAYS T-19MM ANTIQUE PER MTR OCEL</x:t>
  </x:si>
  <x:si>
    <x:t xml:space="preserve">3418412000002630321</x:t>
  </x:si>
  <x:si>
    <x:t xml:space="preserve">ALUMINIUM INLAYS T-19MM GOLD BRUSH PER MTR OCEL</x:t>
  </x:si>
  <x:si>
    <x:t xml:space="preserve">3418412000002630332</x:t>
  </x:si>
  <x:si>
    <x:t xml:space="preserve">ALUMINIUM INLAYS T-6MM GOLD BRUSH PER MTR OCEL</x:t>
  </x:si>
  <x:si>
    <x:t xml:space="preserve">3418412000002630343</x:t>
  </x:si>
  <x:si>
    <x:t xml:space="preserve">ALUMINIUM INLAYS T-8MM GOLD BRUSH PER MTR OCEL</x:t>
  </x:si>
  <x:si>
    <x:t xml:space="preserve">3418412000002630354</x:t>
  </x:si>
  <x:si>
    <x:t xml:space="preserve">ALUMINIUM RECTANGLE HANGER ROD 3000 MM BRUSH GOLD KWP-179 K ZONE</x:t>
  </x:si>
  <x:si>
    <x:t xml:space="preserve">3418412000002630365</x:t>
  </x:si>
  <x:si>
    <x:t xml:space="preserve">ALUMINIUM SCRAP</x:t>
  </x:si>
  <x:si>
    <x:t xml:space="preserve">3418412000002630376</x:t>
  </x:si>
  <x:si>
    <x:t xml:space="preserve">ALU PIPE EXTRUSION XX16 RAW LOC</x:t>
  </x:si>
  <x:si>
    <x:t xml:space="preserve">3418412000002630387</x:t>
  </x:si>
  <x:si>
    <x:t xml:space="preserve">ALU PLATE BPO PLATE 1/2 60X258X6 LITE BRONZE LOC</x:t>
  </x:si>
  <x:si>
    <x:t xml:space="preserve">3418412000002630398</x:t>
  </x:si>
  <x:si>
    <x:t xml:space="preserve">ALU PLATE BPO PLATE 2/2 46X80X6 LITE BRONZE LOC</x:t>
  </x:si>
  <x:si>
    <x:t xml:space="preserve">3418412000002630409</x:t>
  </x:si>
  <x:si>
    <x:t xml:space="preserve">ALU PLATE COOKING AGENT PLATE 50X60X6 LITE BRONZE LOC</x:t>
  </x:si>
  <x:si>
    <x:t xml:space="preserve">3418412000002630420</x:t>
  </x:si>
  <x:si>
    <x:t xml:space="preserve">ALU PLATE DETERGENT PULL OUT PLATE 28X310X6 LITE BRONZE LOC</x:t>
  </x:si>
  <x:si>
    <x:t xml:space="preserve">3418412000002630431</x:t>
  </x:si>
  <x:si>
    <x:t xml:space="preserve">ALU PLATE FILD DRESSING MIRROR PLATE 43X300X6 LITE BRONZE LOC</x:t>
  </x:si>
  <x:si>
    <x:t xml:space="preserve">3418412000002630442</x:t>
  </x:si>
  <x:si>
    <x:t xml:space="preserve">ALU PLATE FOR BPO PLATE 340X39X6 LITE BRONZE LOC</x:t>
  </x:si>
  <x:si>
    <x:t xml:space="preserve">3418412000002630453</x:t>
  </x:si>
  <x:si>
    <x:t xml:space="preserve">ALU PLATE FOR BROOM PULLOUT 338X30X6 LITE BRONZE LOC</x:t>
  </x:si>
  <x:si>
    <x:t xml:space="preserve">3418412000002630464</x:t>
  </x:si>
  <x:si>
    <x:t xml:space="preserve">ALU PLATE FOR DISH RACK 25X244X6 LITE BRONZE LOC</x:t>
  </x:si>
  <x:si>
    <x:t xml:space="preserve">3418412000002630475</x:t>
  </x:si>
  <x:si>
    <x:t xml:space="preserve">ALU PLATE FOR LEMANS CORNER 1/2 100X80X6 LITE BRONZE LOC</x:t>
  </x:si>
  <x:si>
    <x:t xml:space="preserve">3418412000002630486</x:t>
  </x:si>
  <x:si>
    <x:t xml:space="preserve">ALU PLATE FOR LEMANS CORNER 2/2 77X27X6 LITE BRONZE LOC</x:t>
  </x:si>
  <x:si>
    <x:t xml:space="preserve">3418412000002630497</x:t>
  </x:si>
  <x:si>
    <x:t xml:space="preserve">ALU PLATE FOR SPOT LIGHT 112X30X2 LITE BRONZE LOC</x:t>
  </x:si>
  <x:si>
    <x:t xml:space="preserve">3418412000002630508</x:t>
  </x:si>
  <x:si>
    <x:t xml:space="preserve">ALU PLATE FOR TANDEM PANTRY 1/5 39X54X6 LITE BRONZE LOC</x:t>
  </x:si>
  <x:si>
    <x:t xml:space="preserve">3418412000002630519</x:t>
  </x:si>
  <x:si>
    <x:t xml:space="preserve">ALU PLATE FOR TANDEM PANTRY 2/5 18.5X66X6 LITE BRONZE LOC</x:t>
  </x:si>
  <x:si>
    <x:t xml:space="preserve">3418412000002630530</x:t>
  </x:si>
  <x:si>
    <x:t xml:space="preserve">ALU PLATE FOR TANDEM PANTRY 3/5 32X406X6 LITE BRONZE LOC</x:t>
  </x:si>
  <x:si>
    <x:t xml:space="preserve">3418412000002630541</x:t>
  </x:si>
  <x:si>
    <x:t xml:space="preserve">ALU PLATE FOR TANDEM PANTRY 4/5 39X100.5X6 LITE BRONZE LOC</x:t>
  </x:si>
  <x:si>
    <x:t xml:space="preserve">3418412000002630552</x:t>
  </x:si>
  <x:si>
    <x:t xml:space="preserve">ALU PLATE FOR TANDEM PANTRY 5/5 135X450X6 LITE BRONZE LOC</x:t>
  </x:si>
  <x:si>
    <x:t xml:space="preserve">3418412000002630563</x:t>
  </x:si>
  <x:si>
    <x:t xml:space="preserve">ALU PLATE HINGE MOUNTING PLATE 50X53.6X6 LITE BRONZE LOC</x:t>
  </x:si>
  <x:si>
    <x:t xml:space="preserve">3418412000002630574</x:t>
  </x:si>
  <x:si>
    <x:t xml:space="preserve">ALU PLATE IMOVE PLATE 193X212X6 LITE BRONZE LOC</x:t>
  </x:si>
  <x:si>
    <x:t xml:space="preserve">3418412000002630585</x:t>
  </x:si>
  <x:si>
    <x:t xml:space="preserve">ALU PLATE IRON BOARD PULLOUT 260X40X6 LITE BRONZE LOC</x:t>
  </x:si>
  <x:si>
    <x:t xml:space="preserve">3418412000002630596</x:t>
  </x:si>
  <x:si>
    <x:t xml:space="preserve">ALU PLATE KITCHEN LEG PLATE 81.3X138.6X6 LITE BRONZE LOC</x:t>
  </x:si>
  <x:si>
    <x:t xml:space="preserve">3418412000002630607</x:t>
  </x:si>
  <x:si>
    <x:t xml:space="preserve">ALU PLATE LB DRAWER PUSH TO OPEN CHANNEL 46X345X6 LITE BRONZE LOC</x:t>
  </x:si>
  <x:si>
    <x:t xml:space="preserve">3418412000002630618</x:t>
  </x:si>
  <x:si>
    <x:t xml:space="preserve">ALU PLATE LB-HB DRAWER S/C PLATE 50X289X6 LITE BRONZE LOC</x:t>
  </x:si>
  <x:si>
    <x:t xml:space="preserve">3418412000002630629</x:t>
  </x:si>
  <x:si>
    <x:t xml:space="preserve">ALU PLATE LEATHER SHOE PULLOUT PLATE 59X329X6 LITE BRONZE LOC</x:t>
  </x:si>
  <x:si>
    <x:t xml:space="preserve">3418412000002630640</x:t>
  </x:si>
  <x:si>
    <x:t xml:space="preserve">ALU PLATE LEATHER STORAGE BOX PULLOUT PLATE 59 X 59X329X6 LITE BRONZE LOC</x:t>
  </x:si>
  <x:si>
    <x:t xml:space="preserve">3418412000002630651</x:t>
  </x:si>
  <x:si>
    <x:t xml:space="preserve">ALU PLATE LEMANS CORNER PLATE 1/3 53X500X6 LITE BRONZE LOC</x:t>
  </x:si>
  <x:si>
    <x:t xml:space="preserve">3418412000002630662</x:t>
  </x:si>
  <x:si>
    <x:t xml:space="preserve">ALU PLATE LEMANS CORNER PLATE 2/3 46X50.3X6 LITE BRONZE LOC</x:t>
  </x:si>
  <x:si>
    <x:t xml:space="preserve">3418412000002630673</x:t>
  </x:si>
  <x:si>
    <x:t xml:space="preserve">ALU PLATE LEMANS CORNER PLATE 3/3 46X50.2X6 LITE BRONZE LOC</x:t>
  </x:si>
  <x:si>
    <x:t xml:space="preserve">3418412000002630684</x:t>
  </x:si>
  <x:si>
    <x:t xml:space="preserve">ALU PLATE MAGIC CORNER PLATE 35X544X6 LITE BRONZE LOC</x:t>
  </x:si>
  <x:si>
    <x:t xml:space="preserve">3418412000002630695</x:t>
  </x:si>
  <x:si>
    <x:t xml:space="preserve">ALU PLATE MERIVO BOX HB/LB BLUM 304X64X6 LITE BRONZE LOC</x:t>
  </x:si>
  <x:si>
    <x:t xml:space="preserve">3418412000002630706</x:t>
  </x:si>
  <x:si>
    <x:t xml:space="preserve">ALU PLATE MIO GLASS CHANNEL PLATE 46X373X6 LITE BRONZE LOC</x:t>
  </x:si>
  <x:si>
    <x:t xml:space="preserve">3418412000002630717</x:t>
  </x:si>
  <x:si>
    <x:t xml:space="preserve">ALU PLATE PLATE SELF TRAY 80X344X6 LITE BRONZE LOC</x:t>
  </x:si>
  <x:si>
    <x:t xml:space="preserve">3418412000002630728</x:t>
  </x:si>
  <x:si>
    <x:t xml:space="preserve">ALU PLATE PULL OUT SHELF PLATE 59X329X6 LITE BRONZE LOC</x:t>
  </x:si>
  <x:si>
    <x:t xml:space="preserve">3418412000002630739</x:t>
  </x:si>
  <x:si>
    <x:t xml:space="preserve">ALU PLATE PULL OUT WASTBIN 28 LTR PLATE 1/2 30X420X6 LITE BRONZE LOC</x:t>
  </x:si>
  <x:si>
    <x:t xml:space="preserve">3418412000002630750</x:t>
  </x:si>
  <x:si>
    <x:t xml:space="preserve">ALU PLATE PULL OUT WASTBIN 28 LTR PLATE 2/2 30X228X6 LITE BRONZE LOC</x:t>
  </x:si>
  <x:si>
    <x:t xml:space="preserve">3418412000002630761</x:t>
  </x:si>
  <x:si>
    <x:t xml:space="preserve">ALU PLATE QUADRO CHANNEL PLATE 46X355X6 LITE BRONZE LOC</x:t>
  </x:si>
  <x:si>
    <x:t xml:space="preserve">3418412000002630772</x:t>
  </x:si>
  <x:si>
    <x:t xml:space="preserve">ALU PLATE TANDEM PANTRY PLATE 1/4 130X380X6 LITE BRONZE LOC</x:t>
  </x:si>
  <x:si>
    <x:t xml:space="preserve">3418412000002630783</x:t>
  </x:si>
  <x:si>
    <x:t xml:space="preserve">ALU PLATE TANDEM PANTRY PLATE 19X66X6 LITE BRONZE LOC</x:t>
  </x:si>
  <x:si>
    <x:t xml:space="preserve">3418412000002630794</x:t>
  </x:si>
  <x:si>
    <x:t xml:space="preserve">ALU PLATE TANDEM PANTRY PLATE 2/4 30X295X6 LITE BRONZE LOC</x:t>
  </x:si>
  <x:si>
    <x:t xml:space="preserve">3418412000002630805</x:t>
  </x:si>
  <x:si>
    <x:t xml:space="preserve">ALU PLATE TANDEM PANTRY PLATE 3/4 35X50X6 LITE BRONZE LOC</x:t>
  </x:si>
  <x:si>
    <x:t xml:space="preserve">3418412000002630816</x:t>
  </x:si>
  <x:si>
    <x:t xml:space="preserve">ALU PLATE TANDEM PANTRY PLATE 4/4 34X125.8X6 LITE BRONZE LOC</x:t>
  </x:si>
  <x:si>
    <x:t xml:space="preserve">3418412000002630827</x:t>
  </x:si>
  <x:si>
    <x:t xml:space="preserve">ALU PLATE TELESCOPIC 500MM S/C KA4532 PLATE 46X500X6 LITE BRONZE LOC</x:t>
  </x:si>
  <x:si>
    <x:t xml:space="preserve">3418412000002630838</x:t>
  </x:si>
  <x:si>
    <x:t xml:space="preserve">ALU PLATE TIE PULLOUT PLATE 35X81X6 LITE BRONZE LOC</x:t>
  </x:si>
  <x:si>
    <x:t xml:space="preserve">3418412000002630849</x:t>
  </x:si>
  <x:si>
    <x:t xml:space="preserve">ALU PLATE TROUSER PULLOUT PLATE 59X329X6 LITE BRONZE LOC</x:t>
  </x:si>
  <x:si>
    <x:t xml:space="preserve">3418412000002630860</x:t>
  </x:si>
  <x:si>
    <x:t xml:space="preserve">ALU PLATE WARDROBE LEG PLATE 55X55X6 LITE BRONZE LOC</x:t>
  </x:si>
  <x:si>
    <x:t xml:space="preserve">3418412000002630871</x:t>
  </x:si>
  <x:si>
    <x:t xml:space="preserve">ALU PLATE WICKER BASKET PLATE 30X450X6 LITE BRONZE LOC</x:t>
  </x:si>
  <x:si>
    <x:t xml:space="preserve">3418412000002630882</x:t>
  </x:si>
  <x:si>
    <x:t xml:space="preserve">ALU PROF APDH-22 L TYPE 3000X25X42 ANODISED SEH 442 AS EBC</x:t>
  </x:si>
  <x:si>
    <x:t xml:space="preserve">3418412000002630893</x:t>
  </x:si>
  <x:si>
    <x:t xml:space="preserve">ALU PROF CLASSIC 3000X70X31 ANODISED CHAMPAGNE HM-501 MINA</x:t>
  </x:si>
  <x:si>
    <x:t xml:space="preserve">3418412000002630904</x:t>
  </x:si>
  <x:si>
    <x:t xml:space="preserve">ALU PROF CLASSIC 3000X70X31 BRUSH GOLD HM-501 MINA</x:t>
  </x:si>
  <x:si>
    <x:t xml:space="preserve">3418412000002630915</x:t>
  </x:si>
  <x:si>
    <x:t xml:space="preserve">ALU PROF CLASSIC 3000X78X16.87 ANODISED CHAMPAGNE HM-502 MINA</x:t>
  </x:si>
  <x:si>
    <x:t xml:space="preserve">3418412000002630926</x:t>
  </x:si>
  <x:si>
    <x:t xml:space="preserve">ALU PROF CLASSIC 3000X78X16.87 BRUSH GOLD HM-502 MINA</x:t>
  </x:si>
  <x:si>
    <x:t xml:space="preserve">3418412000002630937</x:t>
  </x:si>
  <x:si>
    <x:t xml:space="preserve">ALU PROF CLASSIC CORNICE 3000X135.5X100 ANODISED CHAMPAGNE HM-505 MINA</x:t>
  </x:si>
  <x:si>
    <x:t xml:space="preserve">3418412000002630948</x:t>
  </x:si>
  <x:si>
    <x:t xml:space="preserve">ALU PROF CLASSIC CORNICE 3000X135.5X100 BRUSH GOLD HM-505 MINA</x:t>
  </x:si>
  <x:si>
    <x:t xml:space="preserve">3418412000002630959</x:t>
  </x:si>
  <x:si>
    <x:t xml:space="preserve">ALU PROF CLASSIC DIVIDER 3000X103.5X21.25 ANODISED CHAMPAGNE HM-503 MINA</x:t>
  </x:si>
  <x:si>
    <x:t xml:space="preserve">3418412000002630970</x:t>
  </x:si>
  <x:si>
    <x:t xml:space="preserve">ALU PROF CLASSIC DIVIDER 3000X103.5X21.25 BRUSH GOLD HM-503 MINA</x:t>
  </x:si>
  <x:si>
    <x:t xml:space="preserve">3418412000002630981</x:t>
  </x:si>
  <x:si>
    <x:t xml:space="preserve">ALU PROF CLASSIC MOULDING 3000X25X9 ANODISED CHAMPAGNE HM-530 MINA</x:t>
  </x:si>
  <x:si>
    <x:t xml:space="preserve">3418412000002630992</x:t>
  </x:si>
  <x:si>
    <x:t xml:space="preserve">ALU PROF CLASSIC MOULDING 3000X25X9 ANODISED CHAMPAGNE HM-531 MINA</x:t>
  </x:si>
  <x:si>
    <x:t xml:space="preserve">3418412000002697003</x:t>
  </x:si>
  <x:si>
    <x:t xml:space="preserve">ALU PROF CLASSIC MOULDING 3000X25X9 BRUSH GOLD HM-530 MINA</x:t>
  </x:si>
  <x:si>
    <x:t xml:space="preserve">3418412000002697014</x:t>
  </x:si>
  <x:si>
    <x:t xml:space="preserve">ALU PROF CLASSIC MOULDING 3000X25X9 BRUSH GOLD HM-531 MINA</x:t>
  </x:si>
  <x:si>
    <x:t xml:space="preserve">3418412000002697025</x:t>
  </x:si>
  <x:si>
    <x:t xml:space="preserve">ALU PROF CLASSIC MOULDING 3000X25X9 CERAMIC BLACK HM-530 MINA</x:t>
  </x:si>
  <x:si>
    <x:t xml:space="preserve">3418412000002697036</x:t>
  </x:si>
  <x:si>
    <x:t xml:space="preserve">ALU PROF CLASSIC MOULDING 3000X25X9 CERAMIC BLACK HM-531 MINA</x:t>
  </x:si>
  <x:si>
    <x:t xml:space="preserve">3418412000002697047</x:t>
  </x:si>
  <x:si>
    <x:t xml:space="preserve">ALU PROF CONNECTOR ISLAND 120X120X45 LXC-1 SO</x:t>
  </x:si>
  <x:si>
    <x:t xml:space="preserve">3418412000002697058</x:t>
  </x:si>
  <x:si>
    <x:t xml:space="preserve">ALU PROF CORNICE ADAPTER 3000X60.5X9.75 ANODISED CHAMPAGNE HM-506 MINA</x:t>
  </x:si>
  <x:si>
    <x:t xml:space="preserve">3418412000002697069</x:t>
  </x:si>
  <x:si>
    <x:t xml:space="preserve">ALU PROF DADO TOOL 3000X35..5X28 ANODISED CHAMPAGNE HM-514 MINA</x:t>
  </x:si>
  <x:si>
    <x:t xml:space="preserve">3418412000002697080</x:t>
  </x:si>
  <x:si>
    <x:t xml:space="preserve">ALU PROF DADO TOOL 3000X35..5X28 BRUSH GOLD HM-514 MINA</x:t>
  </x:si>
  <x:si>
    <x:t xml:space="preserve">3418412000002697091</x:t>
  </x:si>
  <x:si>
    <x:t xml:space="preserve">ALU PROF DAP 101 DIVIDER 3000X15X24.24 ANODISED CHAMPAGNE HM-518 MINA</x:t>
  </x:si>
  <x:si>
    <x:t xml:space="preserve">3418412000002697102</x:t>
  </x:si>
  <x:si>
    <x:t xml:space="preserve">ALU PROF DAP 101 DIVIDER 3000X15X24.24 BRUSH GOLD HM-518 MINA</x:t>
  </x:si>
  <x:si>
    <x:t xml:space="preserve">3418412000002697113</x:t>
  </x:si>
  <x:si>
    <x:t xml:space="preserve">ALU PROF DAP 101 DIVIDER 3000X15X24.24 CERAMIC BLACK HM-518 MINA</x:t>
  </x:si>
  <x:si>
    <x:t xml:space="preserve">3418412000002697124</x:t>
  </x:si>
  <x:si>
    <x:t xml:space="preserve">ALU PROF DAP 101 NEW 3000X45.5X24.24 CERAMIC BLACK HM-517 MINA</x:t>
  </x:si>
  <x:si>
    <x:t xml:space="preserve">3418412000002697135</x:t>
  </x:si>
  <x:si>
    <x:t xml:space="preserve">ALU PROF DAP 101 NEW 3000X45.5X24.24 CHAMPAGNE HM-517 MINA</x:t>
  </x:si>
  <x:si>
    <x:t xml:space="preserve">Sant Aluminum Pvt. Ltd.</x:t>
  </x:si>
  <x:si>
    <x:t xml:space="preserve">3418412000002697146</x:t>
  </x:si>
  <x:si>
    <x:t xml:space="preserve">ALU PROF DAP 101 WITHOUT COLLAR 3000X45X22 W/OUT ANODISED 7811 VARN</x:t>
  </x:si>
  <x:si>
    <x:t xml:space="preserve">3418412000002697157</x:t>
  </x:si>
  <x:si>
    <x:t xml:space="preserve">ALU PROF DAP 107 TITUS HANDLE 3000X45.5X40 ANODISED CHAMPAGNE HM-527 MINA</x:t>
  </x:si>
  <x:si>
    <x:t xml:space="preserve">3418412000002697168</x:t>
  </x:si>
  <x:si>
    <x:t xml:space="preserve">ALU PROF DAP 107 TITUS HANDLE 300+450+500+600 3000X45.5X40 ANODISED CHAMPAGNE HM-527 T-1 MINA</x:t>
  </x:si>
  <x:si>
    <x:t xml:space="preserve">3418412000002697179</x:t>
  </x:si>
  <x:si>
    <x:t xml:space="preserve">ALU PROF DAP 107 TITUS HANDLE 300+450+500+600 3000X45.5X40 BRUSH GOLD HM-527 T-1 MINA</x:t>
  </x:si>
  <x:si>
    <x:t xml:space="preserve">3418412000002697190</x:t>
  </x:si>
  <x:si>
    <x:t xml:space="preserve">ALU PROF DAP 107 TITUS HANDLE 300+450+500+600 3000X45.5X40 CERAMIC BLACK HM-527 T-1 MINA</x:t>
  </x:si>
  <x:si>
    <x:t xml:space="preserve">3418412000002697201</x:t>
  </x:si>
  <x:si>
    <x:t xml:space="preserve">ALU PROF DAP 107 TITUS HANDLE 500+600+900 3000X45.5X40 ANODISED CHAMPAGNE HM-527 T-2 MINA</x:t>
  </x:si>
  <x:si>
    <x:t xml:space="preserve">3418412000002697212</x:t>
  </x:si>
  <x:si>
    <x:t xml:space="preserve">ALU PROF DAP 107 TITUS HANDLE 500+600+900 3000X45.5X40 BRUSH GOLD HM-527 T-2 MINA</x:t>
  </x:si>
  <x:si>
    <x:t xml:space="preserve">3418412000002697223</x:t>
  </x:si>
  <x:si>
    <x:t xml:space="preserve">ALU PROF DAP 107 TITUS HANDLE 500+600+900 3000X45.5X40 BRUSH GOLD HM-527 T-2 MINA SUN2001</x:t>
  </x:si>
  <x:si>
    <x:t xml:space="preserve">3418412000002697234</x:t>
  </x:si>
  <x:si>
    <x:t xml:space="preserve">ALU PROF DAP 107 TITUS HANDLE 500+600+900 3000X45.5X40 CERAMIC BLACK HM-527 T-2 MINA</x:t>
  </x:si>
  <x:si>
    <x:t xml:space="preserve">3418412000002697245</x:t>
  </x:si>
  <x:si>
    <x:t xml:space="preserve">ALU PROF DAP 107 TITUS HANDLE 600+2400 3000X45.5X40 CERAMIC BLACK HM-527 T-3 MINA</x:t>
  </x:si>
  <x:si>
    <x:t xml:space="preserve">3418412000002697256</x:t>
  </x:si>
  <x:si>
    <x:t xml:space="preserve">ALU PROF DAP 107 TITUS HANDLE LEFT OPENING 3000X45.5X40 ANODISED CHAMPAGNE HM-527 T-5 MINA</x:t>
  </x:si>
  <x:si>
    <x:t xml:space="preserve">3418412000002697267</x:t>
  </x:si>
  <x:si>
    <x:t xml:space="preserve">ALU PROF DAP 107 TITUS HANDLE RIGHT OPENING 3000X45.5X40 ANODISED CHAMPAGNE HM-527 T-4 MINA</x:t>
  </x:si>
  <x:si>
    <x:t xml:space="preserve">3418412000002697278</x:t>
  </x:si>
  <x:si>
    <x:t xml:space="preserve">ALU PROF DAP 107 WITH HANDLE 3000X45.5X40 ANODISED CHAMPAGNE HM-526 MINA</x:t>
  </x:si>
  <x:si>
    <x:t xml:space="preserve">3418412000002697289</x:t>
  </x:si>
  <x:si>
    <x:t xml:space="preserve">ALU PROF DAP 107 WITH HANDLE 3000X45.5X40 BRUSH GOLD HM-526 MINA</x:t>
  </x:si>
  <x:si>
    <x:t xml:space="preserve">3418412000002697300</x:t>
  </x:si>
  <x:si>
    <x:t xml:space="preserve">ALU PROF DAP 107 WITH HANDLE 3000X45.5X40 CERAMIC BLACK HM-526 MINA</x:t>
  </x:si>
  <x:si>
    <x:t xml:space="preserve">3418412000002697311</x:t>
  </x:si>
  <x:si>
    <x:t xml:space="preserve">ALU PROF DIFFUSER ISLAND X8X4 WHITE XP-003 SO</x:t>
  </x:si>
  <x:si>
    <x:t xml:space="preserve">3418412000002697322</x:t>
  </x:si>
  <x:si>
    <x:t xml:space="preserve">ALU PROF DRAWER BOTTOM PROFILE 3000X30X6 ANODISED CHAMPAGNE HM-535 MINA</x:t>
  </x:si>
  <x:si>
    <x:t xml:space="preserve">3418412000002697333</x:t>
  </x:si>
  <x:si>
    <x:t xml:space="preserve">ALU PROF DRAWER BOTTOM SIDE PROFILE 3000X18X16 ANODISED CHAMPAGNE HM-513 MINA</x:t>
  </x:si>
  <x:si>
    <x:t xml:space="preserve">3418412000002697344</x:t>
  </x:si>
  <x:si>
    <x:t xml:space="preserve">ALU PROF DUPLEY LIGHT L51.44XH14.92MM 3MTR S2/373 SEC. 2466 OMALCO</x:t>
  </x:si>
  <x:si>
    <x:t xml:space="preserve">3418412000002697355</x:t>
  </x:si>
  <x:si>
    <x:t xml:space="preserve">ALU PROF DUPLY LIGHT 3000X45X14 ANODISED CHAMPAGNE HM-534 MINA</x:t>
  </x:si>
  <x:si>
    <x:t xml:space="preserve">3418412000002697366</x:t>
  </x:si>
  <x:si>
    <x:t xml:space="preserve">ALU PROF DUPLY LIGHT 3000X45X14 BRUSH GOLD HM-534 MINA</x:t>
  </x:si>
  <x:si>
    <x:t xml:space="preserve">3418412000002697377</x:t>
  </x:si>
  <x:si>
    <x:t xml:space="preserve">ALU PROF DUPLY LIGHT 3000X45X14 CERAMIC BLACK HM-534 MINA</x:t>
  </x:si>
  <x:si>
    <x:t xml:space="preserve">3418412000002697388</x:t>
  </x:si>
  <x:si>
    <x:t xml:space="preserve">ALU PROF END CONNECTOR SKIRTING 3000XX100 W/OUT ANODISED 2434 OML</x:t>
  </x:si>
  <x:si>
    <x:t xml:space="preserve">3418412000002697399</x:t>
  </x:si>
  <x:si>
    <x:t xml:space="preserve">ALU PROF FILLER 3000X76X8.2 ANODISED CHAMPAGNE HM-504 MINA</x:t>
  </x:si>
  <x:si>
    <x:t xml:space="preserve">3418412000002697410</x:t>
  </x:si>
  <x:si>
    <x:t xml:space="preserve">ALU PROF FILLER 3000X76X8.2 BRUSH GOLD HM-504 MINA</x:t>
  </x:si>
  <x:si>
    <x:t xml:space="preserve">3418412000002697421</x:t>
  </x:si>
  <x:si>
    <x:t xml:space="preserve">ALU PROF FOR BURTONI SHELF 3000X19.5X30.4 ANODISED CHAMPAGNE HM-529 MINA</x:t>
  </x:si>
  <x:si>
    <x:t xml:space="preserve">3418412000002697432</x:t>
  </x:si>
  <x:si>
    <x:t xml:space="preserve">ALU PROF FOR C TYPE HANDLE 3000X63.67X23.47 ANODISED CHAMPAGNE HM-525 MINA</x:t>
  </x:si>
  <x:si>
    <x:t xml:space="preserve">3418412000002697443</x:t>
  </x:si>
  <x:si>
    <x:t xml:space="preserve">ALU PROF FOR C TYPE HANDLE 3000X63.67X23.47 BRUSH GOLD HM-525 MINA</x:t>
  </x:si>
  <x:si>
    <x:t xml:space="preserve">3418412000002697454</x:t>
  </x:si>
  <x:si>
    <x:t xml:space="preserve">ALU PROF FOR C TYPE HANDLE 3000X63.67X23.47 CERAMIC BLACK HM-525 MINA</x:t>
  </x:si>
  <x:si>
    <x:t xml:space="preserve">3418412000002697465</x:t>
  </x:si>
  <x:si>
    <x:t xml:space="preserve">ALU PROF FOR DIVIDER 3000XX BRUSH GOLD 861P LIGNA</x:t>
  </x:si>
  <x:si>
    <x:t xml:space="preserve">3418412000002697476</x:t>
  </x:si>
  <x:si>
    <x:t xml:space="preserve">ALU PROF FOR DRAWER 3000X30X9.5 ANODISED 2439 OML</x:t>
  </x:si>
  <x:si>
    <x:t xml:space="preserve">3418412000002697487</x:t>
  </x:si>
  <x:si>
    <x:t xml:space="preserve">ALU PROF FOR DUPLY LIGHT 3000X51.44X14.92 LITE BRONZE S2/373 SEC.2466 OML</x:t>
  </x:si>
  <x:si>
    <x:t xml:space="preserve">3418412000002697498</x:t>
  </x:si>
  <x:si>
    <x:t xml:space="preserve">ALU PROF FOR EDGE 3000XX18 ANODISED BRUSH EPI-1901 AS EBC</x:t>
  </x:si>
  <x:si>
    <x:t xml:space="preserve">3418412000002697509</x:t>
  </x:si>
  <x:si>
    <x:t xml:space="preserve">ALU PROF FOR ELENOR 3000X15X15 ANODISED CHAMPAGNE HM-519 MINA</x:t>
  </x:si>
  <x:si>
    <x:t xml:space="preserve">3418412000002697520</x:t>
  </x:si>
  <x:si>
    <x:t xml:space="preserve">ALU PROF FOR ELENOR LIGHT 3000X12X18 DRIFTWOOD IMP</x:t>
  </x:si>
  <x:si>
    <x:t xml:space="preserve">3418412000002697531</x:t>
  </x:si>
  <x:si>
    <x:t xml:space="preserve">ALU PROF FOR ELENOR LIGHT 3000X15X20 W/OUT ANODISED 2490 OML</x:t>
  </x:si>
  <x:si>
    <x:t xml:space="preserve">3418412000002697542</x:t>
  </x:si>
  <x:si>
    <x:t xml:space="preserve">ALU PROF FOR HANDLE 3000X22X20 PVDF ALDORA D-553/SEC. 2474 OML</x:t>
  </x:si>
  <x:si>
    <x:t xml:space="preserve">3418412000002697553</x:t>
  </x:si>
  <x:si>
    <x:t xml:space="preserve">ALU PROF FOR HANDLE 3000X26X25 BLACK KAP-116 K ZONE</x:t>
  </x:si>
  <x:si>
    <x:t xml:space="preserve">3418412000002697564</x:t>
  </x:si>
  <x:si>
    <x:t xml:space="preserve">ALU PROF FOR HANDLE 3000X26X25 BRUSH GOLD KAP-116 K ZONE</x:t>
  </x:si>
  <x:si>
    <x:t xml:space="preserve">3418412000002697575</x:t>
  </x:si>
  <x:si>
    <x:t xml:space="preserve">ALU PROF FOR HANDLE 3000X60X25 BRUSH GOLD KAP-89 K ZONE</x:t>
  </x:si>
  <x:si>
    <x:t xml:space="preserve">3418412000002697586</x:t>
  </x:si>
  <x:si>
    <x:t xml:space="preserve">ALU PROF FOR HANDLE APHD-03 J TYPE 4000X49X23 ALDORA 501 S2428-D513 OML</x:t>
  </x:si>
  <x:si>
    <x:t xml:space="preserve">3418412000002697597</x:t>
  </x:si>
  <x:si>
    <x:t xml:space="preserve">ALU PROF FOR HANDLE APHD-03 J TYPE 4000X49X23 W/OUT ANODISED 2428 OML</x:t>
  </x:si>
  <x:si>
    <x:t xml:space="preserve">3418412000002697608</x:t>
  </x:si>
  <x:si>
    <x:t xml:space="preserve">ALU PROF FOR HANDLE APHD-03 J TYPE 49X23 S2428-D513 4 MTR PVDF GOLD</x:t>
  </x:si>
  <x:si>
    <x:t xml:space="preserve">3418412000002697619</x:t>
  </x:si>
  <x:si>
    <x:t xml:space="preserve">ALU PROF FOR HANDLE APHD-03 J TYPE 49X23 S2428-D513 4 MTR PVDF JET BLACK</x:t>
  </x:si>
  <x:si>
    <x:t xml:space="preserve">3418412000002697630</x:t>
  </x:si>
  <x:si>
    <x:t xml:space="preserve">ALU PROF FOR HANDLE APHD-04 C TYPE 65X23 ANODISED 014.035.01581 UTA</x:t>
  </x:si>
  <x:si>
    <x:t xml:space="preserve">3418412000002697641</x:t>
  </x:si>
  <x:si>
    <x:t xml:space="preserve">ALU PROF FOR HANDLE APHD-05 LO 02 3000X65X18 JET BLACK S2440- D1068 OML</x:t>
  </x:si>
  <x:si>
    <x:t xml:space="preserve">3418412000002697652</x:t>
  </x:si>
  <x:si>
    <x:t xml:space="preserve">ALU PROF FOR HANDLE APHD J TYPE 3000X49X23 BRUSH GOLD AAS 7020 TOP</x:t>
  </x:si>
  <x:si>
    <x:t xml:space="preserve">3418412000002697663</x:t>
  </x:si>
  <x:si>
    <x:t xml:space="preserve">ALU PROF FOR HANDLE C TYPE 4000X65X23 W/OUT ANODISED 2426 OML</x:t>
  </x:si>
  <x:si>
    <x:t xml:space="preserve">3418412000002697674</x:t>
  </x:si>
  <x:si>
    <x:t xml:space="preserve">ALU PROF FOR HANDLE C TYPE 73.5X26 ANODISED 9283515 HTT</x:t>
  </x:si>
  <x:si>
    <x:t xml:space="preserve">3418412000002697685</x:t>
  </x:si>
  <x:si>
    <x:t xml:space="preserve">ALU PROF FOR HANDLE C TYPE LEN. 4 MTR DR. SEW/S1/512-2426 PVDF GOLD</x:t>
  </x:si>
  <x:si>
    <x:t xml:space="preserve">3418412000002697696</x:t>
  </x:si>
  <x:si>
    <x:t xml:space="preserve">ALU PROF FOR HANDLE C TYPE LEN. 4 MTR DR. SEW/S1/512-2426 PVDF JET BLACK</x:t>
  </x:si>
  <x:si>
    <x:t xml:space="preserve">3418412000002697707</x:t>
  </x:si>
  <x:si>
    <x:t xml:space="preserve">ALU PROF FOR HANDLE DAP101 3000X45X22 W/OUT ANODISED 2430 OML</x:t>
  </x:si>
  <x:si>
    <x:t xml:space="preserve">3418412000002697718</x:t>
  </x:si>
  <x:si>
    <x:t xml:space="preserve">ALU PROF FOR HANDLE DAP109 3000X42X18 W/OUT ANODISED 2414 OML</x:t>
  </x:si>
  <x:si>
    <x:t xml:space="preserve">3418412000002697729</x:t>
  </x:si>
  <x:si>
    <x:t xml:space="preserve">ALU PROF FOR HANDLE J TYPE 56.9X26 ANODISED 9283516 HTT</x:t>
  </x:si>
  <x:si>
    <x:t xml:space="preserve">3418412000002697740</x:t>
  </x:si>
  <x:si>
    <x:t xml:space="preserve">ALU PROF FOR HANDLE LH 1200XX40 BRUSH GOLD KAP-118 K ZONE</x:t>
  </x:si>
  <x:si>
    <x:t xml:space="preserve">3418412000002697751</x:t>
  </x:si>
  <x:si>
    <x:t xml:space="preserve">ALU PROF FOR HANDLE LO 02.1 3000XX DRIFTWOOD S2440 MICA</x:t>
  </x:si>
  <x:si>
    <x:t xml:space="preserve">3418412000002697762</x:t>
  </x:si>
  <x:si>
    <x:t xml:space="preserve">ALU PROF FOR HANDLE LO 02 3000X65X18 ALDORA 501 S2440- D1068 TEX</x:t>
  </x:si>
  <x:si>
    <x:t xml:space="preserve">3418412000002697773</x:t>
  </x:si>
  <x:si>
    <x:t xml:space="preserve">ALU PROF FOR HANDLE LO 02 3000X65X18 W/OUT ANODISED S2440- D1068 OML</x:t>
  </x:si>
  <x:si>
    <x:t xml:space="preserve">3418412000002697784</x:t>
  </x:si>
  <x:si>
    <x:t xml:space="preserve">ALU PROF FOR HANDLE RH 1200XX40 BRUSH GOLD KAP-118 K ZONE</x:t>
  </x:si>
  <x:si>
    <x:t xml:space="preserve">3418412000002697795</x:t>
  </x:si>
  <x:si>
    <x:t xml:space="preserve">ALU PROF FOR HANDLE SHUTTER NEON 22 22X20 D-553/SEC. 2474 OML</x:t>
  </x:si>
  <x:si>
    <x:t xml:space="preserve">3418412000002697806</x:t>
  </x:si>
  <x:si>
    <x:t xml:space="preserve">ALU PROF FOR HANDLE SHUTTER NEON 22 3000X22X20 ALDORA 502 D-553/SEC. 2474 OML</x:t>
  </x:si>
  <x:si>
    <x:t xml:space="preserve">3418412000002697817</x:t>
  </x:si>
  <x:si>
    <x:t xml:space="preserve">ALU PROF FOR HANDLE SHUTTER NEON 22 3000X22X20 LITE BRONZE D-553/SEC. 2474 OML</x:t>
  </x:si>
  <x:si>
    <x:t xml:space="preserve">3418412000002697828</x:t>
  </x:si>
  <x:si>
    <x:t xml:space="preserve">ALU PROF FOR JORDAN HANDLE 270X25X BRUSH GOLD KADH-13 K ZONE</x:t>
  </x:si>
  <x:si>
    <x:t xml:space="preserve">3418412000002697839</x:t>
  </x:si>
  <x:si>
    <x:t xml:space="preserve">ALU PROF FOR JORDAN HANDLE LH 1200X18X BRUSH GOLD KADH-112 K ZONE</x:t>
  </x:si>
  <x:si>
    <x:t xml:space="preserve">3418412000002697850</x:t>
  </x:si>
  <x:si>
    <x:t xml:space="preserve">ALU PROF FOR JORDAN HANDLE LH 1200X25X BRUSH GOLD KADH-111 K ZONE</x:t>
  </x:si>
  <x:si>
    <x:t xml:space="preserve">3418412000002697861</x:t>
  </x:si>
  <x:si>
    <x:t xml:space="preserve">ALU PROF FOR JORDAN HANDLE LH 200X25X BRUSH GOLD KADH-111 K ZONE</x:t>
  </x:si>
  <x:si>
    <x:t xml:space="preserve">3418412000002697872</x:t>
  </x:si>
  <x:si>
    <x:t xml:space="preserve">ALU PROF FOR JORDAN HANDLE RH 1200X18X BRUSH GOLD KADH-112 K ZONE</x:t>
  </x:si>
  <x:si>
    <x:t xml:space="preserve">3418412000002697883</x:t>
  </x:si>
  <x:si>
    <x:t xml:space="preserve">ALU PROF FOR JORDAN HANDLE RH 1200X25X BRUSH GOLD KADH-111 K ZONE</x:t>
  </x:si>
  <x:si>
    <x:t xml:space="preserve">3418412000002697894</x:t>
  </x:si>
  <x:si>
    <x:t xml:space="preserve">ALU PROF FOR JORDAN HANDLE RH 200X25X BRUSH GOLD KADH-111 K ZONE</x:t>
  </x:si>
  <x:si>
    <x:t xml:space="preserve">3418412000002697905</x:t>
  </x:si>
  <x:si>
    <x:t xml:space="preserve">ALU PROF FOR J TYPE HANDLE 3000X50X23.47 ANODISED CHAMPAGNE HM-524 MINA</x:t>
  </x:si>
  <x:si>
    <x:t xml:space="preserve">3418412000002697916</x:t>
  </x:si>
  <x:si>
    <x:t xml:space="preserve">ALU PROF FOR J TYPE HANDLE 3000X50X23.47 BRUSH GOLD HM-524 MINA</x:t>
  </x:si>
  <x:si>
    <x:t xml:space="preserve">3418412000002697927</x:t>
  </x:si>
  <x:si>
    <x:t xml:space="preserve">ALU PROF FOR J TYPE HANDLE 3000X50X23.47 CERAMIC BLACK HM-524 MINA</x:t>
  </x:si>
  <x:si>
    <x:t xml:space="preserve">3418412000002697938</x:t>
  </x:si>
  <x:si>
    <x:t xml:space="preserve">ALU PROF FOR LIGHT 4000X15.4X6.4 ANODISED S2422-D698 OML</x:t>
  </x:si>
  <x:si>
    <x:t xml:space="preserve">3418412000002697949</x:t>
  </x:si>
  <x:si>
    <x:t xml:space="preserve">3418412000002697960</x:t>
  </x:si>
  <x:si>
    <x:t xml:space="preserve">ALU PROF FOR NEON 20 3000X20X22.5 SEC.2468 OML</x:t>
  </x:si>
  <x:si>
    <x:t xml:space="preserve">3418412000002697971</x:t>
  </x:si>
  <x:si>
    <x:t xml:space="preserve">ALU PROF FOR SECTION 3000X25X55 BROWN PPDS-ALS-AN EBC</x:t>
  </x:si>
  <x:si>
    <x:t xml:space="preserve">3418412000002697982</x:t>
  </x:si>
  <x:si>
    <x:t xml:space="preserve">ALU PROF FOR SHELF 3000X22X1.2 W/OUT ANODISED HM-511/MH-03 VARN</x:t>
  </x:si>
  <x:si>
    <x:t xml:space="preserve">3418412000002697993</x:t>
  </x:si>
  <x:si>
    <x:t xml:space="preserve">ALU PROF FOR SHELF 3000X22X9.97 ANODISED CHAMPAGNE HM-511 MINA</x:t>
  </x:si>
  <x:si>
    <x:t xml:space="preserve">3418412000002698004</x:t>
  </x:si>
  <x:si>
    <x:t xml:space="preserve">ALU PROF FOR SHELF FRONT DECORATIVE SF 3000XX12 DP1-12 EBC</x:t>
  </x:si>
  <x:si>
    <x:t xml:space="preserve">3418412000002698015</x:t>
  </x:si>
  <x:si>
    <x:t xml:space="preserve">ALU PROF FOR SHOE ANGLE 3000X50X20 ANODISED CHAMPAGNE HM-528 MINA</x:t>
  </x:si>
  <x:si>
    <x:t xml:space="preserve">3418412000002698026</x:t>
  </x:si>
  <x:si>
    <x:t xml:space="preserve">ALU PROF FOR SHUTTER 3000X50X20 BRUSH GOLD 851P LIGNA</x:t>
  </x:si>
  <x:si>
    <x:t xml:space="preserve">3418412000002698037</x:t>
  </x:si>
  <x:si>
    <x:t xml:space="preserve">ALU PROF FOR SHUTTER ASP-01 ANODISED SH-00 DAP101-45X22 CL-8MM GLS-upto 5MM L/W-08MM FOR PROJECT 9283473</x:t>
  </x:si>
  <x:si>
    <x:t xml:space="preserve">3418412000002698048</x:t>
  </x:si>
  <x:si>
    <x:t xml:space="preserve">ALU PROF FOR SHUTTER ASP-01 ANODISED SH-00 DAP101 PROJECT 9283473 HET</x:t>
  </x:si>
  <x:si>
    <x:t xml:space="preserve">3418412000002698059</x:t>
  </x:si>
  <x:si>
    <x:t xml:space="preserve">ALU PROF FOR SHUTTER ASP-01 DAP101-45X22 3 MTR BRUSH GOLD KAP-06 K ZONE</x:t>
  </x:si>
  <x:si>
    <x:t xml:space="preserve">K-ZONE Harrdware Pvt Ltd</x:t>
  </x:si>
  <x:si>
    <x:t xml:space="preserve">3418412000002698070</x:t>
  </x:si>
  <x:si>
    <x:t xml:space="preserve">ALU PROF FOR SHUTTER ASP-01 DAP101-45X22 CL-8MM S2430-D507 3 MTR PVDF COPPER</x:t>
  </x:si>
  <x:si>
    <x:t xml:space="preserve">3418412000002698081</x:t>
  </x:si>
  <x:si>
    <x:t xml:space="preserve">ALU PROF FOR SHUTTER ASP-01 DAP101 BRUSH GOLD 871P TREVO 3M LIGNA</x:t>
  </x:si>
  <x:si>
    <x:t xml:space="preserve">3418412000002698092</x:t>
  </x:si>
  <x:si>
    <x:t xml:space="preserve">ALU PROF FOR SHUTTER ASP-07 DAP107-45X22 3 MTR BRUSH GOLD KAP-07 K ZONE</x:t>
  </x:si>
  <x:si>
    <x:t xml:space="preserve">3418412000002698103</x:t>
  </x:si>
  <x:si>
    <x:t xml:space="preserve">ALU PROF FOR SHUTTER ASP-7183-150X6 F/B</x:t>
  </x:si>
  <x:si>
    <x:t xml:space="preserve">3418412000002698114</x:t>
  </x:si>
  <x:si>
    <x:t xml:space="preserve">ALU PROF FOR SHUTTER DAP101-45X19 CL-5MM 7811 WITH ANODISED LIGHT BRONZE 3 MTR W1.2 KG VAR</x:t>
  </x:si>
  <x:si>
    <x:t xml:space="preserve">3418412000002698125</x:t>
  </x:si>
  <x:si>
    <x:t xml:space="preserve">ALU PROF FOR SHUTTER DAP- 107 3000X45X22 ANODISED 7009 TOP</x:t>
  </x:si>
  <x:si>
    <x:t xml:space="preserve">3418412000002698136</x:t>
  </x:si>
  <x:si>
    <x:t xml:space="preserve">ALU PROF FOR SHUTTER DAP- 107 3000X45X22 PVDF GOLD S2432- D-508 TOP</x:t>
  </x:si>
  <x:si>
    <x:t xml:space="preserve">3418412000002698147</x:t>
  </x:si>
  <x:si>
    <x:t xml:space="preserve">ALU PROF FOR SHUTTER DAP- 107 3000X45X22 PVDF JET BLACK S2432- D-508 TOP</x:t>
  </x:si>
  <x:si>
    <x:t xml:space="preserve">3418412000002698158</x:t>
  </x:si>
  <x:si>
    <x:t xml:space="preserve">ALU PROF FOR SHUTTER DAP- 107 3000X45X22 W/OUT ANODISED S2432- D-508 OML</x:t>
  </x:si>
  <x:si>
    <x:t xml:space="preserve">3418412000002698169</x:t>
  </x:si>
  <x:si>
    <x:t xml:space="preserve">ALU PROF FOR SHUTTER HANDLE 1200XX BRUSH GOLD 852C TOP</x:t>
  </x:si>
  <x:si>
    <x:t xml:space="preserve">3418412000002698180</x:t>
  </x:si>
  <x:si>
    <x:t xml:space="preserve">ALU PROF FOR SHUTTER HANDLE 200XX BRUSH GOLD 852L LIGNA</x:t>
  </x:si>
  <x:si>
    <x:t xml:space="preserve">3418412000002698191</x:t>
  </x:si>
  <x:si>
    <x:t xml:space="preserve">ALU PROF FOR SHUTTER HANDLE 200XX BRUSH GOLD 852R LIGNA</x:t>
  </x:si>
  <x:si>
    <x:t xml:space="preserve">3418412000002698202</x:t>
  </x:si>
  <x:si>
    <x:t xml:space="preserve">ALU PROF FOR SHUTTER HANDLE 300XX BRUSH GOLD 852C TOP</x:t>
  </x:si>
  <x:si>
    <x:t xml:space="preserve">3418412000002698213</x:t>
  </x:si>
  <x:si>
    <x:t xml:space="preserve">ALU PROF FOR SHUTTER HANDLE 600XX BRUSH GOLD 852C TOP</x:t>
  </x:si>
  <x:si>
    <x:t xml:space="preserve">3418412000002698224</x:t>
  </x:si>
  <x:si>
    <x:t xml:space="preserve">ALU PROF FOR SHUTTER HANDLE852C-600MM BRUSH GOLD</x:t>
  </x:si>
  <x:si>
    <x:t xml:space="preserve">3418412000002698235</x:t>
  </x:si>
  <x:si>
    <x:t xml:space="preserve">ALU PROF FOR SINK 3000X20X20 ANODISED 2412 OML</x:t>
  </x:si>
  <x:si>
    <x:t xml:space="preserve">3418412000002698246</x:t>
  </x:si>
  <x:si>
    <x:t xml:space="preserve">ALU PROF FOR SINK 3000X27X16.2 W/OUT ANODISED MG-02 VARN</x:t>
  </x:si>
  <x:si>
    <x:t xml:space="preserve">3418412000002698257</x:t>
  </x:si>
  <x:si>
    <x:t xml:space="preserve">ALU PROF FOR SINK NEW 3000X27X22 ANODISED CHAMPAGNE HM-510 MINA</x:t>
  </x:si>
  <x:si>
    <x:t xml:space="preserve">3418412000002698268</x:t>
  </x:si>
  <x:si>
    <x:t xml:space="preserve">ALU PROF FOR SKIRTING 3000X12X100 W/OUT ANODISED 2436 OML</x:t>
  </x:si>
  <x:si>
    <x:t xml:space="preserve">3418412000002698279</x:t>
  </x:si>
  <x:si>
    <x:t xml:space="preserve">ALU PROF FOR SKIRTING CONNECTOR L 3000X27.2X12.2 ANODISED CHAMPAGNE HM-521 MINA</x:t>
  </x:si>
  <x:si>
    <x:t xml:space="preserve">3418412000002698290</x:t>
  </x:si>
  <x:si>
    <x:t xml:space="preserve">ALU PROF FOR SKIRTING CONNECTOR L 3000X27.2X12.2 BRUSH GOLD HM-521 MINA</x:t>
  </x:si>
  <x:si>
    <x:t xml:space="preserve">3418412000002698301</x:t>
  </x:si>
  <x:si>
    <x:t xml:space="preserve">ALU PROF FOR SKIRTING CONNECTOR STRAIGHT 3000X20.2X12.2 ANODISED CHAMPAGNE HM-520 MINA</x:t>
  </x:si>
  <x:si>
    <x:t xml:space="preserve">3418412000002698312</x:t>
  </x:si>
  <x:si>
    <x:t xml:space="preserve">ALU PROF FOR SKIRTING CONNECTOR STRAIGHT 3000X20.2X12.2 BRUSH GOLD HM-520 MINA</x:t>
  </x:si>
  <x:si>
    <x:t xml:space="preserve">3418412000002698323</x:t>
  </x:si>
  <x:si>
    <x:t xml:space="preserve">ALU PROF FOR SKIRTING LIGHT 3000X100X9.8 BRUSH GOLD HM-507 MINA</x:t>
  </x:si>
  <x:si>
    <x:t xml:space="preserve">3418412000002698334</x:t>
  </x:si>
  <x:si>
    <x:t xml:space="preserve">ALU PROF FOR SKIRTING WITH LIGHT 3000X100X9.8 ANODISED CHAMPAGNE HM-507 MINA</x:t>
  </x:si>
  <x:si>
    <x:t xml:space="preserve">3418412000002698345</x:t>
  </x:si>
  <x:si>
    <x:t xml:space="preserve">ALU PROF FOR SKYEE 3000X50X50 LITE BRONZE SEC 2492 OML</x:t>
  </x:si>
  <x:si>
    <x:t xml:space="preserve">3418412000002698356</x:t>
  </x:si>
  <x:si>
    <x:t xml:space="preserve">ALU PROF FOR STEPPER 3000X31.5X22 ANODISED CHAMPAGNE HM-509 MINA</x:t>
  </x:si>
  <x:si>
    <x:t xml:space="preserve">3418412000002698367</x:t>
  </x:si>
  <x:si>
    <x:t xml:space="preserve">ALU PROF FOR STEPPER 3000X31.5X22 ANODISED CHAMPAGNE MG-01 VARN</x:t>
  </x:si>
  <x:si>
    <x:t xml:space="preserve">Varn Extrusion Private Limited</x:t>
  </x:si>
  <x:si>
    <x:t xml:space="preserve">3418412000002698378</x:t>
  </x:si>
  <x:si>
    <x:t xml:space="preserve">ALU PROF FOR STONE FRAME HANDLE 3000X11X16 ANTHRACITE IMP</x:t>
  </x:si>
  <x:si>
    <x:t xml:space="preserve">3418412000002698389</x:t>
  </x:si>
  <x:si>
    <x:t xml:space="preserve">ALU PROF FOR STONE FRAME HANDLE 3000X11X16 LITE BRONZE IMP</x:t>
  </x:si>
  <x:si>
    <x:t xml:space="preserve">3418412000002698400</x:t>
  </x:si>
  <x:si>
    <x:t xml:space="preserve">ALU PROF FOR TOP &amp; BOTTOM 448X23.5X20 BLACK MATT KAP-90 K ZONE</x:t>
  </x:si>
  <x:si>
    <x:t xml:space="preserve">3418412000002698411</x:t>
  </x:si>
  <x:si>
    <x:t xml:space="preserve">ALU PROF FOR TOP &amp; BOTTOM 448X23.5X20 BRUSH GOLD KAP-90 K ZONE</x:t>
  </x:si>
  <x:si>
    <x:t xml:space="preserve">3418412000002698422</x:t>
  </x:si>
  <x:si>
    <x:t xml:space="preserve">ALU PROF FOR TOP &amp; BOTTOM 598X23.5X20 BRUSH GOLD KAP-90 K ZONE</x:t>
  </x:si>
  <x:si>
    <x:t xml:space="preserve">3418412000002698433</x:t>
  </x:si>
  <x:si>
    <x:t xml:space="preserve">ALU PROF FOR WD JORDAN T 3000X20X BRUSH GOLD KAP-78 K ZONE</x:t>
  </x:si>
  <x:si>
    <x:t xml:space="preserve">3418412000002698444</x:t>
  </x:si>
  <x:si>
    <x:t xml:space="preserve">ALU PROF FOR WD JORDAN T 3000X40X GOLD LAP-501-T K ZONE</x:t>
  </x:si>
  <x:si>
    <x:t xml:space="preserve">3418412000002698455</x:t>
  </x:si>
  <x:si>
    <x:t xml:space="preserve">ALU PROF GRAND COUNTER 3000X20X15.5 ANODISED CHAMPAGNE HM-512 MINA</x:t>
  </x:si>
  <x:si>
    <x:t xml:space="preserve">3418412000002698466</x:t>
  </x:si>
  <x:si>
    <x:t xml:space="preserve">ALU PROF HALF ROUND 3000X12X BRUSH GOLD T-12 CRY</x:t>
  </x:si>
  <x:si>
    <x:t xml:space="preserve">3418412000002698477</x:t>
  </x:si>
  <x:si>
    <x:t xml:space="preserve">ALU PROF HALF ROUND 3000XX12 BRUSH GOLD T-12 CRY</x:t>
  </x:si>
  <x:si>
    <x:t xml:space="preserve">3418412000002698488</x:t>
  </x:si>
  <x:si>
    <x:t xml:space="preserve">ALU PROF HANDLE 3000X25X22.5 ANODISED KAP-57 K ZONE</x:t>
  </x:si>
  <x:si>
    <x:t xml:space="preserve">3418412000002698499</x:t>
  </x:si>
  <x:si>
    <x:t xml:space="preserve">ALU PROF HANDLE 3000X30X18 ALDORA 501 K643 S2424-D912 OML</x:t>
  </x:si>
  <x:si>
    <x:t xml:space="preserve">3418412000002698510</x:t>
  </x:si>
  <x:si>
    <x:t xml:space="preserve">ALU PROF HANDLE 3000X30X18 PVDF GOLD K643 S2424-D912 OML</x:t>
  </x:si>
  <x:si>
    <x:t xml:space="preserve">3418412000002698521</x:t>
  </x:si>
  <x:si>
    <x:t xml:space="preserve">ALU PROF HANDLE APHD-05 LO 02 65X18MM S2440-D1068 3 MTR GOLDEN</x:t>
  </x:si>
  <x:si>
    <x:t xml:space="preserve">3418412000002698532</x:t>
  </x:si>
  <x:si>
    <x:t xml:space="preserve">ALU PROF HANDLE APHD-21 DAP109 -3MM X 18MM&amp;25MM DR.483/S-2414 3 MTR JET BLACK</x:t>
  </x:si>
  <x:si>
    <x:t xml:space="preserve">3418412000002698543</x:t>
  </x:si>
  <x:si>
    <x:t xml:space="preserve">ALU PROF HANDLE APHD-21 DAP109 DR.483/S-2414 3 MTR PVDF CHAMPAGNE BRONZE</x:t>
  </x:si>
  <x:si>
    <x:t xml:space="preserve">3418412000002698554</x:t>
  </x:si>
  <x:si>
    <x:t xml:space="preserve">ALU PROF HANDLE APHD-21 DAP109 DR.483/S-2414 3 MTR PVDF GOLD</x:t>
  </x:si>
  <x:si>
    <x:t xml:space="preserve">3418412000002698565</x:t>
  </x:si>
  <x:si>
    <x:t xml:space="preserve">ALU PROFILE DAP101 1MM COLLOR FOR 9MM SUN2004 SAN</x:t>
  </x:si>
  <x:si>
    <x:t xml:space="preserve">3418412000002698576</x:t>
  </x:si>
  <x:si>
    <x:t xml:space="preserve">ALU PROFILE KAP-117 200MM HANDLE BRUSHED GOLD LEFT K ZONE</x:t>
  </x:si>
  <x:si>
    <x:t xml:space="preserve">3418412000002698587</x:t>
  </x:si>
  <x:si>
    <x:t xml:space="preserve">ALU PROFILE KAP-90 498 MM ( TOP &amp; BOTTOM ) BRUSH GOLD K ZONE</x:t>
  </x:si>
  <x:si>
    <x:t xml:space="preserve">3418412000002698598</x:t>
  </x:si>
  <x:si>
    <x:t xml:space="preserve">ALU PROFILE KAP-90 548 MM ( TOP &amp; BOTTOM ) BLACK MATT K ZONE</x:t>
  </x:si>
  <x:si>
    <x:t xml:space="preserve">3418412000002698609</x:t>
  </x:si>
  <x:si>
    <x:t xml:space="preserve">ALU PROFILE KAP-90 548 MM ( TOP &amp; BOTTOM ) BRUSH GOLD K ZONE</x:t>
  </x:si>
  <x:si>
    <x:t xml:space="preserve">3418412000002698620</x:t>
  </x:si>
  <x:si>
    <x:t xml:space="preserve">ALU PROFILE KWP-130 (DECORATIVE) BRUSH GOLD K ZONE</x:t>
  </x:si>
  <x:si>
    <x:t xml:space="preserve">3418412000002698631</x:t>
  </x:si>
  <x:si>
    <x:t xml:space="preserve">ALU PROF INLAYS 3000X12X BRUSH GOLD T-12 OCE</x:t>
  </x:si>
  <x:si>
    <x:t xml:space="preserve">3418412000002698642</x:t>
  </x:si>
  <x:si>
    <x:t xml:space="preserve">ALU PROF INLAYS 3000X6X ANTIQUE T-6 OCE</x:t>
  </x:si>
  <x:si>
    <x:t xml:space="preserve">3418412000002698653</x:t>
  </x:si>
  <x:si>
    <x:t xml:space="preserve">ALU PROF INLAYS 3000X8X ANTIQUE T-8 OCE</x:t>
  </x:si>
  <x:si>
    <x:t xml:space="preserve">3418412000002698664</x:t>
  </x:si>
  <x:si>
    <x:t xml:space="preserve">ALU PROF INLAYS 3000X8X BRUSH GOLD T-8 OCE</x:t>
  </x:si>
  <x:si>
    <x:t xml:space="preserve">3418412000002698675</x:t>
  </x:si>
  <x:si>
    <x:t xml:space="preserve">ALU PROF ISLAND LXC BRUSH 3000X65X75 BRUSH GOLD LXC SO</x:t>
  </x:si>
  <x:si>
    <x:t xml:space="preserve">3418412000002698686</x:t>
  </x:si>
  <x:si>
    <x:t xml:space="preserve">ALU PROF MARVIN MIDDLE 3000X74X25 ANODISED CHAMPAGNE HM-522 MINA</x:t>
  </x:si>
  <x:si>
    <x:t xml:space="preserve">3418412000002698697</x:t>
  </x:si>
  <x:si>
    <x:t xml:space="preserve">ALU PROF MARVIN MIDDLE 3000X74X25 BRUSH GOLD HM-522 MINA</x:t>
  </x:si>
  <x:si>
    <x:t xml:space="preserve">3418412000002698708</x:t>
  </x:si>
  <x:si>
    <x:t xml:space="preserve">ALU PROF MARVI SIDE 3000X74X20 ANODISED CHAMPAGNE HM-523 MINA</x:t>
  </x:si>
  <x:si>
    <x:t xml:space="preserve">3418412000002698719</x:t>
  </x:si>
  <x:si>
    <x:t xml:space="preserve">ALU PROF MARVI SIDE 3000X74X20 BRUSH GOLD HM-523 MINA</x:t>
  </x:si>
  <x:si>
    <x:t xml:space="preserve">3418412000002698730</x:t>
  </x:si>
  <x:si>
    <x:t xml:space="preserve">ALU PROF MODERN CORNICE 3000X100X55.24 ANODISED CHAMPAGNE HM-508 MINA</x:t>
  </x:si>
  <x:si>
    <x:t xml:space="preserve">3418412000002698741</x:t>
  </x:si>
  <x:si>
    <x:t xml:space="preserve">ALU PROF MODERN CORNICE 3000X100X55.24 BRUSH GOLD HM-508 MINA</x:t>
  </x:si>
  <x:si>
    <x:t xml:space="preserve">3418412000002698752</x:t>
  </x:si>
  <x:si>
    <x:t xml:space="preserve">ALU PROF NEON 20 3000X24.24X19.5 ANODISED CHAMPAGNE HM-532 MINA</x:t>
  </x:si>
  <x:si>
    <x:t xml:space="preserve">3418412000002698763</x:t>
  </x:si>
  <x:si>
    <x:t xml:space="preserve">ALU PROF NEON 20 3000X24.24X19.5 BRUSH GOLD HM-532 MINA</x:t>
  </x:si>
  <x:si>
    <x:t xml:space="preserve">3418412000002698774</x:t>
  </x:si>
  <x:si>
    <x:t xml:space="preserve">ALU PROF NEON 20 3000X24.24X19.5 CERAMIC BLACK HM-532 MINA</x:t>
  </x:si>
  <x:si>
    <x:t xml:space="preserve">3418412000002698785</x:t>
  </x:si>
  <x:si>
    <x:t xml:space="preserve">ALU PROF NEON 20 HANDLE 3000X40X19.5 ANODISED CHAMPAGNE HM-533 MINA</x:t>
  </x:si>
  <x:si>
    <x:t xml:space="preserve">3418412000002698796</x:t>
  </x:si>
  <x:si>
    <x:t xml:space="preserve">ALU PROF NEON 20 HANDLE 3000X40X19.5 BRUSH GOLD HM-533 MINA</x:t>
  </x:si>
  <x:si>
    <x:t xml:space="preserve">3418412000002698807</x:t>
  </x:si>
  <x:si>
    <x:t xml:space="preserve">ALU PROF NEON 20 HANDLE 3000X40X19.5 CERAMIC BLACK HM-533 MINA</x:t>
  </x:si>
  <x:si>
    <x:t xml:space="preserve">3418412000002698818</x:t>
  </x:si>
  <x:si>
    <x:t xml:space="preserve">ALU PROF NEON 20 L21XH22.5MM 2468 LITE BRONZE</x:t>
  </x:si>
  <x:si>
    <x:t xml:space="preserve">3418412000002698829</x:t>
  </x:si>
  <x:si>
    <x:t xml:space="preserve">ALU PROF NEW HD 3000X57.5X15 ANODISED CHAMPAGNE HM-516 MINA</x:t>
  </x:si>
  <x:si>
    <x:t xml:space="preserve">3418412000002698840</x:t>
  </x:si>
  <x:si>
    <x:t xml:space="preserve">ALU PROF NEW HD 3000X57.5X15 BRUSH GOLD HM-516 MINA</x:t>
  </x:si>
  <x:si>
    <x:t xml:space="preserve">3418412000002698851</x:t>
  </x:si>
  <x:si>
    <x:t xml:space="preserve">ALU PROF NEW HD 3000X87X15 ANODISED CHAMPAGNE HM-515 MINA</x:t>
  </x:si>
  <x:si>
    <x:t xml:space="preserve">3418412000002698862</x:t>
  </x:si>
  <x:si>
    <x:t xml:space="preserve">ALU PROF NEW HD 3000X87X15 BRUSH GOLD HM-515 MINA</x:t>
  </x:si>
  <x:si>
    <x:t xml:space="preserve">3418412000002698873</x:t>
  </x:si>
  <x:si>
    <x:t xml:space="preserve">ALU PROF POLE SYSTEM 3000XX ANODISED PPDS-ALS AN EBC</x:t>
  </x:si>
  <x:si>
    <x:t xml:space="preserve">3418412000002698884</x:t>
  </x:si>
  <x:si>
    <x:t xml:space="preserve">ALU PROF SHEET 2440X1220X5 RAW GE</x:t>
  </x:si>
  <x:si>
    <x:t xml:space="preserve">Gayatri Enterprises</x:t>
  </x:si>
  <x:si>
    <x:t xml:space="preserve">3418412000002698895</x:t>
  </x:si>
  <x:si>
    <x:t xml:space="preserve">ALU ROD EXTRUSION XX16 RAW LOC</x:t>
  </x:si>
  <x:si>
    <x:t xml:space="preserve">3418412000002698906</x:t>
  </x:si>
  <x:si>
    <x:t xml:space="preserve">ALU SHEET 2400X1200X1.5 RAW GAY</x:t>
  </x:si>
  <x:si>
    <x:t xml:space="preserve">3418412000002698917</x:t>
  </x:si>
  <x:si>
    <x:t xml:space="preserve">ALU SHEET 2400X1220X2 RAW GE</x:t>
  </x:si>
  <x:si>
    <x:t xml:space="preserve">3418412000002698928</x:t>
  </x:si>
  <x:si>
    <x:t xml:space="preserve">ALU SHEET 2440X1220X3 RAW GE</x:t>
  </x:si>
  <x:si>
    <x:t xml:space="preserve">3418412000002698939</x:t>
  </x:si>
  <x:si>
    <x:t xml:space="preserve">ALU SHEET 2440X1220X6 RAW GE</x:t>
  </x:si>
  <x:si>
    <x:t xml:space="preserve">3418412000002698950</x:t>
  </x:si>
  <x:si>
    <x:t xml:space="preserve">ALU SKIRTING AFTER CUTTING CONNECTOR 100XX 2434 OML</x:t>
  </x:si>
  <x:si>
    <x:t xml:space="preserve">3418412000002698961</x:t>
  </x:si>
  <x:si>
    <x:t xml:space="preserve">ALU SKIRTING AFTER CUTTING CONNECTOR 100XX CHAMPAGNE HM-520 NUOMI</x:t>
  </x:si>
  <x:si>
    <x:t xml:space="preserve">3418412000002698972</x:t>
  </x:si>
  <x:si>
    <x:t xml:space="preserve">ALU SKIRTING AFTER CUTTING CONNECTOR 100XX CHAMPAGNE HM-521 NUOMI</x:t>
  </x:si>
  <x:si>
    <x:t xml:space="preserve">3418412000002698983</x:t>
  </x:si>
  <x:si>
    <x:t xml:space="preserve">ALU SKIRTING PROFILE 100MM S2436-D973 3 MTR PVDF GOLD</x:t>
  </x:si>
  <x:si>
    <x:t xml:space="preserve">3418412000002698994</x:t>
  </x:si>
  <x:si>
    <x:t xml:space="preserve">ALU SKIRTING PROFILE 40MM SECTION NO 2441 3 MTR OML</x:t>
  </x:si>
  <x:si>
    <x:t xml:space="preserve">3418412000002699005</x:t>
  </x:si>
  <x:si>
    <x:t xml:space="preserve">ALU SLIDING TOP FITTING MANUAL TYPE MC.2311 F-OXIDATION L1150MM IMP</x:t>
  </x:si>
  <x:si>
    <x:t xml:space="preserve">3418412000002699016</x:t>
  </x:si>
  <x:si>
    <x:t xml:space="preserve">ALU SLIDING TOP FITTING MANUAL TYPE MC.2311 F-OXIDATION L550MM IMP</x:t>
  </x:si>
  <x:si>
    <x:t xml:space="preserve">3418412000002699027</x:t>
  </x:si>
  <x:si>
    <x:t xml:space="preserve">ALU SLIDING TOP FITTING MANUAL TYPE MC.2311 F-OXIDATION L850MM IMP</x:t>
  </x:si>
  <x:si>
    <x:t xml:space="preserve">3418412000002699038</x:t>
  </x:si>
  <x:si>
    <x:t xml:space="preserve">ANGLE ALUMINIUM 50X25X3X3600MM(2.300KG PER PC)WITHOUT ANODIESED</x:t>
  </x:si>
  <x:si>
    <x:t xml:space="preserve">3418412000002699049</x:t>
  </x:si>
  <x:si>
    <x:t xml:space="preserve">ANGLE GRINDING DISC 0 NO XX SOORIE</x:t>
  </x:si>
  <x:si>
    <x:t xml:space="preserve">Aggarwal Gypsum Solutions</x:t>
  </x:si>
  <x:si>
    <x:t xml:space="preserve">3418412000002699060</x:t>
  </x:si>
  <x:si>
    <x:t xml:space="preserve">ANGLE GRINDING DISC 1 NO XX SOORIE</x:t>
  </x:si>
  <x:si>
    <x:t xml:space="preserve">3418412000002699071</x:t>
  </x:si>
  <x:si>
    <x:t xml:space="preserve">ANGLE GRINDING DISC 2 NO XX SOORIE</x:t>
  </x:si>
  <x:si>
    <x:t xml:space="preserve">3418412000002699093</x:t>
  </x:si>
  <x:si>
    <x:t xml:space="preserve">ARALDITE FOR STONE</x:t>
  </x:si>
  <x:si>
    <x:t xml:space="preserve">3418412000002699104</x:t>
  </x:si>
  <x:si>
    <x:t xml:space="preserve">ARALDITE STANDARD 180 GM PACK XX NMT</x:t>
  </x:si>
  <x:si>
    <x:t xml:space="preserve">3418412000002699115</x:t>
  </x:si>
  <x:si>
    <x:t xml:space="preserve">ARALDITE STANDARD 1.80 KG PACK XX NMT</x:t>
  </x:si>
  <x:si>
    <x:t xml:space="preserve">3418412000002699126</x:t>
  </x:si>
  <x:si>
    <x:t xml:space="preserve">AVENTOS HL ACCESSORIES COVER CAP 292X250X37 LIGHT GREY 2376263 BLUM</x:t>
  </x:si>
  <x:si>
    <x:t xml:space="preserve">3418412000002699137</x:t>
  </x:si>
  <x:si>
    <x:t xml:space="preserve">AVENTOS HL LEVER ARM XX 6109280 20L3900 BLUM</x:t>
  </x:si>
  <x:si>
    <x:t xml:space="preserve">3418412000002699148</x:t>
  </x:si>
  <x:si>
    <x:t xml:space="preserve">AVENTOS HL LIFT UP SYSTEM CROSS STABILIZER SMALL ROD 210XX 5989274 BLUM</x:t>
  </x:si>
  <x:si>
    <x:t xml:space="preserve">3418412000002699159</x:t>
  </x:si>
  <x:si>
    <x:t xml:space="preserve">AVENTOS HL LIFT UP SYSTEM STABILIZER BIG ROD 1060XX 7799390 BLUM</x:t>
  </x:si>
  <x:si>
    <x:t xml:space="preserve">3418412000002699181</x:t>
  </x:si>
  <x:si>
    <x:t xml:space="preserve">BASE PLINTH FOR POLE SYSTEM ADJUSTABLE XX BROWN PPDS-HAP BR EBC</x:t>
  </x:si>
  <x:si>
    <x:t xml:space="preserve">3418412000002699192</x:t>
  </x:si>
  <x:si>
    <x:t xml:space="preserve">BIOMETRIC LOCK ANTIQUE BRONZE OZFL-55F OZONE</x:t>
  </x:si>
  <x:si>
    <x:t xml:space="preserve">Ozone Overseas Pvt Ltd.</x:t>
  </x:si>
  <x:si>
    <x:t xml:space="preserve">3418412000002699203</x:t>
  </x:si>
  <x:si>
    <x:t xml:space="preserve">BIOMETRIC LOCK BLACK OZFL-55F OZONE</x:t>
  </x:si>
  <x:si>
    <x:t xml:space="preserve">3418412000002699214</x:t>
  </x:si>
  <x:si>
    <x:t xml:space="preserve">BIT DRILL SILVERSTONE XX19 GSH</x:t>
  </x:si>
  <x:si>
    <x:t xml:space="preserve">3418412000002699225</x:t>
  </x:si>
  <x:si>
    <x:t xml:space="preserve">BIT DRILL SILVERSTONE XX19 GSS</x:t>
  </x:si>
  <x:si>
    <x:t xml:space="preserve">3418412000002699236</x:t>
  </x:si>
  <x:si>
    <x:t xml:space="preserve">BIT DRILL SILVERSTONE XX6.5 GSH</x:t>
  </x:si>
  <x:si>
    <x:t xml:space="preserve">G.S. Hardware</x:t>
  </x:si>
  <x:si>
    <x:t xml:space="preserve">3418412000002699247</x:t>
  </x:si>
  <x:si>
    <x:t xml:space="preserve">BIT SILVERSTONE 120X10X SP1020-120 RAJ</x:t>
  </x:si>
  <x:si>
    <x:t xml:space="preserve">Sunrise Corporation</x:t>
  </x:si>
  <x:si>
    <x:t xml:space="preserve">3418412000002699258</x:t>
  </x:si>
  <x:si>
    <x:t xml:space="preserve">BIT SILVERSTONE 90X6X DP0620-90 RAJ</x:t>
  </x:si>
  <x:si>
    <x:t xml:space="preserve">3418412000002699269</x:t>
  </x:si>
  <x:si>
    <x:t xml:space="preserve">BIT SILVERSTONE 90X6X RAJ</x:t>
  </x:si>
  <x:si>
    <x:t xml:space="preserve">3418412000002699280</x:t>
  </x:si>
  <x:si>
    <x:t xml:space="preserve">BIT SILVERSTONE 90XX8 DP08 RAJ</x:t>
  </x:si>
  <x:si>
    <x:t xml:space="preserve">3418412000002699291</x:t>
  </x:si>
  <x:si>
    <x:t xml:space="preserve">BIT SILVERSTONE INVERTED CONE 9X6X IMP</x:t>
  </x:si>
  <x:si>
    <x:t xml:space="preserve">3418412000002699302</x:t>
  </x:si>
  <x:si>
    <x:t xml:space="preserve">BLADE FOR STONE CUTTING XX10 POWDERTEX C9611 NAV</x:t>
  </x:si>
  <x:si>
    <x:t xml:space="preserve">Navyug Marketing</x:t>
  </x:si>
  <x:si>
    <x:t xml:space="preserve">3418412000002699324</x:t>
  </x:si>
  <x:si>
    <x:t xml:space="preserve">BOTTLE PULLOUT FOR 200 MM CAB HG 430X495X136 CHROME DOL</x:t>
  </x:si>
  <x:si>
    <x:t xml:space="preserve">3418412000002699335</x:t>
  </x:si>
  <x:si>
    <x:t xml:space="preserve">BOTTLE PULLOUT SS202 138X500X400 MM CHROME HG FOR CABINET 200MM DOL</x:t>
  </x:si>
  <x:si>
    <x:t xml:space="preserve">Durga Industries</x:t>
  </x:si>
  <x:si>
    <x:t xml:space="preserve">3418412000002699346</x:t>
  </x:si>
  <x:si>
    <x:t xml:space="preserve">BOTTLE PULLOUT THREE LAYERS 470X264X552 GREY 3183001 NOUMI</x:t>
  </x:si>
  <x:si>
    <x:t xml:space="preserve">3418412000002699357</x:t>
  </x:si>
  <x:si>
    <x:t xml:space="preserve">BOTTLE PULLOUT UNIVERSAL 465X150X580 GREY 304221 HI GOLD</x:t>
  </x:si>
  <x:si>
    <x:t xml:space="preserve">Atelier the Kitchen Studio</x:t>
  </x:si>
  <x:si>
    <x:t xml:space="preserve">3418412000002699368</x:t>
  </x:si>
  <x:si>
    <x:t xml:space="preserve">BOTTLE PULLOUT UNIVERSAL 465X200X580 GREY 304162 HI GOLD</x:t>
  </x:si>
  <x:si>
    <x:t xml:space="preserve">3418412000002699379</x:t>
  </x:si>
  <x:si>
    <x:t xml:space="preserve">BRACKET BOSSETI HANGING ROD XX WRF B2 EBC</x:t>
  </x:si>
  <x:si>
    <x:t xml:space="preserve">3418412000002699390</x:t>
  </x:si>
  <x:si>
    <x:t xml:space="preserve">BRACKET FOR CENTRE HANGING BRACKET 80X15X15 2462 GLO</x:t>
  </x:si>
  <x:si>
    <x:t xml:space="preserve">Global Precision Pvt Ltd</x:t>
  </x:si>
  <x:si>
    <x:t xml:space="preserve">3418412000002699401</x:t>
  </x:si>
  <x:si>
    <x:t xml:space="preserve">3418412000002699412</x:t>
  </x:si>
  <x:si>
    <x:t xml:space="preserve">BRACKET RIGHT ANGLE L TYPE 60X60X RAB-6 EBC</x:t>
  </x:si>
  <x:si>
    <x:t xml:space="preserve">Asy Hardware Solutions LLP</x:t>
  </x:si>
  <x:si>
    <x:t xml:space="preserve">3418412000002699423</x:t>
  </x:si>
  <x:si>
    <x:t xml:space="preserve">BRASS SHEET 05MM RAW FINISH 1200 X 350 MM</x:t>
  </x:si>
  <x:si>
    <x:t xml:space="preserve">SONA METALS</x:t>
  </x:si>
  <x:si>
    <x:t xml:space="preserve">3418412000002699434</x:t>
  </x:si>
  <x:si>
    <x:t xml:space="preserve">BRASS STRIP CUTTING CHARGES</x:t>
  </x:si>
  <x:si>
    <x:t xml:space="preserve">3418412000002699445</x:t>
  </x:si>
  <x:si>
    <x:t xml:space="preserve">BUILT IN REFRIGERATOR 244L CAR</x:t>
  </x:si>
  <x:si>
    <x:t xml:space="preserve">Aman Tiles Emporium</x:t>
  </x:si>
  <x:si>
    <x:t xml:space="preserve">3418412000002699456</x:t>
  </x:si>
  <x:si>
    <x:t xml:space="preserve">BUILT IN SAFE FOR DRAWER 900MM 350X864X200 GEM BROWN KWA-1916 AST</x:t>
  </x:si>
  <x:si>
    <x:t xml:space="preserve">3418412000002699467</x:t>
  </x:si>
  <x:si>
    <x:t xml:space="preserve">CABINET CONNECTOR 21X10X SS304 CNS-21S EBC</x:t>
  </x:si>
  <x:si>
    <x:t xml:space="preserve">3418412000002699478</x:t>
  </x:si>
  <x:si>
    <x:t xml:space="preserve">CABINET CONNECTOR 30X10X SS304 CNS-30S EBC</x:t>
  </x:si>
  <x:si>
    <x:t xml:space="preserve">3418412000002699489</x:t>
  </x:si>
  <x:si>
    <x:t xml:space="preserve">3418412000002699511</x:t>
  </x:si>
  <x:si>
    <x:t xml:space="preserve">CABLE ORGANISER CO60 GREY Ø60 MM EBC</x:t>
  </x:si>
  <x:si>
    <x:t xml:space="preserve">3418412000002699522</x:t>
  </x:si>
  <x:si>
    <x:t xml:space="preserve">CABLE VERTEBRAE (OVAL) VOL L - 780 MM GREY SNAKE EBC</x:t>
  </x:si>
  <x:si>
    <x:t xml:space="preserve">3418412000002699533</x:t>
  </x:si>
  <x:si>
    <x:t xml:space="preserve">CANISTER 100 GRAMS 014.047.02922 UTA</x:t>
  </x:si>
  <x:si>
    <x:t xml:space="preserve">3418412000002699544</x:t>
  </x:si>
  <x:si>
    <x:t xml:space="preserve">CANISTER 90 CM WITH 1 KG + 2 KG SET FOR SCALA 014.089.03049 UTA</x:t>
  </x:si>
  <x:si>
    <x:t xml:space="preserve">3418412000002699555</x:t>
  </x:si>
  <x:si>
    <x:t xml:space="preserve">CANISTER SPICE BASE BOARD IN BEECH FOR TAVINEA SORTO VIRARO 014.059.03004 UTA</x:t>
  </x:si>
  <x:si>
    <x:t xml:space="preserve">3418412000002699566</x:t>
  </x:si>
  <x:si>
    <x:t xml:space="preserve">CARRY CLAMP FOR SHEET MATERIAL</x:t>
  </x:si>
  <x:si>
    <x:t xml:space="preserve">3418412000002699577</x:t>
  </x:si>
  <x:si>
    <x:t xml:space="preserve">C CLAMP FOR STONE HANDLE</x:t>
  </x:si>
  <x:si>
    <x:t xml:space="preserve">Jangid Hi-Tech Engineering</x:t>
  </x:si>
  <x:si>
    <x:t xml:space="preserve">3418412000002699588</x:t>
  </x:si>
  <x:si>
    <x:t xml:space="preserve">CHAKLA CORION X230X22 WHITE LOC</x:t>
  </x:si>
  <x:si>
    <x:t xml:space="preserve">3418412000002699599</x:t>
  </x:si>
  <x:si>
    <x:t xml:space="preserve">CHIMNEY RAILING 150MM CAR</x:t>
  </x:si>
  <x:si>
    <x:t xml:space="preserve">3418412000002699610</x:t>
  </x:si>
  <x:si>
    <x:t xml:space="preserve">CHIMNEY SMART IOT 90CM CAR</x:t>
  </x:si>
  <x:si>
    <x:t xml:space="preserve">3418412000002699621</x:t>
  </x:si>
  <x:si>
    <x:t xml:space="preserve">CHIMNEY TERESA T-90 BLDC 534.84.503 HAF</x:t>
  </x:si>
  <x:si>
    <x:t xml:space="preserve">Maa Bhagwati Traders</x:t>
  </x:si>
  <x:si>
    <x:t xml:space="preserve">3418412000002699632</x:t>
  </x:si>
  <x:si>
    <x:t xml:space="preserve">CLEANINIG CLOTH CLOTH 1.25 MTR 1500X1250X ATISH</x:t>
  </x:si>
  <x:si>
    <x:t xml:space="preserve">Aatish Kumar Pandey</x:t>
  </x:si>
  <x:si>
    <x:t xml:space="preserve">3418412000002699643</x:t>
  </x:si>
  <x:si>
    <x:t xml:space="preserve">CLOCK NUMERICAL 3 XX BLACK LOC</x:t>
  </x:si>
  <x:si>
    <x:t xml:space="preserve">3418412000002699665</x:t>
  </x:si>
  <x:si>
    <x:t xml:space="preserve">CNC ROUTER MACHINE 2 HEAD</x:t>
  </x:si>
  <x:si>
    <x:t xml:space="preserve">3418412000002699676</x:t>
  </x:si>
  <x:si>
    <x:t xml:space="preserve">CNC ROUTER MACHINE 4 HEAD</x:t>
  </x:si>
  <x:si>
    <x:t xml:space="preserve">3418412000002699687</x:t>
  </x:si>
  <x:si>
    <x:t xml:space="preserve">COFFEE MAKER 2 MACHINE 60 CM CAR</x:t>
  </x:si>
  <x:si>
    <x:t xml:space="preserve">3418412000002699698</x:t>
  </x:si>
  <x:si>
    <x:t xml:space="preserve">COLLET ER-32-6MM</x:t>
  </x:si>
  <x:si>
    <x:t xml:space="preserve">3418412000002699709</x:t>
  </x:si>
  <x:si>
    <x:t xml:space="preserve">COMFORT BASE PULLOUT UNIVESAL 470X264X552 GREY 304302 HI GOLD</x:t>
  </x:si>
  <x:si>
    <x:t xml:space="preserve">3418412000002699731</x:t>
  </x:si>
  <x:si>
    <x:t xml:space="preserve">CONNECTOR FOR DIVIDER PROFILE XX 865D LINGA</x:t>
  </x:si>
  <x:si>
    <x:t xml:space="preserve">3418412000002699742</x:t>
  </x:si>
  <x:si>
    <x:t xml:space="preserve">CONNECTOR RIGHT ANGLE FOR POLE SYSTEM 50X20X50 BROWN PPDS-RAC-BR EBC</x:t>
  </x:si>
  <x:si>
    <x:t xml:space="preserve">3418412000002699753</x:t>
  </x:si>
  <x:si>
    <x:t xml:space="preserve">COOKING AGENT PULL OUT URBAN STYLE 300 INTER ANTHRACITE 2397599846 KES</x:t>
  </x:si>
  <x:si>
    <x:t xml:space="preserve">3418412000002699764</x:t>
  </x:si>
  <x:si>
    <x:t xml:space="preserve">CORIAN SHEET 3650X750X12 WARM WHITE 601 AD</x:t>
  </x:si>
  <x:si>
    <x:t xml:space="preserve">SQ.FT</x:t>
  </x:si>
  <x:si>
    <x:t xml:space="preserve">A D Trade Links Pvt. Ltd.</x:t>
  </x:si>
  <x:si>
    <x:t xml:space="preserve">3418412000002699775</x:t>
  </x:si>
  <x:si>
    <x:t xml:space="preserve">CORNER BRACKET COLLIC 55X90X150 KAPC-12 K ZONE</x:t>
  </x:si>
  <x:si>
    <x:t xml:space="preserve">3418412000002699786</x:t>
  </x:si>
  <x:si>
    <x:t xml:space="preserve">CORNER BRACKET FOR GLASS SHUTTER 62X62X GSP-CBM EBC</x:t>
  </x:si>
  <x:si>
    <x:t xml:space="preserve">3418412000002699797</x:t>
  </x:si>
  <x:si>
    <x:t xml:space="preserve">CORNER BRACKET FOR GLASS SHUTTER 70X70X2 PRO</x:t>
  </x:si>
  <x:si>
    <x:t xml:space="preserve">3418412000002699808</x:t>
  </x:si>
  <x:si>
    <x:t xml:space="preserve">CORNER BRACKET OR HANGING BRACKET SKY PROFILE 120X120X45 LOC</x:t>
  </x:si>
  <x:si>
    <x:t xml:space="preserve">3418412000002699819</x:t>
  </x:si>
  <x:si>
    <x:t xml:space="preserve">CORNER CONNECTOR 4S BX 6078 MAR</x:t>
  </x:si>
  <x:si>
    <x:t xml:space="preserve">3418412000002699830</x:t>
  </x:si>
  <x:si>
    <x:t xml:space="preserve">CORNER CONNECTOR 62X62X2 AAPC 002 TOP</x:t>
  </x:si>
  <x:si>
    <x:t xml:space="preserve">3418412000002699841</x:t>
  </x:si>
  <x:si>
    <x:t xml:space="preserve">CORNER CONNECTOR 80X100X 4S BX 6079 MAR</x:t>
  </x:si>
  <x:si>
    <x:t xml:space="preserve">3418412000002699852</x:t>
  </x:si>
  <x:si>
    <x:t xml:space="preserve">CORNER CONNECTOR FOR SMART CUBE 80X100X 3S BX 6077 MAR</x:t>
  </x:si>
  <x:si>
    <x:t xml:space="preserve">Ranjan Khosla &amp; Sons Pvt. Ltd.</x:t>
  </x:si>
  <x:si>
    <x:t xml:space="preserve">3418412000002699863</x:t>
  </x:si>
  <x:si>
    <x:t xml:space="preserve">CORNER CONNECTOR FOR SMART CUBE 80X100X 4S BX 6078 MAR</x:t>
  </x:si>
  <x:si>
    <x:t xml:space="preserve">3418412000002699874</x:t>
  </x:si>
  <x:si>
    <x:t xml:space="preserve">CORNER CONNECTOR FOR STONE 70X70X2 MAR</x:t>
  </x:si>
  <x:si>
    <x:t xml:space="preserve">3418412000002699885</x:t>
  </x:si>
  <x:si>
    <x:t xml:space="preserve">CORRUGATED ANGLE FOR PACKING 3000X35X35 BROWN LOC</x:t>
  </x:si>
  <x:si>
    <x:t xml:space="preserve">3418412000002699896</x:t>
  </x:si>
  <x:si>
    <x:t xml:space="preserve">CORRUGATED BOX 5PLY 300X300X160 LOC</x:t>
  </x:si>
  <x:si>
    <x:t xml:space="preserve">K.S. Packers</x:t>
  </x:si>
  <x:si>
    <x:t xml:space="preserve">3418412000002699907</x:t>
  </x:si>
  <x:si>
    <x:t xml:space="preserve">CORRUGATED BOX 5PLY 515X200X160 LOC</x:t>
  </x:si>
  <x:si>
    <x:t xml:space="preserve">3418412000002699918</x:t>
  </x:si>
  <x:si>
    <x:t xml:space="preserve">CORRUGATED BOX 5PLY 515X300X160 LOC</x:t>
  </x:si>
  <x:si>
    <x:t xml:space="preserve">3418412000002699929</x:t>
  </x:si>
  <x:si>
    <x:t xml:space="preserve">CORRUGATED BOX 5PLY 515X300X300 LOC</x:t>
  </x:si>
  <x:si>
    <x:t xml:space="preserve">3418412000002699940</x:t>
  </x:si>
  <x:si>
    <x:t xml:space="preserve">CORRUGATED BOX 5 PLY L540XW500XH200 MM</x:t>
  </x:si>
  <x:si>
    <x:t xml:space="preserve">3418412000002699951</x:t>
  </x:si>
  <x:si>
    <x:t xml:space="preserve">CORRUGATED ROLL FOR PACKING 2 PLY X1300X LOC</x:t>
  </x:si>
  <x:si>
    <x:t xml:space="preserve">3418412000002699984</x:t>
  </x:si>
  <x:si>
    <x:t xml:space="preserve">Cover Cap -15mm Elenore Mould Cost</x:t>
  </x:si>
  <x:si>
    <x:t xml:space="preserve">3418412000002699995</x:t>
  </x:si>
  <x:si>
    <x:t xml:space="preserve">COVER CAP FOR STONE 8X12.5X10 CREAM MOD</x:t>
  </x:si>
  <x:si>
    <x:t xml:space="preserve">3418412000002700006</x:t>
  </x:si>
  <x:si>
    <x:t xml:space="preserve">COVER CAP LH CABINET COVER 080.062.038112 85XX WHITE K018.C01L.906 003.012.00077 FTL</x:t>
  </x:si>
  <x:si>
    <x:t xml:space="preserve">Professional Assistance Group - Haryana</x:t>
  </x:si>
  <x:si>
    <x:t xml:space="preserve">3418412000002700017</x:t>
  </x:si>
  <x:si>
    <x:t xml:space="preserve">COVER CAP RH CABINET COVER 080.062.03811 85XX WHITE K018.C01R.906 003.012.00078 FTL</x:t>
  </x:si>
  <x:si>
    <x:t xml:space="preserve">3418412000002700028</x:t>
  </x:si>
  <x:si>
    <x:t xml:space="preserve">CUP SAUCER HOLDER 472X127X100 SS 304 HI GOLD</x:t>
  </x:si>
  <x:si>
    <x:t xml:space="preserve">3418412000002700039</x:t>
  </x:si>
  <x:si>
    <x:t xml:space="preserve">CUTLERY PLATE &amp; POT HOLDER WITH SEPERATOR 600MM 495X470X50 WOODEN INX</x:t>
  </x:si>
  <x:si>
    <x:t xml:space="preserve">3418412000002700050</x:t>
  </x:si>
  <x:si>
    <x:t xml:space="preserve">CUTLERY PLATE &amp; POT HOLDER WITH SEPERATOR 900 MM 800X470X50 WOODEN INX</x:t>
  </x:si>
  <x:si>
    <x:t xml:space="preserve">3418412000002700061</x:t>
  </x:si>
  <x:si>
    <x:t xml:space="preserve">CUTLERY TRAY 900 MM SILVER ORGA T440 919494000 HET</x:t>
  </x:si>
  <x:si>
    <x:t xml:space="preserve">3418412000002700094</x:t>
  </x:si>
  <x:si>
    <x:t xml:space="preserve">3418412000002700105</x:t>
  </x:si>
  <x:si>
    <x:t xml:space="preserve">DIAMOND PAD 220 NOS X100X AGG</x:t>
  </x:si>
  <x:si>
    <x:t xml:space="preserve">Unique Industrial Corporation</x:t>
  </x:si>
  <x:si>
    <x:t xml:space="preserve">3418412000002700116</x:t>
  </x:si>
  <x:si>
    <x:t xml:space="preserve">DIAMOND PAD 30 NOS X100X AGG</x:t>
  </x:si>
  <x:si>
    <x:t xml:space="preserve">3418412000002700127</x:t>
  </x:si>
  <x:si>
    <x:t xml:space="preserve">DIAMOND PAD 320 NOS X100X AGG</x:t>
  </x:si>
  <x:si>
    <x:t xml:space="preserve">3418412000002700138</x:t>
  </x:si>
  <x:si>
    <x:t xml:space="preserve">DIAMOND PAD 50 NOS X100X AGG</x:t>
  </x:si>
  <x:si>
    <x:t xml:space="preserve">3418412000002700149</x:t>
  </x:si>
  <x:si>
    <x:t xml:space="preserve">DIAMOND PAD 60 NOS X100X AGG</x:t>
  </x:si>
  <x:si>
    <x:t xml:space="preserve">3418412000002700160</x:t>
  </x:si>
  <x:si>
    <x:t xml:space="preserve">DISH RACK FOR 600MM CAB 565X565X280 SS 304 FGV</x:t>
  </x:si>
  <x:si>
    <x:t xml:space="preserve">3418412000002700171</x:t>
  </x:si>
  <x:si>
    <x:t xml:space="preserve">DISH RACK FOR 600MM CAB SS202 565X565X280 SS 202 CRY</x:t>
  </x:si>
  <x:si>
    <x:t xml:space="preserve">3418412000002700182</x:t>
  </x:si>
  <x:si>
    <x:t xml:space="preserve">DISH RACK FOR 800MM CAB SS202 765X565X280 SS 202 CRY</x:t>
  </x:si>
  <x:si>
    <x:t xml:space="preserve">3418412000002700193</x:t>
  </x:si>
  <x:si>
    <x:t xml:space="preserve">DISH RACK FOR 900 MM 865X565X280 PLASTIC TRAY 040.047.03214 UTA</x:t>
  </x:si>
  <x:si>
    <x:t xml:space="preserve">3418412000002700204</x:t>
  </x:si>
  <x:si>
    <x:t xml:space="preserve">DISH RACK FOR 900MM CAB 865X565X280 SS 202 SID</x:t>
  </x:si>
  <x:si>
    <x:t xml:space="preserve">3418412000002700215</x:t>
  </x:si>
  <x:si>
    <x:t xml:space="preserve">DISH RACK FOR 900MM CAB 865X565X280 SS 304 FGV</x:t>
  </x:si>
  <x:si>
    <x:t xml:space="preserve">3418412000002700226</x:t>
  </x:si>
  <x:si>
    <x:t xml:space="preserve">DOOR BUMPER 12XX3.2 TRANSPERENT BS2-1 EBC</x:t>
  </x:si>
  <x:si>
    <x:t xml:space="preserve">3418412000002700237</x:t>
  </x:si>
  <x:si>
    <x:t xml:space="preserve">DOOR BUMPER CUSHION TYPE XX8 GREY 015.006.00029 UTA</x:t>
  </x:si>
  <x:si>
    <x:t xml:space="preserve">3418412000002700248</x:t>
  </x:si>
  <x:si>
    <x:t xml:space="preserve">DOOR BUMPER PRESS TYPE XX5 TRANSPERENT 014.006.00029 UTA</x:t>
  </x:si>
  <x:si>
    <x:t xml:space="preserve">3418412000002700259</x:t>
  </x:si>
  <x:si>
    <x:t xml:space="preserve">DOOR BUMPERS 12.0 MM X 3.2 MM BS2-1 EBC</x:t>
  </x:si>
  <x:si>
    <x:t xml:space="preserve">3418412000002700270</x:t>
  </x:si>
  <x:si>
    <x:t xml:space="preserve">DOOR BUMPERS 3M BS2-6 EBC</x:t>
  </x:si>
  <x:si>
    <x:t xml:space="preserve">3418412000002700281</x:t>
  </x:si>
  <x:si>
    <x:t xml:space="preserve">DOOR BUMPER XX3 TRANSPERENT BS1-19 EBC</x:t>
  </x:si>
  <x:si>
    <x:t xml:space="preserve">3418412000002700292</x:t>
  </x:si>
  <x:si>
    <x:t xml:space="preserve">3418412000002700303</x:t>
  </x:si>
  <x:si>
    <x:t xml:space="preserve">DOOR DEVICE TOUGH OPEN SOFT CLOSE XX BLACK C82 LIAN</x:t>
  </x:si>
  <x:si>
    <x:t xml:space="preserve">3418412000002700314</x:t>
  </x:si>
  <x:si>
    <x:t xml:space="preserve">DOOR SEAL PROFILE 3000XX ANTHRACITE DSP AT EBC</x:t>
  </x:si>
  <x:si>
    <x:t xml:space="preserve">3418412000002700325</x:t>
  </x:si>
  <x:si>
    <x:t xml:space="preserve">DOOR SEAL PROFILE 3000XX SILVER DSP SL EBC</x:t>
  </x:si>
  <x:si>
    <x:t xml:space="preserve">3418412000002700336</x:t>
  </x:si>
  <x:si>
    <x:t xml:space="preserve">DOOR SEAL SELF ADHESIVE XX BRUSHED BLACK PRO</x:t>
  </x:si>
  <x:si>
    <x:t xml:space="preserve">3418412000002700347</x:t>
  </x:si>
  <x:si>
    <x:t xml:space="preserve">DOOR SENSOR FOR CABINET 12/24V 150X50X20 BLACK DC60W CRY</x:t>
  </x:si>
  <x:si>
    <x:t xml:space="preserve">3418412000002700358</x:t>
  </x:si>
  <x:si>
    <x:t xml:space="preserve">DOOR STRAIGHTNER 2300XX NIKEL PLATED TN323 016.069.05186 UTA</x:t>
  </x:si>
  <x:si>
    <x:t xml:space="preserve">3418412000002700369</x:t>
  </x:si>
  <x:si>
    <x:t xml:space="preserve">DOOR STRAIGHTNER 2300XX TN323 016.069.01226 UTA</x:t>
  </x:si>
  <x:si>
    <x:t xml:space="preserve">3418412000002700380</x:t>
  </x:si>
  <x:si>
    <x:t xml:space="preserve">DOOR STRAIGHTNER 2700XX NIKEL PLATED TN323 016.069.05187 UTA</x:t>
  </x:si>
  <x:si>
    <x:t xml:space="preserve">3418412000002700391</x:t>
  </x:si>
  <x:si>
    <x:t xml:space="preserve">DOOR STRAIGHTNER CONF SCAT 25 TN323 L2300 UTA</x:t>
  </x:si>
  <x:si>
    <x:t xml:space="preserve">3418412000002700402</x:t>
  </x:si>
  <x:si>
    <x:t xml:space="preserve">DOOR STRAIGHTNER HANDLE XX GREY DSTF2-HD GR EBC</x:t>
  </x:si>
  <x:si>
    <x:t xml:space="preserve">3418412000002700413</x:t>
  </x:si>
  <x:si>
    <x:t xml:space="preserve">DP460 APPLICATOR GUN</x:t>
  </x:si>
  <x:si>
    <x:t xml:space="preserve">3418412000002700424</x:t>
  </x:si>
  <x:si>
    <x:t xml:space="preserve">Blum India Pvt Ltd</x:t>
  </x:si>
  <x:si>
    <x:t xml:space="preserve">3418412000002700435</x:t>
  </x:si>
  <x:si>
    <x:t xml:space="preserve">3418412000002700446</x:t>
  </x:si>
  <x:si>
    <x:t xml:space="preserve">DRAWER BUILT IN FOR STORAGE 900MM 370X760X220 KWA-1918 AST</x:t>
  </x:si>
  <x:si>
    <x:t xml:space="preserve">3418412000002700457</x:t>
  </x:si>
  <x:si>
    <x:t xml:space="preserve">DRAWER HB SCALA NOVA PRO H90 40KG T550 RRD ANTHRACITE TOP</x:t>
  </x:si>
  <x:si>
    <x:t xml:space="preserve">3418412000002700468</x:t>
  </x:si>
  <x:si>
    <x:t xml:space="preserve">3418412000002700479</x:t>
  </x:si>
  <x:si>
    <x:t xml:space="preserve">DRAWER LB SCALA NOVA PRO H90 40KG T550 RRD ANTHRACITE TOP</x:t>
  </x:si>
  <x:si>
    <x:t xml:space="preserve">3418412000002700490</x:t>
  </x:si>
  <x:si>
    <x:t xml:space="preserve">DRAWER PLATE ORGANISER DPO1-610 GREY EBC</x:t>
  </x:si>
  <x:si>
    <x:t xml:space="preserve">3418412000002700501</x:t>
  </x:si>
  <x:si>
    <x:t xml:space="preserve">DRAWER SIDE RECTANGULAR RAILING GALLERY WITH BKT L 500 MM</x:t>
  </x:si>
  <x:si>
    <x:t xml:space="preserve">3418412000002700512</x:t>
  </x:si>
  <x:si>
    <x:t xml:space="preserve">DRAWER TANDEM BOX PUSH OPEN SOFT CLOSE H-90MM GRAPHITE GREY TD-500MM LB LIAN</x:t>
  </x:si>
  <x:si>
    <x:t xml:space="preserve">Lianxun Precision Manufacturing Co.</x:t>
  </x:si>
  <x:si>
    <x:t xml:space="preserve">3418412000002700523</x:t>
  </x:si>
  <x:si>
    <x:t xml:space="preserve">DRAWER TANDEM PUSH OPEN SOFT CLOSE HB XX175 GRAPHITE GREY TD-500 LIAN</x:t>
  </x:si>
  <x:si>
    <x:t xml:space="preserve">3418412000002700534</x:t>
  </x:si>
  <x:si>
    <x:t xml:space="preserve">DRAWER TANDEM SOFT CLOSE HB 500XX171 GRAPHITE GREY TA-500 LIAN</x:t>
  </x:si>
  <x:si>
    <x:t xml:space="preserve">3418412000002700545</x:t>
  </x:si>
  <x:si>
    <x:t xml:space="preserve">DRAWER TANDEM SOFT CLOSE HB 500XX175 GRAPHITE GREY TD30-16-175-500 LIAN</x:t>
  </x:si>
  <x:si>
    <x:t xml:space="preserve">3418412000002700556</x:t>
  </x:si>
  <x:si>
    <x:t xml:space="preserve">DRAWER TANDEM SOFT CLOSE HB 500XX239 GRAPHITE GREY TD30-16-239-500 LIAN</x:t>
  </x:si>
  <x:si>
    <x:t xml:space="preserve">3418412000002700567</x:t>
  </x:si>
  <x:si>
    <x:t xml:space="preserve">DRAWER TANDEM SOFT CLOSE LB 500XX88 GRAPHITE GREY TA-500 LIAN</x:t>
  </x:si>
  <x:si>
    <x:t xml:space="preserve">3418412000002700578</x:t>
  </x:si>
  <x:si>
    <x:t xml:space="preserve">DRAWER TANDEM SOFT CLOSE LB 500XX90 GRAPHITE GREY TD30-16-90-500 LIAN</x:t>
  </x:si>
  <x:si>
    <x:t xml:space="preserve">3418412000002700589</x:t>
  </x:si>
  <x:si>
    <x:t xml:space="preserve">DRESSING MIRROR FILD 55X350X1200 MIRROR KWA-1919 AST</x:t>
  </x:si>
  <x:si>
    <x:t xml:space="preserve">3418412000002700600</x:t>
  </x:si>
  <x:si>
    <x:t xml:space="preserve">DRILL MACHINE</x:t>
  </x:si>
  <x:si>
    <x:t xml:space="preserve">3418412000002700611</x:t>
  </x:si>
  <x:si>
    <x:t xml:space="preserve">DTERGENT HOLDER SS202 XX GENT</x:t>
  </x:si>
  <x:si>
    <x:t xml:space="preserve">3418412000002700622</x:t>
  </x:si>
  <x:si>
    <x:t xml:space="preserve">DYNAMOOV FE NL350 SOFT CLOSE SLIDE ON MOUNTING GRS 006.055.00242 GRS</x:t>
  </x:si>
  <x:si>
    <x:t xml:space="preserve">3418412000002700633</x:t>
  </x:si>
  <x:si>
    <x:t xml:space="preserve">DYNAMOOV FE NL 400 TIPMATIC SLIDE XX NIKEL PLATED F130101119211 006.056.00260 GRS</x:t>
  </x:si>
  <x:si>
    <x:t xml:space="preserve">3418412000002700644</x:t>
  </x:si>
  <x:si>
    <x:t xml:space="preserve">DYNAMOOV FE NL 450 SOFT CLOSE SLIDE ON XX NIKEL PLATED 006.055.00244 GRS</x:t>
  </x:si>
  <x:si>
    <x:t xml:space="preserve">3418412000002700655</x:t>
  </x:si>
  <x:si>
    <x:t xml:space="preserve">DYNAMOOV FE NL 450 TIPMATIC SLIDE XX NIKEL PLATED 006.056.00261 GRS</x:t>
  </x:si>
  <x:si>
    <x:t xml:space="preserve">3418412000002700666</x:t>
  </x:si>
  <x:si>
    <x:t xml:space="preserve">DYNAMOOV FE NL 500 TIPMATIC SLIDE XX NIKEL PLATED F130101123210 006.056.00262 GRS</x:t>
  </x:si>
  <x:si>
    <x:t xml:space="preserve">3418412000002700677</x:t>
  </x:si>
  <x:si>
    <x:t xml:space="preserve">EB SF X0.8X22 FABRIC 183 DEC</x:t>
  </x:si>
  <x:si>
    <x:t xml:space="preserve">DC Enterprises</x:t>
  </x:si>
  <x:si>
    <x:t xml:space="preserve">3418412000002700688</x:t>
  </x:si>
  <x:si>
    <x:t xml:space="preserve">EB SF X0.8X22 ROYAL TEAK 4223-2 DEC</x:t>
  </x:si>
  <x:si>
    <x:t xml:space="preserve">3418412000002700699</x:t>
  </x:si>
  <x:si>
    <x:t xml:space="preserve">EB SF X0.8X22 VINTAGE VENEER DARK T-245 DEC</x:t>
  </x:si>
  <x:si>
    <x:t xml:space="preserve">3418412000002700710</x:t>
  </x:si>
  <x:si>
    <x:t xml:space="preserve">EB SF X0.8X30 VINTAGE VENEER DARK T-245 DEC</x:t>
  </x:si>
  <x:si>
    <x:t xml:space="preserve">3418412000002700721</x:t>
  </x:si>
  <x:si>
    <x:t xml:space="preserve">EDGE POLISH MACHINE</x:t>
  </x:si>
  <x:si>
    <x:t xml:space="preserve">3418412000002700732</x:t>
  </x:si>
  <x:si>
    <x:t xml:space="preserve">ELECTRIC TAPE 17X6X0.125 RED/BLACK RIC</x:t>
  </x:si>
  <x:si>
    <x:t xml:space="preserve">Vinayak Electricals</x:t>
  </x:si>
  <x:si>
    <x:t xml:space="preserve">3418412000002700743</x:t>
  </x:si>
  <x:si>
    <x:t xml:space="preserve">END CAP FOR 15MM ELENORE RH MOD</x:t>
  </x:si>
  <x:si>
    <x:t xml:space="preserve">3418412000002700754</x:t>
  </x:si>
  <x:si>
    <x:t xml:space="preserve">END CAP FOR C TYPE PROFILE LH XX LITE BRONZE OML</x:t>
  </x:si>
  <x:si>
    <x:t xml:space="preserve">3418412000002700765</x:t>
  </x:si>
  <x:si>
    <x:t xml:space="preserve">END CAP FOR C TYPE PROFILE RH XX LITE BRONZE OML</x:t>
  </x:si>
  <x:si>
    <x:t xml:space="preserve">3418412000002700776</x:t>
  </x:si>
  <x:si>
    <x:t xml:space="preserve">END CAP FOR DISH HOLDER XX WHITE DH-1-EC EBC</x:t>
  </x:si>
  <x:si>
    <x:t xml:space="preserve">3418412000002700787</x:t>
  </x:si>
  <x:si>
    <x:t xml:space="preserve">END CAP FOR ELENOR LH/RH XX12 DRIFTWOOD IMP</x:t>
  </x:si>
  <x:si>
    <x:t xml:space="preserve">3418412000002700798</x:t>
  </x:si>
  <x:si>
    <x:t xml:space="preserve">END CAP FOR ELENOR LH/RH XX15 LITE BRONZE IMP</x:t>
  </x:si>
  <x:si>
    <x:t xml:space="preserve">3418412000002700809</x:t>
  </x:si>
  <x:si>
    <x:t xml:space="preserve">END CAP FOR J TYPE PROFILE LH XX LITE BRONZE OML</x:t>
  </x:si>
  <x:si>
    <x:t xml:space="preserve">3418412000002700820</x:t>
  </x:si>
  <x:si>
    <x:t xml:space="preserve">END CAP FOR J TYPE PROFILE RH XX LITE BRONZE OML</x:t>
  </x:si>
  <x:si>
    <x:t xml:space="preserve">3418412000002700831</x:t>
  </x:si>
  <x:si>
    <x:t xml:space="preserve">END CAP FOR LIGHT PROF XX MOD</x:t>
  </x:si>
  <x:si>
    <x:t xml:space="preserve">3418412000002700842</x:t>
  </x:si>
  <x:si>
    <x:t xml:space="preserve">END CAP FOR PROFILE K643 20XX2 RAW OML</x:t>
  </x:si>
  <x:si>
    <x:t xml:space="preserve">3418412000002700853</x:t>
  </x:si>
  <x:si>
    <x:t xml:space="preserve">END CAP FOR SILVERSTONE HANDLE LH/RH XX LITE BRONZE IMP</x:t>
  </x:si>
  <x:si>
    <x:t xml:space="preserve">3418412000002700864</x:t>
  </x:si>
  <x:si>
    <x:t xml:space="preserve">END CAP FOR SILVERSTONE HANDLE LH/RH XX ZINC ALLOY IMP</x:t>
  </x:si>
  <x:si>
    <x:t xml:space="preserve">3418412000002700875</x:t>
  </x:si>
  <x:si>
    <x:t xml:space="preserve">END CONNECTOR FOR POLE SYSTEM XX BROWN PPDS-ECS BR EBC</x:t>
  </x:si>
  <x:si>
    <x:t xml:space="preserve">3418412000002700886</x:t>
  </x:si>
  <x:si>
    <x:t xml:space="preserve">3418412000002700897</x:t>
  </x:si>
  <x:si>
    <x:t xml:space="preserve">END COVER CAP 15MM ELENORE LH MOD</x:t>
  </x:si>
  <x:si>
    <x:t xml:space="preserve">3418412000002700908</x:t>
  </x:si>
  <x:si>
    <x:t xml:space="preserve">END COVER FOR DRAWER PLATE ORGANISER XX WHITE DPO1-EC EBC</x:t>
  </x:si>
  <x:si>
    <x:t xml:space="preserve">3418412000002700919</x:t>
  </x:si>
  <x:si>
    <x:t xml:space="preserve">EPX GUN SMALL 450ML</x:t>
  </x:si>
  <x:si>
    <x:t xml:space="preserve">3418412000002700930</x:t>
  </x:si>
  <x:si>
    <x:t xml:space="preserve">EYE GLASSSES ORGANISER WRDACC XX LWAS-308 TT TOP</x:t>
  </x:si>
  <x:si>
    <x:t xml:space="preserve">3418412000002700941</x:t>
  </x:si>
  <x:si>
    <x:t xml:space="preserve">FABRIC 01MM 3133 W-54 INCH LUX</x:t>
  </x:si>
  <x:si>
    <x:t xml:space="preserve">Dilli Furnishings</x:t>
  </x:si>
  <x:si>
    <x:t xml:space="preserve">3418412000002700952</x:t>
  </x:si>
  <x:si>
    <x:t xml:space="preserve">FABRIC 01MM 7224 W-54 INCH LUX</x:t>
  </x:si>
  <x:si>
    <x:t xml:space="preserve">3418412000002700963</x:t>
  </x:si>
  <x:si>
    <x:t xml:space="preserve">FABRIC 01MM LUX S-469 (5407)</x:t>
  </x:si>
  <x:si>
    <x:t xml:space="preserve">3418412000002700974</x:t>
  </x:si>
  <x:si>
    <x:t xml:space="preserve">FABRIC BURGANDY COLLECTION VOL-1 SAHARA ROUGH. PLAIN 292 W-54 INCH DILL</x:t>
  </x:si>
  <x:si>
    <x:t xml:space="preserve">3418412000002700985</x:t>
  </x:si>
  <x:si>
    <x:t xml:space="preserve">FABRIC BURGANDY COLLECTION VOL-1 SAHARA ROUGH. PLAIN 308 W-54 INCH DILL</x:t>
  </x:si>
  <x:si>
    <x:t xml:space="preserve">3418412000002700996</x:t>
  </x:si>
  <x:si>
    <x:t xml:space="preserve">FABRIC BURGANDY COLLECTION VOL-1 SAHARA ROUGH. PLAIN 469 W-54 INCH DILL</x:t>
  </x:si>
  <x:si>
    <x:t xml:space="preserve">3418412000002701007</x:t>
  </x:si>
  <x:si>
    <x:t xml:space="preserve">FABRIC COVER FOR LAUNDRY BASKET 250X490X580MM</x:t>
  </x:si>
  <x:si>
    <x:t xml:space="preserve">3418412000002701018</x:t>
  </x:si>
  <x:si>
    <x:t xml:space="preserve">FABRIC LEATHERITE X1370X1 ANTELOPE NO. 716 DILL</x:t>
  </x:si>
  <x:si>
    <x:t xml:space="preserve">3418412000002701029</x:t>
  </x:si>
  <x:si>
    <x:t xml:space="preserve">FABRIC LEATHERITE X1370X1 ANTELOPE NO. 935 DILL</x:t>
  </x:si>
  <x:si>
    <x:t xml:space="preserve">3418412000002701040</x:t>
  </x:si>
  <x:si>
    <x:t xml:space="preserve">FABRIC LOUNGE ROBUST X1370X1 RABIIT M4 IMP</x:t>
  </x:si>
  <x:si>
    <x:t xml:space="preserve">3418412000002701051</x:t>
  </x:si>
  <x:si>
    <x:t xml:space="preserve">FABRIC LUXOR S.NO.-4</x:t>
  </x:si>
  <x:si>
    <x:t xml:space="preserve">3418412000002701062</x:t>
  </x:si>
  <x:si>
    <x:t xml:space="preserve">FABRIC SUEDE MIRAKI SKU NO. 315 54 INCH DELLI</x:t>
  </x:si>
  <x:si>
    <x:t xml:space="preserve">3418412000002701073</x:t>
  </x:si>
  <x:si>
    <x:t xml:space="preserve">FABRIC VELVETO 10 IVORY W-1350MM LUX</x:t>
  </x:si>
  <x:si>
    <x:t xml:space="preserve">3418412000002701084</x:t>
  </x:si>
  <x:si>
    <x:t xml:space="preserve">FABRIC X1370X1 3181 LUX</x:t>
  </x:si>
  <x:si>
    <x:t xml:space="preserve">3418412000002701095</x:t>
  </x:si>
  <x:si>
    <x:t xml:space="preserve">FABRIC X1370X1 398 MAD</x:t>
  </x:si>
  <x:si>
    <x:t xml:space="preserve">3418412000002701106</x:t>
  </x:si>
  <x:si>
    <x:t xml:space="preserve">FABRIC X1370X1 7224 LUX</x:t>
  </x:si>
  <x:si>
    <x:t xml:space="preserve">3418412000002701117</x:t>
  </x:si>
  <x:si>
    <x:t xml:space="preserve">FABRIC X1370X1 7522 LUX</x:t>
  </x:si>
  <x:si>
    <x:t xml:space="preserve">3418412000002701128</x:t>
  </x:si>
  <x:si>
    <x:t xml:space="preserve">FABRIC X1370X1 CASABELLA COCOA SHADE NO. 6 MAD</x:t>
  </x:si>
  <x:si>
    <x:t xml:space="preserve">3418412000002701139</x:t>
  </x:si>
  <x:si>
    <x:t xml:space="preserve">FABRIC X1370X1 CASABELLA COGNAC SHADE NO. 12 MAD</x:t>
  </x:si>
  <x:si>
    <x:t xml:space="preserve">3418412000002701150</x:t>
  </x:si>
  <x:si>
    <x:t xml:space="preserve">FABRIC X1370X1 DEV PANTHER 5101 MAD</x:t>
  </x:si>
  <x:si>
    <x:t xml:space="preserve">3418412000002701161</x:t>
  </x:si>
  <x:si>
    <x:t xml:space="preserve">FABRIC X1370X1 DEV PANTHER 5106 MAD</x:t>
  </x:si>
  <x:si>
    <x:t xml:space="preserve">3418412000002701172</x:t>
  </x:si>
  <x:si>
    <x:t xml:space="preserve">FABRIC X1370X1 DEV PANTHER 5108 MAD</x:t>
  </x:si>
  <x:si>
    <x:t xml:space="preserve">3418412000002701183</x:t>
  </x:si>
  <x:si>
    <x:t xml:space="preserve">FABRIC X1370X1 DEV PANTHER 5112 MAD</x:t>
  </x:si>
  <x:si>
    <x:t xml:space="preserve">3418412000002701194</x:t>
  </x:si>
  <x:si>
    <x:t xml:space="preserve">FABRIC X1370X1 DEV PANTHER 5116 MAD</x:t>
  </x:si>
  <x:si>
    <x:t xml:space="preserve">3418412000002701205</x:t>
  </x:si>
  <x:si>
    <x:t xml:space="preserve">FABRIC X1370X1 DEV RUSH 503 MAD</x:t>
  </x:si>
  <x:si>
    <x:t xml:space="preserve">3418412000002701216</x:t>
  </x:si>
  <x:si>
    <x:t xml:space="preserve">FABRIC X1370X1 DEV RUSH 550 MAD</x:t>
  </x:si>
  <x:si>
    <x:t xml:space="preserve">3418412000002701227</x:t>
  </x:si>
  <x:si>
    <x:t xml:space="preserve">FABRIC X1370X1 GALAXY SEDAN SHADE NO. 1003 MAD</x:t>
  </x:si>
  <x:si>
    <x:t xml:space="preserve">3418412000002701238</x:t>
  </x:si>
  <x:si>
    <x:t xml:space="preserve">FABRIC X1370X1 LUXOR S.NO. 6 MAD</x:t>
  </x:si>
  <x:si>
    <x:t xml:space="preserve">3418412000002701249</x:t>
  </x:si>
  <x:si>
    <x:t xml:space="preserve">FABRIC X1370X1 LUXOR S.NO. 7 MAD</x:t>
  </x:si>
  <x:si>
    <x:t xml:space="preserve">3418412000002701260</x:t>
  </x:si>
  <x:si>
    <x:t xml:space="preserve">FABRIC X1370X1 OEKO TEX S.NO. 16 KAPAAS</x:t>
  </x:si>
  <x:si>
    <x:t xml:space="preserve">3418412000002701271</x:t>
  </x:si>
  <x:si>
    <x:t xml:space="preserve">FABRIC X1370X1 OEKO TEX S.NO. 9 KAPAAS</x:t>
  </x:si>
  <x:si>
    <x:t xml:space="preserve">3418412000002701282</x:t>
  </x:si>
  <x:si>
    <x:t xml:space="preserve">FABRIC X1370X1 SAHARA ROUGHED 9233 DILL</x:t>
  </x:si>
  <x:si>
    <x:t xml:space="preserve">3418412000002701293</x:t>
  </x:si>
  <x:si>
    <x:t xml:space="preserve">FAUCET CL -2506 WALL MOUNTED FOR WET KIT CAR</x:t>
  </x:si>
  <x:si>
    <x:t xml:space="preserve">3418412000002701304</x:t>
  </x:si>
  <x:si>
    <x:t xml:space="preserve">FAUCET FHF 01 ANITQUE BRONZE FOR DRY KIT CAR</x:t>
  </x:si>
  <x:si>
    <x:t xml:space="preserve">3418412000002701315</x:t>
  </x:si>
  <x:si>
    <x:t xml:space="preserve">FAUCET FLEMINGO 1512 CAR</x:t>
  </x:si>
  <x:si>
    <x:t xml:space="preserve">3418412000002701326</x:t>
  </x:si>
  <x:si>
    <x:t xml:space="preserve">FIXING PLATE PLATE 1100 XX RAW OML</x:t>
  </x:si>
  <x:si>
    <x:t xml:space="preserve">3418412000002701337</x:t>
  </x:si>
  <x:si>
    <x:t xml:space="preserve">FLEXIBLE LED STRIP WARM WHITE 3000K, 60 LED/MTR, 24W, W-8MM, 5M ROLL, LED</x:t>
  </x:si>
  <x:si>
    <x:t xml:space="preserve">3418412000002701348</x:t>
  </x:si>
  <x:si>
    <x:t xml:space="preserve">FLIPPER FOR SHELF SUPPORT XX14 GREY 263.07.001 ITF</x:t>
  </x:si>
  <x:si>
    <x:t xml:space="preserve">3418412000002701359</x:t>
  </x:si>
  <x:si>
    <x:t xml:space="preserve">3418412000002701370</x:t>
  </x:si>
  <x:si>
    <x:t xml:space="preserve">FLIPPER SHELF SUPPORT XX14 BROWN 017.040.00098 UTA</x:t>
  </x:si>
  <x:si>
    <x:t xml:space="preserve">Utturkars Wood Culture</x:t>
  </x:si>
  <x:si>
    <x:t xml:space="preserve">3418412000002701381</x:t>
  </x:si>
  <x:si>
    <x:t xml:space="preserve">3418412000002701392</x:t>
  </x:si>
  <x:si>
    <x:t xml:space="preserve">FOAM EPE 2000XX15 WHITE AGG</x:t>
  </x:si>
  <x:si>
    <x:t xml:space="preserve">3418412000002701403</x:t>
  </x:si>
  <x:si>
    <x:t xml:space="preserve">FOAM EPE 2000XX40 WHITE AGG</x:t>
  </x:si>
  <x:si>
    <x:t xml:space="preserve">S.S. Trading and Packing Solution</x:t>
  </x:si>
  <x:si>
    <x:t xml:space="preserve">3418412000002701414</x:t>
  </x:si>
  <x:si>
    <x:t xml:space="preserve">FOAM EPE FOAM 1820X1220X30 PINK AGG</x:t>
  </x:si>
  <x:si>
    <x:t xml:space="preserve">3418412000002701425</x:t>
  </x:si>
  <x:si>
    <x:t xml:space="preserve">FOAM EPE PU 1820X915X25 BLACK AGG</x:t>
  </x:si>
  <x:si>
    <x:t xml:space="preserve">3418412000002701436</x:t>
  </x:si>
  <x:si>
    <x:t xml:space="preserve">FORK MOUNTED VACCUMM LIFTING ATTACHMENT</x:t>
  </x:si>
  <x:si>
    <x:t xml:space="preserve">3418412000002701447</x:t>
  </x:si>
  <x:si>
    <x:t xml:space="preserve">Freight Outward</x:t>
  </x:si>
  <x:si>
    <x:t xml:space="preserve">_x0004_ Not Applicable</x:t>
  </x:si>
  <x:si>
    <x:t xml:space="preserve">3418412000002701458</x:t>
  </x:si>
  <x:si>
    <x:t xml:space="preserve">FURNITURE</x:t>
  </x:si>
  <x:si>
    <x:t xml:space="preserve">3418412000002706276</x:t>
  </x:si>
  <x:si>
    <x:t xml:space="preserve">GLASS 04MM GREY TINTEF TOUGHENED 589X489MM</x:t>
  </x:si>
  <x:si>
    <x:t xml:space="preserve">SKV GLASS AND INTERIORS</x:t>
  </x:si>
  <x:si>
    <x:t xml:space="preserve">3418412000002706287</x:t>
  </x:si>
  <x:si>
    <x:t xml:space="preserve">GLASS 04MM TOUGHENED 565X547MM</x:t>
  </x:si>
  <x:si>
    <x:t xml:space="preserve">3418412000002706364</x:t>
  </x:si>
  <x:si>
    <x:t xml:space="preserve">GLASS 05 MM BROWN FLUTED TINTED TOUGH EP 1077 X 417 MM</x:t>
  </x:si>
  <x:si>
    <x:t xml:space="preserve">Kgn Glass and Decorative</x:t>
  </x:si>
  <x:si>
    <x:t xml:space="preserve">3418412000002706430</x:t>
  </x:si>
  <x:si>
    <x:t xml:space="preserve">GLASS 05 MM BROWN FLUTED TOUGH EP 1077 X417 MM</x:t>
  </x:si>
  <x:si>
    <x:t xml:space="preserve">3418412000002706485</x:t>
  </x:si>
  <x:si>
    <x:t xml:space="preserve">GLASS 05 MM BROWN FLUTED TOUGH EP 2392 X 442 MM</x:t>
  </x:si>
  <x:si>
    <x:t xml:space="preserve">3418412000002706617</x:t>
  </x:si>
  <x:si>
    <x:t xml:space="preserve">GLASS 05MM BROWN TINTED TOUGENED 717X417</x:t>
  </x:si>
  <x:si>
    <x:t xml:space="preserve">3418412000002706628</x:t>
  </x:si>
  <x:si>
    <x:t xml:space="preserve">GLASS 05 MM BROWN TINTED TOUGH 1077 X 542 MM</x:t>
  </x:si>
  <x:si>
    <x:t xml:space="preserve">3418412000002706727</x:t>
  </x:si>
  <x:si>
    <x:t xml:space="preserve">GLASS 05 MM BROWN TINTED TOUGH EP 1077 X 417 MM</x:t>
  </x:si>
  <x:si>
    <x:t xml:space="preserve">3418412000002706738</x:t>
  </x:si>
  <x:si>
    <x:t xml:space="preserve">GLASS 05 MM BROWN TINTED TOUGH EP 1077 X 442 MM</x:t>
  </x:si>
  <x:si>
    <x:t xml:space="preserve">3418412000002706760</x:t>
  </x:si>
  <x:si>
    <x:t xml:space="preserve">GLASS 05 MM BROWN TINTED TOUGH EP 1077 X 592 MM</x:t>
  </x:si>
  <x:si>
    <x:t xml:space="preserve">3418412000002706837</x:t>
  </x:si>
  <x:si>
    <x:t xml:space="preserve">GLASS 05 MM BROWN TINTED TOUGH EP 2359X439 MM</x:t>
  </x:si>
  <x:si>
    <x:t xml:space="preserve">3418412000002706859</x:t>
  </x:si>
  <x:si>
    <x:t xml:space="preserve">GLASS 05 MM BROWN TINTED TOUGH EP 2359X589 MM</x:t>
  </x:si>
  <x:si>
    <x:t xml:space="preserve">3418412000002706870</x:t>
  </x:si>
  <x:si>
    <x:t xml:space="preserve">GLASS 05 MM BROWN TINTED TOUGH EP 2362 X 442 MM</x:t>
  </x:si>
  <x:si>
    <x:t xml:space="preserve">3418412000002706914</x:t>
  </x:si>
  <x:si>
    <x:t xml:space="preserve">GLASS 05 MM BROWN TINTED TOUGH EP 2392 X 442 MM</x:t>
  </x:si>
  <x:si>
    <x:t xml:space="preserve">3418412000002706925</x:t>
  </x:si>
  <x:si>
    <x:t xml:space="preserve">GLASS 05 MM BROWN TINTED TOUGH EP 2392 X 492 MM</x:t>
  </x:si>
  <x:si>
    <x:t xml:space="preserve">3418412000002707222</x:t>
  </x:si>
  <x:si>
    <x:t xml:space="preserve">GLASS 05 MM BROWN TINTED TOUGH EP 712X442 MM</x:t>
  </x:si>
  <x:si>
    <x:t xml:space="preserve">3418412000002707277</x:t>
  </x:si>
  <x:si>
    <x:t xml:space="preserve">GLASS 05 MM BROWN TINTED TOUGH EP 717X592 MM</x:t>
  </x:si>
  <x:si>
    <x:t xml:space="preserve">3418412000002707310</x:t>
  </x:si>
  <x:si>
    <x:t xml:space="preserve">GLASS 05 MM CLEAR FLUTED GLASS TOUGH EP 1077X392 MM</x:t>
  </x:si>
  <x:si>
    <x:t xml:space="preserve">3418412000002707321</x:t>
  </x:si>
  <x:si>
    <x:t xml:space="preserve">GLASS 05 MM CLEAR FLUTED GLASS TOUGH EP 1077 X 417 MM</x:t>
  </x:si>
  <x:si>
    <x:t xml:space="preserve">3418412000002707354</x:t>
  </x:si>
  <x:si>
    <x:t xml:space="preserve">GLASS 05 MM CLEAR FLUTED GLASS TOUGH EP 1077 X 592 MM</x:t>
  </x:si>
  <x:si>
    <x:t xml:space="preserve">3418412000002707530</x:t>
  </x:si>
  <x:si>
    <x:t xml:space="preserve">GLASS 05 MM CLEAR FLUTED TOUGH EP 712 X 592 MM</x:t>
  </x:si>
  <x:si>
    <x:t xml:space="preserve">3418412000002707662</x:t>
  </x:si>
  <x:si>
    <x:t xml:space="preserve">GLASS 05 MM EXTRA CLEAR FLUTED GLASS TOUGH EP 2662X592 MM</x:t>
  </x:si>
  <x:si>
    <x:t xml:space="preserve">3418412000002708091</x:t>
  </x:si>
  <x:si>
    <x:t xml:space="preserve">GLASS 05MM GREY TINTED TOUGH EP 2209X589MM</x:t>
  </x:si>
  <x:si>
    <x:t xml:space="preserve">3418412000002708256</x:t>
  </x:si>
  <x:si>
    <x:t xml:space="preserve">GLASS 05 MM GREY TINTED TOUGH EP 889X489 MM</x:t>
  </x:si>
  <x:si>
    <x:t xml:space="preserve">3418412000002708344</x:t>
  </x:si>
  <x:si>
    <x:t xml:space="preserve">GLASS 05MM LOOKING MIRROR EP 2239X389MM WITH BLACK</x:t>
  </x:si>
  <x:si>
    <x:t xml:space="preserve">3418412000002709136</x:t>
  </x:si>
  <x:si>
    <x:t xml:space="preserve">GLASS 08 MM CLEAR TOUGH EP 514X287 MM</x:t>
  </x:si>
  <x:si>
    <x:t xml:space="preserve">3418412000002709290</x:t>
  </x:si>
  <x:si>
    <x:t xml:space="preserve">GLASS 08 MM CLEAR TOUGH EP 564X287 MM</x:t>
  </x:si>
  <x:si>
    <x:t xml:space="preserve">3418412000002709312</x:t>
  </x:si>
  <x:si>
    <x:t xml:space="preserve">GLASS 08 MM CLEAR TOUGH EP 564X296 MM</x:t>
  </x:si>
  <x:si>
    <x:t xml:space="preserve">3418412000002709323</x:t>
  </x:si>
  <x:si>
    <x:t xml:space="preserve">GLASS 08 MM CLEAR TOUGH EP 564 X 297 MM</x:t>
  </x:si>
  <x:si>
    <x:t xml:space="preserve">3418412000002709334</x:t>
  </x:si>
  <x:si>
    <x:t xml:space="preserve">GLASS 08 MM CLEAR TOUGH EP 564 X 496 MM</x:t>
  </x:si>
  <x:si>
    <x:t xml:space="preserve">3418412000002709433</x:t>
  </x:si>
  <x:si>
    <x:t xml:space="preserve">GLASS 08 MM CLEAR TOUGH EP 570 X 502 MM</x:t>
  </x:si>
  <x:si>
    <x:t xml:space="preserve">3418412000002709510</x:t>
  </x:si>
  <x:si>
    <x:t xml:space="preserve">GLASS 08 MM CLEAR TOUGH EP 814 X 287 MM</x:t>
  </x:si>
  <x:si>
    <x:t xml:space="preserve">3418412000002709576</x:t>
  </x:si>
  <x:si>
    <x:t xml:space="preserve">GLASS 08 MM CLEAR TOUGH EP 864 X 297 MM</x:t>
  </x:si>
  <x:si>
    <x:t xml:space="preserve">3418412000002709774</x:t>
  </x:si>
  <x:si>
    <x:t xml:space="preserve">GLASS 10 MM CLOUD CLEAR TOUGH EP 1142 X 392 MM</x:t>
  </x:si>
  <x:si>
    <x:t xml:space="preserve">3418412000002709807</x:t>
  </x:si>
  <x:si>
    <x:t xml:space="preserve">GLASS 10 MM CLOUD CLEAR TOUGH EP 2042X392 MM</x:t>
  </x:si>
  <x:si>
    <x:t xml:space="preserve">3418412000002709950</x:t>
  </x:si>
  <x:si>
    <x:t xml:space="preserve">GLASS 131151 EP 2211X591X5 EXOTIC SKV</x:t>
  </x:si>
  <x:si>
    <x:t xml:space="preserve">3418412000002709983</x:t>
  </x:si>
  <x:si>
    <x:t xml:space="preserve">GLASS 8 MM CLEAR TOUGHED EP 812X284 MM</x:t>
  </x:si>
  <x:si>
    <x:t xml:space="preserve">3418412000002709994</x:t>
  </x:si>
  <x:si>
    <x:t xml:space="preserve">GLASS MATT 1072X590X4 BROWN MIRROR KGN</x:t>
  </x:si>
  <x:si>
    <x:t xml:space="preserve">3418412000002710005</x:t>
  </x:si>
  <x:si>
    <x:t xml:space="preserve">GLASS MATT 2392X442X4 BROWN MIRROR KGN</x:t>
  </x:si>
  <x:si>
    <x:t xml:space="preserve">3418412000002710016</x:t>
  </x:si>
  <x:si>
    <x:t xml:space="preserve">GLASS MATT 2392X492X4 BROWN MIRROR KGN</x:t>
  </x:si>
  <x:si>
    <x:t xml:space="preserve">3418412000002710027</x:t>
  </x:si>
  <x:si>
    <x:t xml:space="preserve">GLASS MATT 2392X592X4 BROWN MIRROR KGN</x:t>
  </x:si>
  <x:si>
    <x:t xml:space="preserve">3418412000002710038</x:t>
  </x:si>
  <x:si>
    <x:t xml:space="preserve">GLASS MATT 592X185X4 BROWN MIRROR KGN</x:t>
  </x:si>
  <x:si>
    <x:t xml:space="preserve">3418412000002710049</x:t>
  </x:si>
  <x:si>
    <x:t xml:space="preserve">GLASS MATT 592X442X4 BROWN MIRROR KGN</x:t>
  </x:si>
  <x:si>
    <x:t xml:space="preserve">3418412000002710060</x:t>
  </x:si>
  <x:si>
    <x:t xml:space="preserve">GLASS MATT 592X492X4 BROWN MIRROR KGN</x:t>
  </x:si>
  <x:si>
    <x:t xml:space="preserve">3418412000002710071</x:t>
  </x:si>
  <x:si>
    <x:t xml:space="preserve">GLASS MATT 592X542X4 BROWN MIRROR KGN</x:t>
  </x:si>
  <x:si>
    <x:t xml:space="preserve">3418412000002710082</x:t>
  </x:si>
  <x:si>
    <x:t xml:space="preserve">GLASS MATT 592X592X4 BROWN MIRROR KGN</x:t>
  </x:si>
  <x:si>
    <x:t xml:space="preserve">3418412000002710093</x:t>
  </x:si>
  <x:si>
    <x:t xml:space="preserve">GLASS MATT 592X68X4 BROWN MIRROR KGN</x:t>
  </x:si>
  <x:si>
    <x:t xml:space="preserve">3418412000002710104</x:t>
  </x:si>
  <x:si>
    <x:t xml:space="preserve">3418412000002710115</x:t>
  </x:si>
  <x:si>
    <x:t xml:space="preserve">GLASS TINTED EP 717X442X5 COPPER MIRROR MATT</x:t>
  </x:si>
  <x:si>
    <x:t xml:space="preserve">JB Glass Enterprises</x:t>
  </x:si>
  <x:si>
    <x:t xml:space="preserve">3418412000002710126</x:t>
  </x:si>
  <x:si>
    <x:t xml:space="preserve">GLASS TINTED TOUGH EP 1342X592X5 BROWN FLUTED KGN</x:t>
  </x:si>
  <x:si>
    <x:t xml:space="preserve">3418412000002710137</x:t>
  </x:si>
  <x:si>
    <x:t xml:space="preserve">GLASS TINTED TOUGH EP 2562X492X5 BROWN FLUTED KGN</x:t>
  </x:si>
  <x:si>
    <x:t xml:space="preserve">3418412000002710148</x:t>
  </x:si>
  <x:si>
    <x:t xml:space="preserve">GLASS TINTED TOUGH EP 717X417X5 BROWN TINTED SKV</x:t>
  </x:si>
  <x:si>
    <x:t xml:space="preserve">3418412000002710159</x:t>
  </x:si>
  <x:si>
    <x:t xml:space="preserve">GLASS TINTED TOUGH EP 717X442X5 BROWN FLUTED SKV</x:t>
  </x:si>
  <x:si>
    <x:t xml:space="preserve">3418412000002710170</x:t>
  </x:si>
  <x:si>
    <x:t xml:space="preserve">GLASS TINTED TOUGH EP 717X442X5 COPPER MIRROR MAT KGN</x:t>
  </x:si>
  <x:si>
    <x:t xml:space="preserve">3418412000002710181</x:t>
  </x:si>
  <x:si>
    <x:t xml:space="preserve">GLASS TINTED TOUGH EP 717X542X5 BROWN FLUTED SKV</x:t>
  </x:si>
  <x:si>
    <x:t xml:space="preserve">3418412000002710192</x:t>
  </x:si>
  <x:si>
    <x:t xml:space="preserve">GLASS TINTED TOUGH EP 717X592X5 BROWEN TINTED SKV</x:t>
  </x:si>
  <x:si>
    <x:t xml:space="preserve">3418412000002710203</x:t>
  </x:si>
  <x:si>
    <x:t xml:space="preserve">GLASS TINTED TOUGH EP 717X592X5 BROWN FLUTED KGN</x:t>
  </x:si>
  <x:si>
    <x:t xml:space="preserve">3418412000002710214</x:t>
  </x:si>
  <x:si>
    <x:t xml:space="preserve">GLASS TOUGH 1077X542X5 BROWN TINTED SKV</x:t>
  </x:si>
  <x:si>
    <x:t xml:space="preserve">3418412000002710225</x:t>
  </x:si>
  <x:si>
    <x:t xml:space="preserve">GLASS TOUGH 788X537X8 EXTRA CLEAR SKV</x:t>
  </x:si>
  <x:si>
    <x:t xml:space="preserve">3418412000002710236</x:t>
  </x:si>
  <x:si>
    <x:t xml:space="preserve">GLASS TOUGH 789X537X8 EXTRA CLEAR SKV</x:t>
  </x:si>
  <x:si>
    <x:t xml:space="preserve">3418412000002710247</x:t>
  </x:si>
  <x:si>
    <x:t xml:space="preserve">GLASS TOUGH 846X537X8 EXTRA CLEAR SKV</x:t>
  </x:si>
  <x:si>
    <x:t xml:space="preserve">3418412000002710258</x:t>
  </x:si>
  <x:si>
    <x:t xml:space="preserve">GLASS TOUGH 850X537X8 EXTRA CLEAR SKV</x:t>
  </x:si>
  <x:si>
    <x:t xml:space="preserve">3418412000002710269</x:t>
  </x:si>
  <x:si>
    <x:t xml:space="preserve">GLASS TOUGH 853X537X8 EXTRA CLEAR SKV</x:t>
  </x:si>
  <x:si>
    <x:t xml:space="preserve">3418412000002710280</x:t>
  </x:si>
  <x:si>
    <x:t xml:space="preserve">GLASS TOUGH 857X537X8 EXTRA CLEAR SKV</x:t>
  </x:si>
  <x:si>
    <x:t xml:space="preserve">3418412000002710291</x:t>
  </x:si>
  <x:si>
    <x:t xml:space="preserve">GLASS TOUGH 858X537X8 EXTRA CLEAR SKV</x:t>
  </x:si>
  <x:si>
    <x:t xml:space="preserve">3418412000002710302</x:t>
  </x:si>
  <x:si>
    <x:t xml:space="preserve">GLASS TOUGH 859X539X4 CLEAR SKV</x:t>
  </x:si>
  <x:si>
    <x:t xml:space="preserve">3418412000002710313</x:t>
  </x:si>
  <x:si>
    <x:t xml:space="preserve">GLASS TOUGH 950X622X12 EXTRA CLEAR SKV</x:t>
  </x:si>
  <x:si>
    <x:t xml:space="preserve">3418412000002710324</x:t>
  </x:si>
  <x:si>
    <x:t xml:space="preserve">GLASS TOUGH EP 1012X508X8 CLEAR KGN</x:t>
  </x:si>
  <x:si>
    <x:t xml:space="preserve">3418412000002710335</x:t>
  </x:si>
  <x:si>
    <x:t xml:space="preserve">GLASS TOUGH EP 1014X508X8 CLEAR SKV</x:t>
  </x:si>
  <x:si>
    <x:t xml:space="preserve">3418412000002710346</x:t>
  </x:si>
  <x:si>
    <x:t xml:space="preserve">GLASS TOUGH EP 1014X511X8 CLEAR SKV</x:t>
  </x:si>
  <x:si>
    <x:t xml:space="preserve">3418412000002710357</x:t>
  </x:si>
  <x:si>
    <x:t xml:space="preserve">GLASS TOUGH EP 1015X511X8 CLEAR KGN</x:t>
  </x:si>
  <x:si>
    <x:t xml:space="preserve">3418412000002710368</x:t>
  </x:si>
  <x:si>
    <x:t xml:space="preserve">GLASS TOUGH EP 1077X417X5 BRONZE MATT KGN</x:t>
  </x:si>
  <x:si>
    <x:t xml:space="preserve">3418412000002710379</x:t>
  </x:si>
  <x:si>
    <x:t xml:space="preserve">GLASS TOUGH EP 1077X417X5 BROWN FLUTED TINTED SKV</x:t>
  </x:si>
  <x:si>
    <x:t xml:space="preserve">3418412000002710390</x:t>
  </x:si>
  <x:si>
    <x:t xml:space="preserve">GLASS TOUGH EP 1077X417X5 BROWN TINTED SKV</x:t>
  </x:si>
  <x:si>
    <x:t xml:space="preserve">3418412000002710401</x:t>
  </x:si>
  <x:si>
    <x:t xml:space="preserve">GLASS TOUGH EP 1077X417X5 CLEAR FLUTED KGN</x:t>
  </x:si>
  <x:si>
    <x:t xml:space="preserve">3418412000002710412</x:t>
  </x:si>
  <x:si>
    <x:t xml:space="preserve">GLASS TOUGH EP 1077X417X5 GREY TINTED SKV</x:t>
  </x:si>
  <x:si>
    <x:t xml:space="preserve">3418412000002710423</x:t>
  </x:si>
  <x:si>
    <x:t xml:space="preserve">GLASS TOUGH EP 1077X442X5 BRONZE MATT KGN</x:t>
  </x:si>
  <x:si>
    <x:t xml:space="preserve">3418412000002710434</x:t>
  </x:si>
  <x:si>
    <x:t xml:space="preserve">GLASS TOUGH EP 1077X442X5 BROWN FLUTED TINTED KGN</x:t>
  </x:si>
  <x:si>
    <x:t xml:space="preserve">3418412000002710445</x:t>
  </x:si>
  <x:si>
    <x:t xml:space="preserve">GLASS TOUGH EP 1077X442X5 BROWN TINTED SKV</x:t>
  </x:si>
  <x:si>
    <x:t xml:space="preserve">3418412000002710456</x:t>
  </x:si>
  <x:si>
    <x:t xml:space="preserve">GLASS TOUGH EP 1077X442X5 CLEAR FLUTED TINTED SKV</x:t>
  </x:si>
  <x:si>
    <x:t xml:space="preserve">3418412000002710467</x:t>
  </x:si>
  <x:si>
    <x:t xml:space="preserve">GLASS TOUGH EP 1077X442X5 COPPER MIRROR MATT KGN</x:t>
  </x:si>
  <x:si>
    <x:t xml:space="preserve">3418412000002710478</x:t>
  </x:si>
  <x:si>
    <x:t xml:space="preserve">GLASS TOUGH EP 1077X542X5 BROWN FLUTED TINTED KGN</x:t>
  </x:si>
  <x:si>
    <x:t xml:space="preserve">3418412000002710489</x:t>
  </x:si>
  <x:si>
    <x:t xml:space="preserve">GLASS TOUGH EP 1077X542X5 CLEAR FLUTED KGN</x:t>
  </x:si>
  <x:si>
    <x:t xml:space="preserve">3418412000002710500</x:t>
  </x:si>
  <x:si>
    <x:t xml:space="preserve">GLASS TOUGH EP 1077X542X5 COPPER MIRROR MATT KGN</x:t>
  </x:si>
  <x:si>
    <x:t xml:space="preserve">3418412000002710511</x:t>
  </x:si>
  <x:si>
    <x:t xml:space="preserve">GLASS TOUGH EP 1077X592X5 BROWN FLUTED TINTED KGN</x:t>
  </x:si>
  <x:si>
    <x:t xml:space="preserve">3418412000002710522</x:t>
  </x:si>
  <x:si>
    <x:t xml:space="preserve">GLASS TOUGH EP 1077X592X5 BROWN FLUTED TINTED SKV</x:t>
  </x:si>
  <x:si>
    <x:t xml:space="preserve">3418412000002710533</x:t>
  </x:si>
  <x:si>
    <x:t xml:space="preserve">GLASS TOUGH EP 1077X592X5 BROWN TINTED KGN</x:t>
  </x:si>
  <x:si>
    <x:t xml:space="preserve">3418412000002710544</x:t>
  </x:si>
  <x:si>
    <x:t xml:space="preserve">GLASS TOUGH EP 1077X592X5 CLEAR FLUTED KGN</x:t>
  </x:si>
  <x:si>
    <x:t xml:space="preserve">3418412000002710555</x:t>
  </x:si>
  <x:si>
    <x:t xml:space="preserve">GLASS TOUGH EP 1078X593X5 BROWN TINTED KGN</x:t>
  </x:si>
  <x:si>
    <x:t xml:space="preserve">3418412000002710566</x:t>
  </x:si>
  <x:si>
    <x:t xml:space="preserve">GLASS TOUGH EP 1100X600X12 EXTRA CLEAR KGN</x:t>
  </x:si>
  <x:si>
    <x:t xml:space="preserve">3418412000002710577</x:t>
  </x:si>
  <x:si>
    <x:t xml:space="preserve">GLASS TOUGH EP 1114X511X8 CLEAR SKV</x:t>
  </x:si>
  <x:si>
    <x:t xml:space="preserve">3418412000002710588</x:t>
  </x:si>
  <x:si>
    <x:t xml:space="preserve">GLASS TOUGH EP 1115X306X4 EXTRA CLEAR SKV</x:t>
  </x:si>
  <x:si>
    <x:t xml:space="preserve">3418412000002710599</x:t>
  </x:si>
  <x:si>
    <x:t xml:space="preserve">GLASS TOUGH EP 1142X392X10 CLOUDY CLEAR TINTED SKV</x:t>
  </x:si>
  <x:si>
    <x:t xml:space="preserve">3418412000002710610</x:t>
  </x:si>
  <x:si>
    <x:t xml:space="preserve">GLASS TOUGH EP 1145X530X4 EXTRA CLEAR KGN</x:t>
  </x:si>
  <x:si>
    <x:t xml:space="preserve">3418412000002710621</x:t>
  </x:si>
  <x:si>
    <x:t xml:space="preserve">GLASS TOUGH EP 1149X531X8 CLEAR KGN</x:t>
  </x:si>
  <x:si>
    <x:t xml:space="preserve">3418412000002710632</x:t>
  </x:si>
  <x:si>
    <x:t xml:space="preserve">GLASS TOUGH EP 1150X547X5 CLEAR SKV</x:t>
  </x:si>
  <x:si>
    <x:t xml:space="preserve">3418412000002710643</x:t>
  </x:si>
  <x:si>
    <x:t xml:space="preserve">GLASS TOUGH EP 1151X533X8 CLEAR KGN</x:t>
  </x:si>
  <x:si>
    <x:t xml:space="preserve">3418412000002710654</x:t>
  </x:si>
  <x:si>
    <x:t xml:space="preserve">GLASS TOUGH EP 1152X506X10 EXTRA CLEAR KGN</x:t>
  </x:si>
  <x:si>
    <x:t xml:space="preserve">3418412000002710665</x:t>
  </x:si>
  <x:si>
    <x:t xml:space="preserve">GLASS TOUGH EP 1157X547X5 CLEAR SKV</x:t>
  </x:si>
  <x:si>
    <x:t xml:space="preserve">3418412000002710676</x:t>
  </x:si>
  <x:si>
    <x:t xml:space="preserve">GLASS TOUGH EP 1158X540X5 CLEAR SKV</x:t>
  </x:si>
  <x:si>
    <x:t xml:space="preserve">3418412000002710687</x:t>
  </x:si>
  <x:si>
    <x:t xml:space="preserve">GLASS TOUGH EP 1158X547X5 CLEAR SKV</x:t>
  </x:si>
  <x:si>
    <x:t xml:space="preserve">3418412000002710698</x:t>
  </x:si>
  <x:si>
    <x:t xml:space="preserve">GLASS TOUGH EP 1161X515X5 CLEAR KGN</x:t>
  </x:si>
  <x:si>
    <x:t xml:space="preserve">3418412000002710709</x:t>
  </x:si>
  <x:si>
    <x:t xml:space="preserve">GLASS TOUGH EP 1165X547X5 CLEAR SKV</x:t>
  </x:si>
  <x:si>
    <x:t xml:space="preserve">3418412000002710720</x:t>
  </x:si>
  <x:si>
    <x:t xml:space="preserve">GLASS TOUGH EP 1166X547X5 CLEAR SKV</x:t>
  </x:si>
  <x:si>
    <x:t xml:space="preserve">3418412000002710731</x:t>
  </x:si>
  <x:si>
    <x:t xml:space="preserve">GLASS TOUGH EP 1275X555X12 EXTRA CLEAR KGN</x:t>
  </x:si>
  <x:si>
    <x:t xml:space="preserve">3418412000002710742</x:t>
  </x:si>
  <x:si>
    <x:t xml:space="preserve">GLASS TOUGH EP 1382X442X5 BROWN FLUTED TINTED SKV</x:t>
  </x:si>
  <x:si>
    <x:t xml:space="preserve">3418412000002710753</x:t>
  </x:si>
  <x:si>
    <x:t xml:space="preserve">GLASS TOUGH EP 1400X582X12 EXTRA CLEAR SKV</x:t>
  </x:si>
  <x:si>
    <x:t xml:space="preserve">3418412000002710764</x:t>
  </x:si>
  <x:si>
    <x:t xml:space="preserve">GLASS TOUGH EP 164X287X8 CLEAR KGN</x:t>
  </x:si>
  <x:si>
    <x:t xml:space="preserve">3418412000002710775</x:t>
  </x:si>
  <x:si>
    <x:t xml:space="preserve">GLASS TOUGH EP 1742X392X10MM CLOUD CLEAR KGN</x:t>
  </x:si>
  <x:si>
    <x:t xml:space="preserve">3418412000002710786</x:t>
  </x:si>
  <x:si>
    <x:t xml:space="preserve">GLASS TOUGH EP 1805X602X12 EXTRA CLEAR SKV</x:t>
  </x:si>
  <x:si>
    <x:t xml:space="preserve">3418412000002710797</x:t>
  </x:si>
  <x:si>
    <x:t xml:space="preserve">GLASS TOUGH EP 1828X1200X12 EXTRA CLEAR KGN</x:t>
  </x:si>
  <x:si>
    <x:t xml:space="preserve">3418412000002710808</x:t>
  </x:si>
  <x:si>
    <x:t xml:space="preserve">GLASS TOUGH EP 1855X560X10 EXTRA CLEAR SKV</x:t>
  </x:si>
  <x:si>
    <x:t xml:space="preserve">3418412000002710819</x:t>
  </x:si>
  <x:si>
    <x:t xml:space="preserve">GLASS TOUGH EP 189X879X5 EXTRA CLEAR SKV</x:t>
  </x:si>
  <x:si>
    <x:t xml:space="preserve">3418412000002710830</x:t>
  </x:si>
  <x:si>
    <x:t xml:space="preserve">GLASS TOUGH EP 194X294X5 GREY TINTED KGN</x:t>
  </x:si>
  <x:si>
    <x:t xml:space="preserve">3418412000002710841</x:t>
  </x:si>
  <x:si>
    <x:t xml:space="preserve">GLASS TOUGH EP 200X539X05 EXTRA CLEAR TINTED SKV</x:t>
  </x:si>
  <x:si>
    <x:t xml:space="preserve">3418412000002710852</x:t>
  </x:si>
  <x:si>
    <x:t xml:space="preserve">GLASS TOUGH EP 2032X442X5MM BROWN TINTED KGN</x:t>
  </x:si>
  <x:si>
    <x:t xml:space="preserve">3418412000002710863</x:t>
  </x:si>
  <x:si>
    <x:t xml:space="preserve">GLASS TOUGH EP 2032X542X4 BROWN TINTED KGN</x:t>
  </x:si>
  <x:si>
    <x:t xml:space="preserve">3418412000002710874</x:t>
  </x:si>
  <x:si>
    <x:t xml:space="preserve">GLASS TOUGH EP 2032X592X5 BROWN TINTED KGN</x:t>
  </x:si>
  <x:si>
    <x:t xml:space="preserve">3418412000002710885</x:t>
  </x:si>
  <x:si>
    <x:t xml:space="preserve">GLASS TOUGH EP 2042X392X10 CLOUD CLEAR SKV</x:t>
  </x:si>
  <x:si>
    <x:t xml:space="preserve">3418412000002710896</x:t>
  </x:si>
  <x:si>
    <x:t xml:space="preserve">GLASS TOUGH EP 208X294X8 CLEAR KGN</x:t>
  </x:si>
  <x:si>
    <x:t xml:space="preserve">3418412000002710907</x:t>
  </x:si>
  <x:si>
    <x:t xml:space="preserve">GLASS TOUGH EP 2099X329X6MM EXTRA CLEAR KGN</x:t>
  </x:si>
  <x:si>
    <x:t xml:space="preserve">3418412000002710918</x:t>
  </x:si>
  <x:si>
    <x:t xml:space="preserve">GLASS TOUGH EP 2099X479X6 BROWN TINTED KGN</x:t>
  </x:si>
  <x:si>
    <x:t xml:space="preserve">3418412000002710929</x:t>
  </x:si>
  <x:si>
    <x:t xml:space="preserve">GLASS TOUGH EP 2105X620X12 EXTRA CLEAR KGN</x:t>
  </x:si>
  <x:si>
    <x:t xml:space="preserve">3418412000002710940</x:t>
  </x:si>
  <x:si>
    <x:t xml:space="preserve">GLASS TOUGH EP 2117X297X6 EXTRA CLEAR KGN</x:t>
  </x:si>
  <x:si>
    <x:t xml:space="preserve">3418412000002710951</x:t>
  </x:si>
  <x:si>
    <x:t xml:space="preserve">GLASS TOUGH EP 2117X447X6 EXTRA CLEAR KGN</x:t>
  </x:si>
  <x:si>
    <x:t xml:space="preserve">3418412000002710962</x:t>
  </x:si>
  <x:si>
    <x:t xml:space="preserve">GLASS TOUGH EP 2159X776X5MM LOOKING MIRROR WITH BLACK FILM</x:t>
  </x:si>
  <x:si>
    <x:t xml:space="preserve">3418412000002710973</x:t>
  </x:si>
  <x:si>
    <x:t xml:space="preserve">GLASS TOUGH EP 2162X312X12 EXTRA CLEAR KGN</x:t>
  </x:si>
  <x:si>
    <x:t xml:space="preserve">3418412000002710984</x:t>
  </x:si>
  <x:si>
    <x:t xml:space="preserve">GLASS TOUGH EP 2162X462X12 EXTRA CLEAR KGN</x:t>
  </x:si>
  <x:si>
    <x:t xml:space="preserve">3418412000002710995</x:t>
  </x:si>
  <x:si>
    <x:t xml:space="preserve">GLASS TOUGH EP 2209X414X4 BROWN TINTED KGN</x:t>
  </x:si>
  <x:si>
    <x:t xml:space="preserve">3418412000002711006</x:t>
  </x:si>
  <x:si>
    <x:t xml:space="preserve">GLASS TOUGH EP 2209X589X5 GREY TINTED KGN</x:t>
  </x:si>
  <x:si>
    <x:t xml:space="preserve">3418412000002711017</x:t>
  </x:si>
  <x:si>
    <x:t xml:space="preserve">GLASS TOUGH EP 2212X442X4 BROWN TINTED SKV</x:t>
  </x:si>
  <x:si>
    <x:t xml:space="preserve">3418412000002711028</x:t>
  </x:si>
  <x:si>
    <x:t xml:space="preserve">GLASS TOUGH EP 2212X592X5 CLEAR LOOKING MIRROR SKV</x:t>
  </x:si>
  <x:si>
    <x:t xml:space="preserve">3418412000002711039</x:t>
  </x:si>
  <x:si>
    <x:t xml:space="preserve">GLASS TOUGH EP 2217X297X5 BROWN TINTED KGN</x:t>
  </x:si>
  <x:si>
    <x:t xml:space="preserve">3418412000002711050</x:t>
  </x:si>
  <x:si>
    <x:t xml:space="preserve">GLASS TOUGH EP 2217X297X5 EXTRA CLEAR SKV</x:t>
  </x:si>
  <x:si>
    <x:t xml:space="preserve">3418412000002711061</x:t>
  </x:si>
  <x:si>
    <x:t xml:space="preserve">GLASS TOUGH EP 2217X447X5 EXTRA CLEAR SKV</x:t>
  </x:si>
  <x:si>
    <x:t xml:space="preserve">3418412000002711072</x:t>
  </x:si>
  <x:si>
    <x:t xml:space="preserve">GLASS TOUGH EP 2239X339X05 LOOKING MIRROR KGN</x:t>
  </x:si>
  <x:si>
    <x:t xml:space="preserve">3418412000002711083</x:t>
  </x:si>
  <x:si>
    <x:t xml:space="preserve">GLASS TOUGH EP 2239X389X05 LOOKING MIRROR KGN</x:t>
  </x:si>
  <x:si>
    <x:t xml:space="preserve">3418412000002711094</x:t>
  </x:si>
  <x:si>
    <x:t xml:space="preserve">GLASS TOUGH EP 2239X489X05 LOOKING MIRROR KGN</x:t>
  </x:si>
  <x:si>
    <x:t xml:space="preserve">3418412000002711105</x:t>
  </x:si>
  <x:si>
    <x:t xml:space="preserve">GLASS TOUGH EP 2239X539X05 LOOKING MIRROR KGN</x:t>
  </x:si>
  <x:si>
    <x:t xml:space="preserve">3418412000002711116</x:t>
  </x:si>
  <x:si>
    <x:t xml:space="preserve">GLASS TOUGH EP 2262X312X12 EXTRA CLEAR SKV</x:t>
  </x:si>
  <x:si>
    <x:t xml:space="preserve">3418412000002711127</x:t>
  </x:si>
  <x:si>
    <x:t xml:space="preserve">GLASS TOUGH EP 2262X442X5 BROWN TINTED SKV</x:t>
  </x:si>
  <x:si>
    <x:t xml:space="preserve">3418412000002711138</x:t>
  </x:si>
  <x:si>
    <x:t xml:space="preserve">GLASS TOUGH EP 2262X462X12 EXTRA CLEAR KGN</x:t>
  </x:si>
  <x:si>
    <x:t xml:space="preserve">3418412000002711149</x:t>
  </x:si>
  <x:si>
    <x:t xml:space="preserve">GLASS TOUGH EP 2262X462X12 EXTRA CLEAR SKV</x:t>
  </x:si>
  <x:si>
    <x:t xml:space="preserve">3418412000002711160</x:t>
  </x:si>
  <x:si>
    <x:t xml:space="preserve">GLASS TOUGH EP 2262X492X5 BROWN TINTED SKV</x:t>
  </x:si>
  <x:si>
    <x:t xml:space="preserve">3418412000002711171</x:t>
  </x:si>
  <x:si>
    <x:t xml:space="preserve">GLASS TOUGH EP 2262X592X5 BROWN TINTED SKV</x:t>
  </x:si>
  <x:si>
    <x:t xml:space="preserve">3418412000002711182</x:t>
  </x:si>
  <x:si>
    <x:t xml:space="preserve">GLASS TOUGH EP 2307X592X4 BROWN FLUTED TINTED SKV</x:t>
  </x:si>
  <x:si>
    <x:t xml:space="preserve">3418412000002711193</x:t>
  </x:si>
  <x:si>
    <x:t xml:space="preserve">GLASS TOUGH EP 2348X328X6 BROWN TINTED KGN</x:t>
  </x:si>
  <x:si>
    <x:t xml:space="preserve">3418412000002711204</x:t>
  </x:si>
  <x:si>
    <x:t xml:space="preserve">GLASS TOUGH EP 2359X439X5 BROWN FLUTED TINTED SKV</x:t>
  </x:si>
  <x:si>
    <x:t xml:space="preserve">3418412000002711215</x:t>
  </x:si>
  <x:si>
    <x:t xml:space="preserve">GLASS TOUGH EP 2359X439X5 BROWN TINTED SKV</x:t>
  </x:si>
  <x:si>
    <x:t xml:space="preserve">3418412000002711226</x:t>
  </x:si>
  <x:si>
    <x:t xml:space="preserve">GLASS TOUGH EP 2359X489X5 BROWN FLUTED TINTED SKV</x:t>
  </x:si>
  <x:si>
    <x:t xml:space="preserve">3418412000002711237</x:t>
  </x:si>
  <x:si>
    <x:t xml:space="preserve">GLASS TOUGH EP 2359X489X5 BROWN TINTED SKV</x:t>
  </x:si>
  <x:si>
    <x:t xml:space="preserve">3418412000002711248</x:t>
  </x:si>
  <x:si>
    <x:t xml:space="preserve">GLASS TOUGH EP 2359X589X5 BROWN FLUTED TINTED SKV</x:t>
  </x:si>
  <x:si>
    <x:t xml:space="preserve">3418412000002711259</x:t>
  </x:si>
  <x:si>
    <x:t xml:space="preserve">GLASS TOUGH EP 2359X589X5 BROWN TINTED KGN</x:t>
  </x:si>
  <x:si>
    <x:t xml:space="preserve">3418412000002711270</x:t>
  </x:si>
  <x:si>
    <x:t xml:space="preserve">GLASS TOUGH EP 2362X392X5 BROWN FLUTED TINTED SKV</x:t>
  </x:si>
  <x:si>
    <x:t xml:space="preserve">3418412000002711281</x:t>
  </x:si>
  <x:si>
    <x:t xml:space="preserve">GLASS TOUGH EP 2362X442X5 BROWN MIRROR KGN</x:t>
  </x:si>
  <x:si>
    <x:t xml:space="preserve">3418412000002711292</x:t>
  </x:si>
  <x:si>
    <x:t xml:space="preserve">GLASS TOUGH EP 2362X492X5 LOOKING MIRROR KGN</x:t>
  </x:si>
  <x:si>
    <x:t xml:space="preserve">3418412000002711303</x:t>
  </x:si>
  <x:si>
    <x:t xml:space="preserve">GLASS TOUGH EP 2392X392X5 BROWN TINTED SKV</x:t>
  </x:si>
  <x:si>
    <x:t xml:space="preserve">3418412000002711314</x:t>
  </x:si>
  <x:si>
    <x:t xml:space="preserve">GLASS TOUGH EP 2392X442X5 BROWN FLUTED TINTED SKV</x:t>
  </x:si>
  <x:si>
    <x:t xml:space="preserve">3418412000002711325</x:t>
  </x:si>
  <x:si>
    <x:t xml:space="preserve">GLASS TOUGH EP 2392X442X5 BROWN TINTED SKV</x:t>
  </x:si>
  <x:si>
    <x:t xml:space="preserve">3418412000002711336</x:t>
  </x:si>
  <x:si>
    <x:t xml:space="preserve">GLASS TOUGH EP 2392X442X5 CLEAR FLUTED TINTED SKV</x:t>
  </x:si>
  <x:si>
    <x:t xml:space="preserve">3418412000002711347</x:t>
  </x:si>
  <x:si>
    <x:t xml:space="preserve">GLASS TOUGH EP 2392X592X5 BRONZE MATT KGN</x:t>
  </x:si>
  <x:si>
    <x:t xml:space="preserve">3418412000002711358</x:t>
  </x:si>
  <x:si>
    <x:t xml:space="preserve">GLASS TOUGH EP 2392X592X5 BROWN FLUTED TINTED KGN</x:t>
  </x:si>
  <x:si>
    <x:t xml:space="preserve">3418412000002711369</x:t>
  </x:si>
  <x:si>
    <x:t xml:space="preserve">GLASS TOUGH EP 2392X592X5 CLEAR FLUTED KGN</x:t>
  </x:si>
  <x:si>
    <x:t xml:space="preserve">3418412000002711380</x:t>
  </x:si>
  <x:si>
    <x:t xml:space="preserve">GLASS TOUGH EP 2392X612X5 CLEAR LOOKING MIRROR SKV</x:t>
  </x:si>
  <x:si>
    <x:t xml:space="preserve">3418412000002711391</x:t>
  </x:si>
  <x:si>
    <x:t xml:space="preserve">GLASS TOUGH EP 2393X593X5 BROWN TINTED KGN</x:t>
  </x:si>
  <x:si>
    <x:t xml:space="preserve">3418412000002711402</x:t>
  </x:si>
  <x:si>
    <x:t xml:space="preserve">GLASS TOUGH EP 239X679X5 CLEAR SKV</x:t>
  </x:si>
  <x:si>
    <x:t xml:space="preserve">3418412000002711413</x:t>
  </x:si>
  <x:si>
    <x:t xml:space="preserve">GLASS TOUGH EP 239X779X5 CLEAR SKV</x:t>
  </x:si>
  <x:si>
    <x:t xml:space="preserve">3418412000002711424</x:t>
  </x:si>
  <x:si>
    <x:t xml:space="preserve">GLASS TOUGH EP 239X879X5 EXTRA CLEAR SKV</x:t>
  </x:si>
  <x:si>
    <x:t xml:space="preserve">3418412000002711435</x:t>
  </x:si>
  <x:si>
    <x:t xml:space="preserve">GLASS TOUGH EP 2422X942X12 CLEAR KGN</x:t>
  </x:si>
  <x:si>
    <x:t xml:space="preserve">3418412000002711446</x:t>
  </x:si>
  <x:si>
    <x:t xml:space="preserve">GLASS TOUGH EP 2422X942X12 CLEAR SKV</x:t>
  </x:si>
  <x:si>
    <x:t xml:space="preserve">3418412000002711457</x:t>
  </x:si>
  <x:si>
    <x:t xml:space="preserve">GLASS TOUGH EP 2567X862X5 EXTRA CLEAR KGN</x:t>
  </x:si>
  <x:si>
    <x:t xml:space="preserve">3418412000002711468</x:t>
  </x:si>
  <x:si>
    <x:t xml:space="preserve">GLASS TOUGH EP 2567X875X5 CLEAR LOOKING MIRROR SKV</x:t>
  </x:si>
  <x:si>
    <x:t xml:space="preserve">3418412000002711479</x:t>
  </x:si>
  <x:si>
    <x:t xml:space="preserve">GLASS TOUGH EP 258X294X8 CLEAR SKV</x:t>
  </x:si>
  <x:si>
    <x:t xml:space="preserve">3418412000002711490</x:t>
  </x:si>
  <x:si>
    <x:t xml:space="preserve">GLASS TOUGH EP 258X518X8 CLEAR SKV</x:t>
  </x:si>
  <x:si>
    <x:t xml:space="preserve">3418412000002711501</x:t>
  </x:si>
  <x:si>
    <x:t xml:space="preserve">GLASS TOUGH EP 262X298X8 CLEAR KGN</x:t>
  </x:si>
  <x:si>
    <x:t xml:space="preserve">3418412000002711512</x:t>
  </x:si>
  <x:si>
    <x:t xml:space="preserve">GLASS TOUGH EP 264X284X8 CLEAR SKV</x:t>
  </x:si>
  <x:si>
    <x:t xml:space="preserve">3418412000002711523</x:t>
  </x:si>
  <x:si>
    <x:t xml:space="preserve">GLASS TOUGH EP 264X287X8 CLEAR SKV</x:t>
  </x:si>
  <x:si>
    <x:t xml:space="preserve">3418412000002711534</x:t>
  </x:si>
  <x:si>
    <x:t xml:space="preserve">GLASS TOUGH EP 265X287X8 CLEAR KGN</x:t>
  </x:si>
  <x:si>
    <x:t xml:space="preserve">3418412000002711545</x:t>
  </x:si>
  <x:si>
    <x:t xml:space="preserve">GLASS TOUGH EP 2662X592X05 EXTRA CLEAR FLUTED KGN</x:t>
  </x:si>
  <x:si>
    <x:t xml:space="preserve">3418412000002711556</x:t>
  </x:si>
  <x:si>
    <x:t xml:space="preserve">GLASS TOUGH EP 2665X296X5 EXTRA CLEAR KGN</x:t>
  </x:si>
  <x:si>
    <x:t xml:space="preserve">3418412000002711567</x:t>
  </x:si>
  <x:si>
    <x:t xml:space="preserve">GLASS TOUGH EP 2729X589X5 EXTRA CLEAR FLUTED SKV</x:t>
  </x:si>
  <x:si>
    <x:t xml:space="preserve">3418412000002711578</x:t>
  </x:si>
  <x:si>
    <x:t xml:space="preserve">GLASS TOUGH EP 279X779X5 EXTRA CLEAR SKV</x:t>
  </x:si>
  <x:si>
    <x:t xml:space="preserve">3418412000002711589</x:t>
  </x:si>
  <x:si>
    <x:t xml:space="preserve">GLASS TOUGH EP 284X262X8 CLEAR KGN</x:t>
  </x:si>
  <x:si>
    <x:t xml:space="preserve">3418412000002711600</x:t>
  </x:si>
  <x:si>
    <x:t xml:space="preserve">GLASS TOUGH EP 294X194X5 BROWN FLUTED TINTED KGN</x:t>
  </x:si>
  <x:si>
    <x:t xml:space="preserve">3418412000002711611</x:t>
  </x:si>
  <x:si>
    <x:t xml:space="preserve">GLASS TOUGH EP 294X194X5 BROWN TINTED KGN</x:t>
  </x:si>
  <x:si>
    <x:t xml:space="preserve">3418412000002711622</x:t>
  </x:si>
  <x:si>
    <x:t xml:space="preserve">GLASS TOUGH EP 294X194X5 CLEAR FLUTED KGN</x:t>
  </x:si>
  <x:si>
    <x:t xml:space="preserve">3418412000002711633</x:t>
  </x:si>
  <x:si>
    <x:t xml:space="preserve">GLASS TOUGH EP 294X194X5 EXTRA CLEAR KGN</x:t>
  </x:si>
  <x:si>
    <x:t xml:space="preserve">3418412000002711644</x:t>
  </x:si>
  <x:si>
    <x:t xml:space="preserve">GLASS TOUGH EP 294X258X8 CLEAR KGN</x:t>
  </x:si>
  <x:si>
    <x:t xml:space="preserve">3418412000002711655</x:t>
  </x:si>
  <x:si>
    <x:t xml:space="preserve">GLASS TOUGH EP 2959X561X5 EXTRA CLEAR SKV</x:t>
  </x:si>
  <x:si>
    <x:t xml:space="preserve">3418412000002711666</x:t>
  </x:si>
  <x:si>
    <x:t xml:space="preserve">GLASS TOUGH EP 3080X550X12 EXTRA CLEAR SKV</x:t>
  </x:si>
  <x:si>
    <x:t xml:space="preserve">3418412000002711677</x:t>
  </x:si>
  <x:si>
    <x:t xml:space="preserve">GLASS TOUGH EP 3080X574X12 EXTRA CLEAR SKV</x:t>
  </x:si>
  <x:si>
    <x:t xml:space="preserve">3418412000002711688</x:t>
  </x:si>
  <x:si>
    <x:t xml:space="preserve">GLASS TOUGH EP 308X162X6 CLEAR KGN</x:t>
  </x:si>
  <x:si>
    <x:t xml:space="preserve">3418412000002711699</x:t>
  </x:si>
  <x:si>
    <x:t xml:space="preserve">GLASS TOUGH EP 399X351X8 CLEAR KGN</x:t>
  </x:si>
  <x:si>
    <x:t xml:space="preserve">3418412000002711710</x:t>
  </x:si>
  <x:si>
    <x:t xml:space="preserve">GLASS TOUGH EP 399X531X8 CLEAR KGN</x:t>
  </x:si>
  <x:si>
    <x:t xml:space="preserve">3418412000002711721</x:t>
  </x:si>
  <x:si>
    <x:t xml:space="preserve">GLASS TOUGH EP 401X353X8 CLEAR KGN</x:t>
  </x:si>
  <x:si>
    <x:t xml:space="preserve">3418412000002711732</x:t>
  </x:si>
  <x:si>
    <x:t xml:space="preserve">GLASS TOUGH EP 401X533X8 CLEAR KGN</x:t>
  </x:si>
  <x:si>
    <x:t xml:space="preserve">3418412000002711743</x:t>
  </x:si>
  <x:si>
    <x:t xml:space="preserve">GLASS TOUGH EP 407X547X5 CLEAR SKV</x:t>
  </x:si>
  <x:si>
    <x:t xml:space="preserve">3418412000002711754</x:t>
  </x:si>
  <x:si>
    <x:t xml:space="preserve">GLASS TOUGH EP 408X360X5 CLEAR SKV</x:t>
  </x:si>
  <x:si>
    <x:t xml:space="preserve">3418412000002711765</x:t>
  </x:si>
  <x:si>
    <x:t xml:space="preserve">GLASS TOUGH EP 408X540X5 CLEAR SKV</x:t>
  </x:si>
  <x:si>
    <x:t xml:space="preserve">3418412000002711776</x:t>
  </x:si>
  <x:si>
    <x:t xml:space="preserve">GLASS TOUGH EP 412X284X8 CLEAR KGN</x:t>
  </x:si>
  <x:si>
    <x:t xml:space="preserve">3418412000002711787</x:t>
  </x:si>
  <x:si>
    <x:t xml:space="preserve">GLASS TOUGH EP 412X284X8 CLEAR SKV</x:t>
  </x:si>
  <x:si>
    <x:t xml:space="preserve">3418412000002711798</x:t>
  </x:si>
  <x:si>
    <x:t xml:space="preserve">GLASS TOUGH EP 412X308X6 CLEAR SKV</x:t>
  </x:si>
  <x:si>
    <x:t xml:space="preserve">3418412000002711809</x:t>
  </x:si>
  <x:si>
    <x:t xml:space="preserve">GLASS TOUGH EP 414X248X8 CLEAR SKV</x:t>
  </x:si>
  <x:si>
    <x:t xml:space="preserve">3418412000002711820</x:t>
  </x:si>
  <x:si>
    <x:t xml:space="preserve">GLASS TOUGH EP 414X284X8 CLEAR SKV</x:t>
  </x:si>
  <x:si>
    <x:t xml:space="preserve">3418412000002711831</x:t>
  </x:si>
  <x:si>
    <x:t xml:space="preserve">GLASS TOUGH EP 414X287X8 CLEAR SKV</x:t>
  </x:si>
  <x:si>
    <x:t xml:space="preserve">3418412000002711842</x:t>
  </x:si>
  <x:si>
    <x:t xml:space="preserve">GLASS TOUGH EP 414X309X8 CLEAR SKV</x:t>
  </x:si>
  <x:si>
    <x:t xml:space="preserve">3418412000002711853</x:t>
  </x:si>
  <x:si>
    <x:t xml:space="preserve">GLASS TOUGH EP 414X511X8 CLEAR SKV</x:t>
  </x:si>
  <x:si>
    <x:t xml:space="preserve">3418412000002711864</x:t>
  </x:si>
  <x:si>
    <x:t xml:space="preserve">GLASS TOUGH EP 415X287X8 CLEAR KGN</x:t>
  </x:si>
  <x:si>
    <x:t xml:space="preserve">3418412000002711875</x:t>
  </x:si>
  <x:si>
    <x:t xml:space="preserve">GLASS TOUGH EP 415X511X8 CLEAR KGN</x:t>
  </x:si>
  <x:si>
    <x:t xml:space="preserve">3418412000002711886</x:t>
  </x:si>
  <x:si>
    <x:t xml:space="preserve">GLASS TOUGH EP 449X531X8 CLEAR KGN</x:t>
  </x:si>
  <x:si>
    <x:t xml:space="preserve">3418412000002711897</x:t>
  </x:si>
  <x:si>
    <x:t xml:space="preserve">GLASS TOUGH EP 451X533X8 CLEAR KGN</x:t>
  </x:si>
  <x:si>
    <x:t xml:space="preserve">3418412000002711908</x:t>
  </x:si>
  <x:si>
    <x:t xml:space="preserve">GLASS TOUGH EP 458X540X5 CLEAR SKV</x:t>
  </x:si>
  <x:si>
    <x:t xml:space="preserve">3418412000002711919</x:t>
  </x:si>
  <x:si>
    <x:t xml:space="preserve">GLASS TOUGH EP 462X284X8 CLEAR KGN</x:t>
  </x:si>
  <x:si>
    <x:t xml:space="preserve">3418412000002711930</x:t>
  </x:si>
  <x:si>
    <x:t xml:space="preserve">GLASS TOUGH EP 462X308X6MM CLEAR SKV</x:t>
  </x:si>
  <x:si>
    <x:t xml:space="preserve">3418412000002711941</x:t>
  </x:si>
  <x:si>
    <x:t xml:space="preserve">GLASS TOUGH EP 462X508X8 CLEAR SKV</x:t>
  </x:si>
  <x:si>
    <x:t xml:space="preserve">3418412000002711952</x:t>
  </x:si>
  <x:si>
    <x:t xml:space="preserve">GLASS TOUGH EP 464X287X8 CLEAR KGN</x:t>
  </x:si>
  <x:si>
    <x:t xml:space="preserve">3418412000002711963</x:t>
  </x:si>
  <x:si>
    <x:t xml:space="preserve">GLASS TOUGH EP 464X511X8 CLEAR KGN</x:t>
  </x:si>
  <x:si>
    <x:t xml:space="preserve">3418412000002711974</x:t>
  </x:si>
  <x:si>
    <x:t xml:space="preserve">GLASS TOUGH EP 468X511X8 CLEAR SKV</x:t>
  </x:si>
  <x:si>
    <x:t xml:space="preserve">3418412000002711985</x:t>
  </x:si>
  <x:si>
    <x:t xml:space="preserve">GLASS TOUGH EP 506X304X8 CLEAR SKV</x:t>
  </x:si>
  <x:si>
    <x:t xml:space="preserve">3418412000002711996</x:t>
  </x:si>
  <x:si>
    <x:t xml:space="preserve">GLASS TOUGH EP 512X280X6 CLEAR KGN</x:t>
  </x:si>
  <x:si>
    <x:t xml:space="preserve">3418412000002712007</x:t>
  </x:si>
  <x:si>
    <x:t xml:space="preserve">GLASS TOUGH EP 512X284X8 CLEAR KGN</x:t>
  </x:si>
  <x:si>
    <x:t xml:space="preserve">3418412000002712018</x:t>
  </x:si>
  <x:si>
    <x:t xml:space="preserve">GLASS TOUGH EP 512X308X6 CLEAR KGN</x:t>
  </x:si>
  <x:si>
    <x:t xml:space="preserve">3418412000002712029</x:t>
  </x:si>
  <x:si>
    <x:t xml:space="preserve">GLASS TOUGH EP 514X284X8 CLEAR SKV</x:t>
  </x:si>
  <x:si>
    <x:t xml:space="preserve">3418412000002712040</x:t>
  </x:si>
  <x:si>
    <x:t xml:space="preserve">GLASS TOUGH EP 514X287X8 CLEAR SKV</x:t>
  </x:si>
  <x:si>
    <x:t xml:space="preserve">3418412000002712051</x:t>
  </x:si>
  <x:si>
    <x:t xml:space="preserve">GLASS TOUGH EP 515X287X5 CLEAR SKV</x:t>
  </x:si>
  <x:si>
    <x:t xml:space="preserve">3418412000002712062</x:t>
  </x:si>
  <x:si>
    <x:t xml:space="preserve">GLASS TOUGH EP 515X287X8 CLEAR SKV</x:t>
  </x:si>
  <x:si>
    <x:t xml:space="preserve">3418412000002712073</x:t>
  </x:si>
  <x:si>
    <x:t xml:space="preserve">GLASS TOUGH EP 519X282X8 CLEAR SKV</x:t>
  </x:si>
  <x:si>
    <x:t xml:space="preserve">3418412000002712084</x:t>
  </x:si>
  <x:si>
    <x:t xml:space="preserve">GLASS TOUGH EP 532X238X8 CLEAR KGN</x:t>
  </x:si>
  <x:si>
    <x:t xml:space="preserve">3418412000002712095</x:t>
  </x:si>
  <x:si>
    <x:t xml:space="preserve">GLASS TOUGH EP 539X349X5 BLACK TINTED KGN</x:t>
  </x:si>
  <x:si>
    <x:t xml:space="preserve">3418412000002712106</x:t>
  </x:si>
  <x:si>
    <x:t xml:space="preserve">GLASS TOUGH EP 545X411X5 CLEAR KGN</x:t>
  </x:si>
  <x:si>
    <x:t xml:space="preserve">3418412000002712117</x:t>
  </x:si>
  <x:si>
    <x:t xml:space="preserve">GLASS TOUGH EP 550X547X5 CLEAR SKV</x:t>
  </x:si>
  <x:si>
    <x:t xml:space="preserve">3418412000002712128</x:t>
  </x:si>
  <x:si>
    <x:t xml:space="preserve">GLASS TOUGH EP 556X520X8 CLEAR KGN</x:t>
  </x:si>
  <x:si>
    <x:t xml:space="preserve">3418412000002712139</x:t>
  </x:si>
  <x:si>
    <x:t xml:space="preserve">GLASS TOUGH EP 558X397X5 CLEAR SKV</x:t>
  </x:si>
  <x:si>
    <x:t xml:space="preserve">3418412000002712150</x:t>
  </x:si>
  <x:si>
    <x:t xml:space="preserve">GLASS TOUGH EP 560X591X4 CLEAR SKV</x:t>
  </x:si>
  <x:si>
    <x:t xml:space="preserve">3418412000002712161</x:t>
  </x:si>
  <x:si>
    <x:t xml:space="preserve">GLASS TOUGH EP 562X254X6 CLEAR KGN</x:t>
  </x:si>
  <x:si>
    <x:t xml:space="preserve">3418412000002712172</x:t>
  </x:si>
  <x:si>
    <x:t xml:space="preserve">GLASS TOUGH EP 562X278X6 CLEAR SKV</x:t>
  </x:si>
  <x:si>
    <x:t xml:space="preserve">3418412000002712183</x:t>
  </x:si>
  <x:si>
    <x:t xml:space="preserve">GLASS TOUGH EP 562X278X8 CLEAR KGN</x:t>
  </x:si>
  <x:si>
    <x:t xml:space="preserve">3418412000002712194</x:t>
  </x:si>
  <x:si>
    <x:t xml:space="preserve">GLASS TOUGH EP 562X284X8 CLEAR KGN</x:t>
  </x:si>
  <x:si>
    <x:t xml:space="preserve">3418412000002712205</x:t>
  </x:si>
  <x:si>
    <x:t xml:space="preserve">GLASS TOUGH EP 562X296X8 CLEAR KGN</x:t>
  </x:si>
  <x:si>
    <x:t xml:space="preserve">3418412000002712216</x:t>
  </x:si>
  <x:si>
    <x:t xml:space="preserve">GLASS TOUGH EP 562X374X6 CLEAR KGN</x:t>
  </x:si>
  <x:si>
    <x:t xml:space="preserve">3418412000002712227</x:t>
  </x:si>
  <x:si>
    <x:t xml:space="preserve">GLASS TOUGH EP 562X508X8 CLEAR KGN</x:t>
  </x:si>
  <x:si>
    <x:t xml:space="preserve">3418412000002712238</x:t>
  </x:si>
  <x:si>
    <x:t xml:space="preserve">GLASS TOUGH EP 562X508X8 CLEAR SKV</x:t>
  </x:si>
  <x:si>
    <x:t xml:space="preserve">3418412000002712249</x:t>
  </x:si>
  <x:si>
    <x:t xml:space="preserve">GLASS TOUGH EP 562X520X6 CLEAR KGN</x:t>
  </x:si>
  <x:si>
    <x:t xml:space="preserve">3418412000002712260</x:t>
  </x:si>
  <x:si>
    <x:t xml:space="preserve">GLASS TOUGH EP 564X272X8 CLEAR SKV</x:t>
  </x:si>
  <x:si>
    <x:t xml:space="preserve">3418412000002712271</x:t>
  </x:si>
  <x:si>
    <x:t xml:space="preserve">GLASS TOUGH EP 564X274X8 CLEAR SKV</x:t>
  </x:si>
  <x:si>
    <x:t xml:space="preserve">3418412000002712282</x:t>
  </x:si>
  <x:si>
    <x:t xml:space="preserve">GLASS TOUGH EP 564X284X8 CLEAR SKV</x:t>
  </x:si>
  <x:si>
    <x:t xml:space="preserve">3418412000002712293</x:t>
  </x:si>
  <x:si>
    <x:t xml:space="preserve">GLASS TOUGH EP 564X287X8 CLEAR SKV</x:t>
  </x:si>
  <x:si>
    <x:t xml:space="preserve">3418412000002712304</x:t>
  </x:si>
  <x:si>
    <x:t xml:space="preserve">GLASS TOUGH EP 564X296X8 CLEAR SKV</x:t>
  </x:si>
  <x:si>
    <x:t xml:space="preserve">3418412000002712315</x:t>
  </x:si>
  <x:si>
    <x:t xml:space="preserve">GLASS TOUGH EP 564X297X8 CLEAR SKV</x:t>
  </x:si>
  <x:si>
    <x:t xml:space="preserve">3418412000002712326</x:t>
  </x:si>
  <x:si>
    <x:t xml:space="preserve">GLASS TOUGH EP 564X298X8 CLEAR SKV</x:t>
  </x:si>
  <x:si>
    <x:t xml:space="preserve">3418412000002712337</x:t>
  </x:si>
  <x:si>
    <x:t xml:space="preserve">GLASS TOUGH EP 564X495X8 CLEAR SKV</x:t>
  </x:si>
  <x:si>
    <x:t xml:space="preserve">3418412000002712348</x:t>
  </x:si>
  <x:si>
    <x:t xml:space="preserve">GLASS TOUGH EP 564X496X8 CLEAR TINTED SKV</x:t>
  </x:si>
  <x:si>
    <x:t xml:space="preserve">3418412000002712359</x:t>
  </x:si>
  <x:si>
    <x:t xml:space="preserve">GLASS TOUGH EP 565X287X8 CLEAR KGN</x:t>
  </x:si>
  <x:si>
    <x:t xml:space="preserve">3418412000002712370</x:t>
  </x:si>
  <x:si>
    <x:t xml:space="preserve">GLASS TOUGH EP 565X511X8 CLEAR KGN</x:t>
  </x:si>
  <x:si>
    <x:t xml:space="preserve">3418412000002712381</x:t>
  </x:si>
  <x:si>
    <x:t xml:space="preserve">GLASS TOUGH EP 568X287X08 CLEAR TINTED SKV</x:t>
  </x:si>
  <x:si>
    <x:t xml:space="preserve">3418412000002712392</x:t>
  </x:si>
  <x:si>
    <x:t xml:space="preserve">GLASS TOUGH EP 568X298X08 CLEAR TINTED SKV</x:t>
  </x:si>
  <x:si>
    <x:t xml:space="preserve">3418412000002712403</x:t>
  </x:si>
  <x:si>
    <x:t xml:space="preserve">GLASS TOUGH EP 568X304X8 CLEAR SKV</x:t>
  </x:si>
  <x:si>
    <x:t xml:space="preserve">3418412000002712414</x:t>
  </x:si>
  <x:si>
    <x:t xml:space="preserve">GLASS TOUGH EP 589X364X4 BROWN TINTED KGN</x:t>
  </x:si>
  <x:si>
    <x:t xml:space="preserve">3418412000002712425</x:t>
  </x:si>
  <x:si>
    <x:t xml:space="preserve">GLASS TOUGH EP 589X414X4 BROWN TINTED KGN</x:t>
  </x:si>
  <x:si>
    <x:t xml:space="preserve">3418412000002712436</x:t>
  </x:si>
  <x:si>
    <x:t xml:space="preserve">GLASS TOUGH EP 589X439X4 BROWN TINTED KGN</x:t>
  </x:si>
  <x:si>
    <x:t xml:space="preserve">3418412000002712447</x:t>
  </x:si>
  <x:si>
    <x:t xml:space="preserve">GLASS TOUGH EP 589X489X5 GREY TINTED SKV</x:t>
  </x:si>
  <x:si>
    <x:t xml:space="preserve">3418412000002712458</x:t>
  </x:si>
  <x:si>
    <x:t xml:space="preserve">GLASS TOUGH EP 592X517X5 BROWN FLUTED TINTED SKV</x:t>
  </x:si>
  <x:si>
    <x:t xml:space="preserve">3418412000002712469</x:t>
  </x:si>
  <x:si>
    <x:t xml:space="preserve">GLASS TOUGH EP 592X517X5 BROWN TINTED KGN</x:t>
  </x:si>
  <x:si>
    <x:t xml:space="preserve">3418412000002712480</x:t>
  </x:si>
  <x:si>
    <x:t xml:space="preserve">GLASS TOUGH EP 594X294X5 BROWN FLUTED TINTED KGN</x:t>
  </x:si>
  <x:si>
    <x:t xml:space="preserve">3418412000002712491</x:t>
  </x:si>
  <x:si>
    <x:t xml:space="preserve">GLASS TOUGH EP 594X294X5 BROWN TINTED KGN</x:t>
  </x:si>
  <x:si>
    <x:t xml:space="preserve">3418412000002712502</x:t>
  </x:si>
  <x:si>
    <x:t xml:space="preserve">GLASS TOUGH EP 594X294X5 CLEAR FLUTED KGN</x:t>
  </x:si>
  <x:si>
    <x:t xml:space="preserve">3418412000002712513</x:t>
  </x:si>
  <x:si>
    <x:t xml:space="preserve">GLASS TOUGH EP 594X294X5 EXTRA CLEAR KGN</x:t>
  </x:si>
  <x:si>
    <x:t xml:space="preserve">3418412000002712524</x:t>
  </x:si>
  <x:si>
    <x:t xml:space="preserve">GLASS TOUGH EP 594X294X5 GREY TINTED KGN</x:t>
  </x:si>
  <x:si>
    <x:t xml:space="preserve">3418412000002712535</x:t>
  </x:si>
  <x:si>
    <x:t xml:space="preserve">GLASS TOUGH EP 705X495X5 BROWN TINTED KGN</x:t>
  </x:si>
  <x:si>
    <x:t xml:space="preserve">3418412000002712546</x:t>
  </x:si>
  <x:si>
    <x:t xml:space="preserve">GLASS TOUGH EP 708X234X5 BROWN FLUTED TINTED SKV</x:t>
  </x:si>
  <x:si>
    <x:t xml:space="preserve">3418412000002712557</x:t>
  </x:si>
  <x:si>
    <x:t xml:space="preserve">GLASS TOUGH EP 708X458X5 EXTRA CLEAR KGN</x:t>
  </x:si>
  <x:si>
    <x:t xml:space="preserve">3418412000002712568</x:t>
  </x:si>
  <x:si>
    <x:t xml:space="preserve">GLASS TOUGH EP 709X439X5 BROWN TINTED KGN</x:t>
  </x:si>
  <x:si>
    <x:t xml:space="preserve">3418412000002712579</x:t>
  </x:si>
  <x:si>
    <x:t xml:space="preserve">GLASS TOUGH EP 712X392X5 BROWN TINTED KGN</x:t>
  </x:si>
  <x:si>
    <x:t xml:space="preserve">3418412000002712590</x:t>
  </x:si>
  <x:si>
    <x:t xml:space="preserve">GLASS TOUGH EP 712X417X5 BROWN TINTED KGN</x:t>
  </x:si>
  <x:si>
    <x:t xml:space="preserve">3418412000002712601</x:t>
  </x:si>
  <x:si>
    <x:t xml:space="preserve">GLASS TOUGH EP 712X442X4 BROWN TINTED KGN</x:t>
  </x:si>
  <x:si>
    <x:t xml:space="preserve">3418412000002712612</x:t>
  </x:si>
  <x:si>
    <x:t xml:space="preserve">GLASS TOUGH EP 712X577X5 BROWN FLUTED TINTED SKV</x:t>
  </x:si>
  <x:si>
    <x:t xml:space="preserve">3418412000002712623</x:t>
  </x:si>
  <x:si>
    <x:t xml:space="preserve">GLASS TOUGH EP 712X592X5 CLEAR FLUTED KGN</x:t>
  </x:si>
  <x:si>
    <x:t xml:space="preserve">3418412000002712634</x:t>
  </x:si>
  <x:si>
    <x:t xml:space="preserve">GLASS TOUGH EP 714X439X5 BROWN FLUTED TINTED SKV</x:t>
  </x:si>
  <x:si>
    <x:t xml:space="preserve">3418412000002712645</x:t>
  </x:si>
  <x:si>
    <x:t xml:space="preserve">GLASS TOUGH EP 714X439X5 BROWN TINTED SKV</x:t>
  </x:si>
  <x:si>
    <x:t xml:space="preserve">3418412000002712656</x:t>
  </x:si>
  <x:si>
    <x:t xml:space="preserve">GLASS TOUGH EP 717X392X5 BROWN TINTED SKV</x:t>
  </x:si>
  <x:si>
    <x:t xml:space="preserve">3418412000002712667</x:t>
  </x:si>
  <x:si>
    <x:t xml:space="preserve">GLASS TOUGH EP 717X442X5 BROWN TINTED SKV</x:t>
  </x:si>
  <x:si>
    <x:t xml:space="preserve">3418412000002712678</x:t>
  </x:si>
  <x:si>
    <x:t xml:space="preserve">GLASS TOUGH EP 721X266X6 CLEAR KGN</x:t>
  </x:si>
  <x:si>
    <x:t xml:space="preserve">3418412000002712689</x:t>
  </x:si>
  <x:si>
    <x:t xml:space="preserve">GLASS TOUGH EP 753X298X6MM EXTRA CLEAR KGN</x:t>
  </x:si>
  <x:si>
    <x:t xml:space="preserve">3418412000002712700</x:t>
  </x:si>
  <x:si>
    <x:t xml:space="preserve">GLASS TOUGH EP 753X348X6MM EXTRA CLEAR KGN</x:t>
  </x:si>
  <x:si>
    <x:t xml:space="preserve">3418412000002712711</x:t>
  </x:si>
  <x:si>
    <x:t xml:space="preserve">GLASS TOUGH EP 760X539X4 CLEAR SKV</x:t>
  </x:si>
  <x:si>
    <x:t xml:space="preserve">3418412000002712722</x:t>
  </x:si>
  <x:si>
    <x:t xml:space="preserve">GLASS TOUGH EP 762X279X6 CLEAR KGN</x:t>
  </x:si>
  <x:si>
    <x:t xml:space="preserve">3418412000002712733</x:t>
  </x:si>
  <x:si>
    <x:t xml:space="preserve">GLASS TOUGH EP 762X280X6 CLEAR KGN</x:t>
  </x:si>
  <x:si>
    <x:t xml:space="preserve">3418412000002712744</x:t>
  </x:si>
  <x:si>
    <x:t xml:space="preserve">GLASS TOUGH EP 762X284X8 CLEAR KGN</x:t>
  </x:si>
  <x:si>
    <x:t xml:space="preserve">3418412000002712755</x:t>
  </x:si>
  <x:si>
    <x:t xml:space="preserve">GLASS TOUGH EP 762X284X8 CLEAR SKV</x:t>
  </x:si>
  <x:si>
    <x:t xml:space="preserve">3418412000002712766</x:t>
  </x:si>
  <x:si>
    <x:t xml:space="preserve">GLASS TOUGH EP 762X306X5 CLEAR KGN</x:t>
  </x:si>
  <x:si>
    <x:t xml:space="preserve">3418412000002712777</x:t>
  </x:si>
  <x:si>
    <x:t xml:space="preserve">GLASS TOUGH EP 762X308X6 CLEAR KGN</x:t>
  </x:si>
  <x:si>
    <x:t xml:space="preserve">3418412000002712788</x:t>
  </x:si>
  <x:si>
    <x:t xml:space="preserve">GLASS TOUGH EP 764X284X8 CLEAR KGN</x:t>
  </x:si>
  <x:si>
    <x:t xml:space="preserve">3418412000002712799</x:t>
  </x:si>
  <x:si>
    <x:t xml:space="preserve">GLASS TOUGH EP 764X287X8 CLEAR KGN</x:t>
  </x:si>
  <x:si>
    <x:t xml:space="preserve">3418412000002712810</x:t>
  </x:si>
  <x:si>
    <x:t xml:space="preserve">GLASS TOUGH EP 779X189X5 CLEAR SKV</x:t>
  </x:si>
  <x:si>
    <x:t xml:space="preserve">3418412000002712821</x:t>
  </x:si>
  <x:si>
    <x:t xml:space="preserve">GLASS TOUGH EP 789X349X5 BLACK TINTED KGN</x:t>
  </x:si>
  <x:si>
    <x:t xml:space="preserve">3418412000002712832</x:t>
  </x:si>
  <x:si>
    <x:t xml:space="preserve">GLASS TOUGH EP 804 X 287X8 CLEAR SKV</x:t>
  </x:si>
  <x:si>
    <x:t xml:space="preserve">3418412000002712843</x:t>
  </x:si>
  <x:si>
    <x:t xml:space="preserve">GLASS TOUGH EP 812X266X6 CLEAR KGN</x:t>
  </x:si>
  <x:si>
    <x:t xml:space="preserve">3418412000002712854</x:t>
  </x:si>
  <x:si>
    <x:t xml:space="preserve">GLASS TOUGH EP 812X284X8 CLEAR KGN</x:t>
  </x:si>
  <x:si>
    <x:t xml:space="preserve">3418412000002712865</x:t>
  </x:si>
  <x:si>
    <x:t xml:space="preserve">GLASS TOUGH EP 812X284X8 CLEAR SKV</x:t>
  </x:si>
  <x:si>
    <x:t xml:space="preserve">3418412000002712876</x:t>
  </x:si>
  <x:si>
    <x:t xml:space="preserve">GLASS TOUGH EP 814X284X8 CLEAR SKV</x:t>
  </x:si>
  <x:si>
    <x:t xml:space="preserve">3418412000002712887</x:t>
  </x:si>
  <x:si>
    <x:t xml:space="preserve">GLASS TOUGH EP 814X287X8 CLEAR SKV</x:t>
  </x:si>
  <x:si>
    <x:t xml:space="preserve">3418412000002712898</x:t>
  </x:si>
  <x:si>
    <x:t xml:space="preserve">GLASS TOUGH EP 815X287X8 CLEAR KGN</x:t>
  </x:si>
  <x:si>
    <x:t xml:space="preserve">3418412000002712909</x:t>
  </x:si>
  <x:si>
    <x:t xml:space="preserve">GLASS TOUGH EP 818X287X08 CLEAR TINTED SKV</x:t>
  </x:si>
  <x:si>
    <x:t xml:space="preserve">3418412000002712920</x:t>
  </x:si>
  <x:si>
    <x:t xml:space="preserve">GLASS TOUGH EP 849X531X8 CLEAR KGN</x:t>
  </x:si>
  <x:si>
    <x:t xml:space="preserve">3418412000002712931</x:t>
  </x:si>
  <x:si>
    <x:t xml:space="preserve">GLASS TOUGH EP 850X539X08 EXTRA CLEAR TINTED SKV</x:t>
  </x:si>
  <x:si>
    <x:t xml:space="preserve">3418412000002712942</x:t>
  </x:si>
  <x:si>
    <x:t xml:space="preserve">GLASS TOUGH EP 850X547X5 CLEAR SKV</x:t>
  </x:si>
  <x:si>
    <x:t xml:space="preserve">3418412000002712953</x:t>
  </x:si>
  <x:si>
    <x:t xml:space="preserve">GLASS TOUGH EP 851X533X8 CLEAR KGN</x:t>
  </x:si>
  <x:si>
    <x:t xml:space="preserve">3418412000002712964</x:t>
  </x:si>
  <x:si>
    <x:t xml:space="preserve">GLASS TOUGH EP 851X547X4 EXTRA CLEAR KGN</x:t>
  </x:si>
  <x:si>
    <x:t xml:space="preserve">3418412000002712975</x:t>
  </x:si>
  <x:si>
    <x:t xml:space="preserve">GLASS TOUGH EP 852X447X5 BROWN TINTED SKV</x:t>
  </x:si>
  <x:si>
    <x:t xml:space="preserve">3418412000002712986</x:t>
  </x:si>
  <x:si>
    <x:t xml:space="preserve">GLASS TOUGH EP 858X540X5 CLEAR SKV</x:t>
  </x:si>
  <x:si>
    <x:t xml:space="preserve">3418412000002712997</x:t>
  </x:si>
  <x:si>
    <x:t xml:space="preserve">GLASS TOUGH EP 860X539X4 CLEAR SKV</x:t>
  </x:si>
  <x:si>
    <x:t xml:space="preserve">3418412000002713008</x:t>
  </x:si>
  <x:si>
    <x:t xml:space="preserve">GLASS TOUGH EP 862X278X8 CLEAR SKV</x:t>
  </x:si>
  <x:si>
    <x:t xml:space="preserve">3418412000002713019</x:t>
  </x:si>
  <x:si>
    <x:t xml:space="preserve">GLASS TOUGH EP 862X284X8 CLEAR KGN</x:t>
  </x:si>
  <x:si>
    <x:t xml:space="preserve">3418412000002713030</x:t>
  </x:si>
  <x:si>
    <x:t xml:space="preserve">GLASS TOUGH EP 862X296X8 CLEAR KGN</x:t>
  </x:si>
  <x:si>
    <x:t xml:space="preserve">3418412000002713041</x:t>
  </x:si>
  <x:si>
    <x:t xml:space="preserve">GLASS TOUGH EP 862X308X6 CLEAR KGN</x:t>
  </x:si>
  <x:si>
    <x:t xml:space="preserve">3418412000002713052</x:t>
  </x:si>
  <x:si>
    <x:t xml:space="preserve">GLASS TOUGH EP 862X508X8 CLEAR SKV</x:t>
  </x:si>
  <x:si>
    <x:t xml:space="preserve">3418412000002713063</x:t>
  </x:si>
  <x:si>
    <x:t xml:space="preserve">GLASS TOUGH EP 864X284X8 CLEAR SKV</x:t>
  </x:si>
  <x:si>
    <x:t xml:space="preserve">3418412000002713074</x:t>
  </x:si>
  <x:si>
    <x:t xml:space="preserve">GLASS TOUGH EP 864X287X8 CLEAR SKV</x:t>
  </x:si>
  <x:si>
    <x:t xml:space="preserve">3418412000002713085</x:t>
  </x:si>
  <x:si>
    <x:t xml:space="preserve">GLASS TOUGH EP 864X297X8 CLEAR SKV</x:t>
  </x:si>
  <x:si>
    <x:t xml:space="preserve">3418412000002713096</x:t>
  </x:si>
  <x:si>
    <x:t xml:space="preserve">GLASS TOUGH EP 864X511X8 CLEAR TINTED SKV</x:t>
  </x:si>
  <x:si>
    <x:t xml:space="preserve">3418412000002713107</x:t>
  </x:si>
  <x:si>
    <x:t xml:space="preserve">GLASS TOUGH EP 864X546X5 CLEAR SKV</x:t>
  </x:si>
  <x:si>
    <x:t xml:space="preserve">3418412000002713118</x:t>
  </x:si>
  <x:si>
    <x:t xml:space="preserve">GLASS TOUGH EP 865X287X8 CLEAR SKV</x:t>
  </x:si>
  <x:si>
    <x:t xml:space="preserve">3418412000002713129</x:t>
  </x:si>
  <x:si>
    <x:t xml:space="preserve">GLASS TOUGH EP 865X297X8 CLEAR KGN</x:t>
  </x:si>
  <x:si>
    <x:t xml:space="preserve">3418412000002713140</x:t>
  </x:si>
  <x:si>
    <x:t xml:space="preserve">GLASS TOUGH EP 865X397X5 CLEAR SKV</x:t>
  </x:si>
  <x:si>
    <x:t xml:space="preserve">3418412000002713151</x:t>
  </x:si>
  <x:si>
    <x:t xml:space="preserve">GLASS TOUGH EP 868X287X08 CLEAR TINTED SKV</x:t>
  </x:si>
  <x:si>
    <x:t xml:space="preserve">3418412000002713162</x:t>
  </x:si>
  <x:si>
    <x:t xml:space="preserve">GLASS TOUGH EP 868X596X5 CLEAR SKV</x:t>
  </x:si>
  <x:si>
    <x:t xml:space="preserve">3418412000002713173</x:t>
  </x:si>
  <x:si>
    <x:t xml:space="preserve">GLASS TOUGH EP 871X266X6 CLEAR KGN</x:t>
  </x:si>
  <x:si>
    <x:t xml:space="preserve">3418412000002713184</x:t>
  </x:si>
  <x:si>
    <x:t xml:space="preserve">GLASS TOUGH EP 889X389X5 GREY TINTED KGN</x:t>
  </x:si>
  <x:si>
    <x:t xml:space="preserve">3418412000002713195</x:t>
  </x:si>
  <x:si>
    <x:t xml:space="preserve">GLASS TOUGH EP 889X489X5 GREY TINTED SKV</x:t>
  </x:si>
  <x:si>
    <x:t xml:space="preserve">3418412000002713206</x:t>
  </x:si>
  <x:si>
    <x:t xml:space="preserve">GLASS TOUGH EP 889X539X5 GREY TINTED SKV</x:t>
  </x:si>
  <x:si>
    <x:t xml:space="preserve">3418412000002713217</x:t>
  </x:si>
  <x:si>
    <x:t xml:space="preserve">GLASS TOUGH EP 892X417X4 BROWN TINTED SKV</x:t>
  </x:si>
  <x:si>
    <x:t xml:space="preserve">3418412000002713228</x:t>
  </x:si>
  <x:si>
    <x:t xml:space="preserve">GLASS TOUGH EP 892X442X4 BROWN TINTED SKV</x:t>
  </x:si>
  <x:si>
    <x:t xml:space="preserve">3418412000002713239</x:t>
  </x:si>
  <x:si>
    <x:t xml:space="preserve">GLASS TOUGH EP 897X357X5 BLACK REFLECTIVE MIRROR KGN</x:t>
  </x:si>
  <x:si>
    <x:t xml:space="preserve">3418412000002713250</x:t>
  </x:si>
  <x:si>
    <x:t xml:space="preserve">GLASS TOUGH EP 897X442X5 CLEAR FLUTED SKV</x:t>
  </x:si>
  <x:si>
    <x:t xml:space="preserve">3418412000002713261</x:t>
  </x:si>
  <x:si>
    <x:t xml:space="preserve">GLASS TOUGH EP 897X442X5 GREY TINTED KGN</x:t>
  </x:si>
  <x:si>
    <x:t xml:space="preserve">3418412000002713272</x:t>
  </x:si>
  <x:si>
    <x:t xml:space="preserve">GLASS TOUGH EP 897X492X5 BLACK REFLECTIVE MIRROR KGN</x:t>
  </x:si>
  <x:si>
    <x:t xml:space="preserve">3418412000002713283</x:t>
  </x:si>
  <x:si>
    <x:t xml:space="preserve">GLASS TOUGH EP 897X592X5 CLEAR FLUTED SKV</x:t>
  </x:si>
  <x:si>
    <x:t xml:space="preserve">3418412000002713294</x:t>
  </x:si>
  <x:si>
    <x:t xml:space="preserve">GLASS TOUGH EP 925X560X10 EXTRA CLEAR SKV</x:t>
  </x:si>
  <x:si>
    <x:t xml:space="preserve">3418412000002713305</x:t>
  </x:si>
  <x:si>
    <x:t xml:space="preserve">GLASS TOUGH EP 949X531X8 CLEAR KGN</x:t>
  </x:si>
  <x:si>
    <x:t xml:space="preserve">3418412000002713316</x:t>
  </x:si>
  <x:si>
    <x:t xml:space="preserve">GLASS TOUGH EP 951X533X8 CLEAR KGN</x:t>
  </x:si>
  <x:si>
    <x:t xml:space="preserve">3418412000002713327</x:t>
  </x:si>
  <x:si>
    <x:t xml:space="preserve">GLASS TOUGH EP 958X540X5 CLEAR SKV</x:t>
  </x:si>
  <x:si>
    <x:t xml:space="preserve">3418412000002713338</x:t>
  </x:si>
  <x:si>
    <x:t xml:space="preserve">GLASS TOUGH EP 960X539X4 CLEAR SKV</x:t>
  </x:si>
  <x:si>
    <x:t xml:space="preserve">3418412000002713349</x:t>
  </x:si>
  <x:si>
    <x:t xml:space="preserve">GLASS TOUGH EP 964X287X8 CLEAR KGN</x:t>
  </x:si>
  <x:si>
    <x:t xml:space="preserve">3418412000002713360</x:t>
  </x:si>
  <x:si>
    <x:t xml:space="preserve">GLASS TOUGH EP 997X442X5 BROWN FLUTED TINTED SKV</x:t>
  </x:si>
  <x:si>
    <x:t xml:space="preserve">3418412000002713371</x:t>
  </x:si>
  <x:si>
    <x:t xml:space="preserve">GLASS TOUGHNED EP 1072X492X5 BROWN TINTED KGN</x:t>
  </x:si>
  <x:si>
    <x:t xml:space="preserve">3418412000002713382</x:t>
  </x:si>
  <x:si>
    <x:t xml:space="preserve">GLASS TOUGHNED EP 1072X592X5 BROWN TINTED KGN</x:t>
  </x:si>
  <x:si>
    <x:t xml:space="preserve">3418412000002713393</x:t>
  </x:si>
  <x:si>
    <x:t xml:space="preserve">GLASS TOUGHNED EP 1542X442X5 BROWN TINTED KGN</x:t>
  </x:si>
  <x:si>
    <x:t xml:space="preserve">3418412000002713404</x:t>
  </x:si>
  <x:si>
    <x:t xml:space="preserve">GLASS TOUGHNED EP 2362X442X5 BROWN FLUTE TINTED KGN</x:t>
  </x:si>
  <x:si>
    <x:t xml:space="preserve">3418412000002713415</x:t>
  </x:si>
  <x:si>
    <x:t xml:space="preserve">GLASS TOUGHNED EP 2362X442X5 BROWN TINTED KGN</x:t>
  </x:si>
  <x:si>
    <x:t xml:space="preserve">3418412000002713426</x:t>
  </x:si>
  <x:si>
    <x:t xml:space="preserve">GLASS TOUGHNED EP 2362X492X5 BROWN FLUTE TINTED KGN</x:t>
  </x:si>
  <x:si>
    <x:t xml:space="preserve">3418412000002713437</x:t>
  </x:si>
  <x:si>
    <x:t xml:space="preserve">GLASS TOUGHNED EP 2362X492X5 BROWN TINTED KGN</x:t>
  </x:si>
  <x:si>
    <x:t xml:space="preserve">3418412000002713448</x:t>
  </x:si>
  <x:si>
    <x:t xml:space="preserve">GLASS TOUGHNED EP 2392X542X5 BROWN TINTED KGN</x:t>
  </x:si>
  <x:si>
    <x:t xml:space="preserve">3418412000002713459</x:t>
  </x:si>
  <x:si>
    <x:t xml:space="preserve">GLASS TOUGHNED EP 2392X592X5 BROWN TINTED KGN</x:t>
  </x:si>
  <x:si>
    <x:t xml:space="preserve">3418412000002713470</x:t>
  </x:si>
  <x:si>
    <x:t xml:space="preserve">GLASS TOUGHNED EP 468X287X8 CLEAR KGN</x:t>
  </x:si>
  <x:si>
    <x:t xml:space="preserve">3418412000002713481</x:t>
  </x:si>
  <x:si>
    <x:t xml:space="preserve">GLASS TOUGHNED EP 511X418X8 CLEAR KGN</x:t>
  </x:si>
  <x:si>
    <x:t xml:space="preserve">3418412000002713492</x:t>
  </x:si>
  <x:si>
    <x:t xml:space="preserve">GLASS TOUGHNED EP 514X511X8 CLEAR KGN</x:t>
  </x:si>
  <x:si>
    <x:t xml:space="preserve">3418412000002713503</x:t>
  </x:si>
  <x:si>
    <x:t xml:space="preserve">GLASS TOUGHNED EP 564X508X8 CLEAR KGN</x:t>
  </x:si>
  <x:si>
    <x:t xml:space="preserve">3418412000002713514</x:t>
  </x:si>
  <x:si>
    <x:t xml:space="preserve">GLASS TOUGHNED EP 564X511X8 CLEAR KGN</x:t>
  </x:si>
  <x:si>
    <x:t xml:space="preserve">3418412000002713525</x:t>
  </x:si>
  <x:si>
    <x:t xml:space="preserve">GLASS TOUGHNED EP 568X502X8 CLEAR KGN</x:t>
  </x:si>
  <x:si>
    <x:t xml:space="preserve">3418412000002713536</x:t>
  </x:si>
  <x:si>
    <x:t xml:space="preserve">GLASS TOUGHNED EP 592X467X5 BROWN TINTED KGN</x:t>
  </x:si>
  <x:si>
    <x:t xml:space="preserve">3418412000002713547</x:t>
  </x:si>
  <x:si>
    <x:t xml:space="preserve">GLASS TOUGHNED EP 709X589X5 BROWN TINTED KGN</x:t>
  </x:si>
  <x:si>
    <x:t xml:space="preserve">3418412000002713558</x:t>
  </x:si>
  <x:si>
    <x:t xml:space="preserve">GLASS TOUGHNED EP 768X287X8 CLEAR KGN</x:t>
  </x:si>
  <x:si>
    <x:t xml:space="preserve">3418412000002713569</x:t>
  </x:si>
  <x:si>
    <x:t xml:space="preserve">GLASS TOUGHNED EP 864X296X8 CLEAR KGN</x:t>
  </x:si>
  <x:si>
    <x:t xml:space="preserve">3418412000002713580</x:t>
  </x:si>
  <x:si>
    <x:t xml:space="preserve">GLASS TOUGHNED EP 918X511X8 CLEAR KGN</x:t>
  </x:si>
  <x:si>
    <x:t xml:space="preserve">3418412000002713591</x:t>
  </x:si>
  <x:si>
    <x:t xml:space="preserve">GLASS TOUGHNED EP 974X589X5 BROWN TINTED SKV</x:t>
  </x:si>
  <x:si>
    <x:t xml:space="preserve">3418412000002713602</x:t>
  </x:si>
  <x:si>
    <x:t xml:space="preserve">GLUE ADHESIVE FOR MEMBRANE XX 436.2.3050 KLE</x:t>
  </x:si>
  <x:si>
    <x:t xml:space="preserve">M S Klebstoffe</x:t>
  </x:si>
  <x:si>
    <x:t xml:space="preserve">3418412000002713613</x:t>
  </x:si>
  <x:si>
    <x:t xml:space="preserve">GLUE BONDTITE FAST &amp; CLEAR FOR STONE XX AGG</x:t>
  </x:si>
  <x:si>
    <x:t xml:space="preserve">3418412000002713624</x:t>
  </x:si>
  <x:si>
    <x:t xml:space="preserve">GLUE FOR EDGE BANDING XX IVORY 779.6.2050 KLE</x:t>
  </x:si>
  <x:si>
    <x:t xml:space="preserve">3418412000002713635</x:t>
  </x:si>
  <x:si>
    <x:t xml:space="preserve">GLUE FOR EDGE BANDING XX WHITE HOTMELT 1750 SID</x:t>
  </x:si>
  <x:si>
    <x:t xml:space="preserve">Sidmark Sales Enterprise (P) Ltd.</x:t>
  </x:si>
  <x:si>
    <x:t xml:space="preserve">3418412000002713646</x:t>
  </x:si>
  <x:si>
    <x:t xml:space="preserve">GLUE FOR LAM PESTING XX WHITE D-3000 D-3 JUN</x:t>
  </x:si>
  <x:si>
    <x:t xml:space="preserve">Cohort Tools And Adhesives</x:t>
  </x:si>
  <x:si>
    <x:t xml:space="preserve">3418412000002713657</x:t>
  </x:si>
  <x:si>
    <x:t xml:space="preserve">GLUE FOR PESTING 400ML XX DP460NS 3M</x:t>
  </x:si>
  <x:si>
    <x:t xml:space="preserve">Adhesive Solutions</x:t>
  </x:si>
  <x:si>
    <x:t xml:space="preserve">3418412000002713668</x:t>
  </x:si>
  <x:si>
    <x:t xml:space="preserve">GLUE FOR PESTING 50ML XX DP460NS 3M</x:t>
  </x:si>
  <x:si>
    <x:t xml:space="preserve">3418412000002713679</x:t>
  </x:si>
  <x:si>
    <x:t xml:space="preserve">GLUE FOR STONE POLISH 2.25 PER KG XX 5010 AGG</x:t>
  </x:si>
  <x:si>
    <x:t xml:space="preserve">3418412000002713690</x:t>
  </x:si>
  <x:si>
    <x:t xml:space="preserve">GLUE GUN SMALL 50ML XX AGG</x:t>
  </x:si>
  <x:si>
    <x:t xml:space="preserve">3418412000002713701</x:t>
  </x:si>
  <x:si>
    <x:t xml:space="preserve">GLUE HARDNER FOR MEMBRANE XX 807.0.3049 KLE</x:t>
  </x:si>
  <x:si>
    <x:t xml:space="preserve">3418412000002713712</x:t>
  </x:si>
  <x:si>
    <x:t xml:space="preserve">GLUE LATRICATE SUPER FLEX 20KG XX WHITE 335 AGG</x:t>
  </x:si>
  <x:si>
    <x:t xml:space="preserve">Bag</x:t>
  </x:si>
  <x:si>
    <x:t xml:space="preserve">3418412000002713723</x:t>
  </x:si>
  <x:si>
    <x:t xml:space="preserve">GLUE POLYSTER STONE ADHESIVE XX AGG</x:t>
  </x:si>
  <x:si>
    <x:t xml:space="preserve">3418412000002713734</x:t>
  </x:si>
  <x:si>
    <x:t xml:space="preserve">GLUE SILICONE XX TRANSPERENT DOWSIL 789 AGG</x:t>
  </x:si>
  <x:si>
    <x:t xml:space="preserve">3418412000002713745</x:t>
  </x:si>
  <x:si>
    <x:t xml:space="preserve">GREEN NOZZLE</x:t>
  </x:si>
  <x:si>
    <x:t xml:space="preserve">3418412000002713756</x:t>
  </x:si>
  <x:si>
    <x:t xml:space="preserve">GTPT 90 CM TITANIUM 007.047.03072 UTA</x:t>
  </x:si>
  <x:si>
    <x:t xml:space="preserve">3418412000002713767</x:t>
  </x:si>
  <x:si>
    <x:t xml:space="preserve">HANDLE 0051 - 160MM ANTIQUE BRASS LIGNA</x:t>
  </x:si>
  <x:si>
    <x:t xml:space="preserve">3418412000002713778</x:t>
  </x:si>
  <x:si>
    <x:t xml:space="preserve">HANDLE 0051 - 256 MM ANTIQUE BRASS LIGNA</x:t>
  </x:si>
  <x:si>
    <x:t xml:space="preserve">3418412000002713789</x:t>
  </x:si>
  <x:si>
    <x:t xml:space="preserve">HANDLE 0051 - 448 MM ANTIQUE BRASS LIGNA</x:t>
  </x:si>
  <x:si>
    <x:t xml:space="preserve">3418412000002713800</x:t>
  </x:si>
  <x:si>
    <x:t xml:space="preserve">HANDLE 0051 - 864MM FRENCH WOOD LIGNA</x:t>
  </x:si>
  <x:si>
    <x:t xml:space="preserve">3418412000002713811</x:t>
  </x:si>
  <x:si>
    <x:t xml:space="preserve">HANDLE 0051 - 96MM BLACK LIGNA</x:t>
  </x:si>
  <x:si>
    <x:t xml:space="preserve">3418412000002713822</x:t>
  </x:si>
  <x:si>
    <x:t xml:space="preserve">HANDLE 0051 - 96MM FRENCH WOOD LIGNA</x:t>
  </x:si>
  <x:si>
    <x:t xml:space="preserve">3418412000002713833</x:t>
  </x:si>
  <x:si>
    <x:t xml:space="preserve">HANDLE 160XX40 ANTIQUE BRASS 51 LIGNA</x:t>
  </x:si>
  <x:si>
    <x:t xml:space="preserve">3418412000002713844</x:t>
  </x:si>
  <x:si>
    <x:t xml:space="preserve">HANDLE 160XX40 BLACK 51 LIGNA</x:t>
  </x:si>
  <x:si>
    <x:t xml:space="preserve">3418412000002713855</x:t>
  </x:si>
  <x:si>
    <x:t xml:space="preserve">HANDLE 224XX30 ANTIQUE BRASS 7035 FOR</x:t>
  </x:si>
  <x:si>
    <x:t xml:space="preserve">3418412000002713866</x:t>
  </x:si>
  <x:si>
    <x:t xml:space="preserve">HANDLE 248XX50 BLACK MATT LI.017.BL.0248 LIGNA</x:t>
  </x:si>
  <x:si>
    <x:t xml:space="preserve">3418412000002713877</x:t>
  </x:si>
  <x:si>
    <x:t xml:space="preserve">HANDLE 256MM EBM PALERMO ACE</x:t>
  </x:si>
  <x:si>
    <x:t xml:space="preserve">Aggarwal Hardware Pvt Ltd</x:t>
  </x:si>
  <x:si>
    <x:t xml:space="preserve">3418412000002713888</x:t>
  </x:si>
  <x:si>
    <x:t xml:space="preserve">HANDLE 256XX30 DARK BRASS 0301256L29 SENSE</x:t>
  </x:si>
  <x:si>
    <x:t xml:space="preserve">Raghav Exports</x:t>
  </x:si>
  <x:si>
    <x:t xml:space="preserve">3418412000002713899</x:t>
  </x:si>
  <x:si>
    <x:t xml:space="preserve">HANDLE 288XX30 PVDF ROSE GOLD PS-553 PER</x:t>
  </x:si>
  <x:si>
    <x:t xml:space="preserve">Perfect Marketing</x:t>
  </x:si>
  <x:si>
    <x:t xml:space="preserve">3418412000002713910</x:t>
  </x:si>
  <x:si>
    <x:t xml:space="preserve">HANDLE 304XX PVDF ROSE GOLD 3511 FOR</x:t>
  </x:si>
  <x:si>
    <x:t xml:space="preserve">Fordela Impex Pvt. Ltd.</x:t>
  </x:si>
  <x:si>
    <x:t xml:space="preserve">3418412000002713921</x:t>
  </x:si>
  <x:si>
    <x:t xml:space="preserve">HANDLE 320MM EBM PALERMO ACE</x:t>
  </x:si>
  <x:si>
    <x:t xml:space="preserve">3418412000002713932</x:t>
  </x:si>
  <x:si>
    <x:t xml:space="preserve">HANDLE 448XX40 BLACK MATT 51 LIGNA</x:t>
  </x:si>
  <x:si>
    <x:t xml:space="preserve">Aakar Corporation</x:t>
  </x:si>
  <x:si>
    <x:t xml:space="preserve">3418412000002713943</x:t>
  </x:si>
  <x:si>
    <x:t xml:space="preserve">HANDLE 80XX40 GOLD O-1653 OTRO</x:t>
  </x:si>
  <x:si>
    <x:t xml:space="preserve">3418412000002713954</x:t>
  </x:si>
  <x:si>
    <x:t xml:space="preserve">HANDLE 96XX30 DARK BRASS 0301096L29 SENSE</x:t>
  </x:si>
  <x:si>
    <x:t xml:space="preserve">3418412000002713965</x:t>
  </x:si>
  <x:si>
    <x:t xml:space="preserve">HANDLE 992X40MM BLACK MATT 11462</x:t>
  </x:si>
  <x:si>
    <x:t xml:space="preserve">3418412000002713976</x:t>
  </x:si>
  <x:si>
    <x:t xml:space="preserve">HANDLE ANT 60XX20 ANTIQUE BRASS PO018 LOC</x:t>
  </x:si>
  <x:si>
    <x:t xml:space="preserve">J. B. Gupta Hardware Collection P Ltd</x:t>
  </x:si>
  <x:si>
    <x:t xml:space="preserve">3418412000002713987</x:t>
  </x:si>
  <x:si>
    <x:t xml:space="preserve">HANDLE BA 224XX O-1539 OTRO</x:t>
  </x:si>
  <x:si>
    <x:t xml:space="preserve">3418412000002713998</x:t>
  </x:si>
  <x:si>
    <x:t xml:space="preserve">HANDLE BOSSETI X128X50 151136P FOR</x:t>
  </x:si>
  <x:si>
    <x:t xml:space="preserve">3418412000002714009</x:t>
  </x:si>
  <x:si>
    <x:t xml:space="preserve">HANDLE BOSSETI X96X50 151136P FOR</x:t>
  </x:si>
  <x:si>
    <x:t xml:space="preserve">3418412000002714020</x:t>
  </x:si>
  <x:si>
    <x:t xml:space="preserve">HANDLE BRASS DARK SIZE 160MM 0301096L29 SENSE</x:t>
  </x:si>
  <x:si>
    <x:t xml:space="preserve">3418412000002714031</x:t>
  </x:si>
  <x:si>
    <x:t xml:space="preserve">HANDLE BRASS GOLD L1000MM B-0081 MANTARA</x:t>
  </x:si>
  <x:si>
    <x:t xml:space="preserve">3418412000002714042</x:t>
  </x:si>
  <x:si>
    <x:t xml:space="preserve">HANDLE CP MATT 288XX SILVER O-1549 OTRO</x:t>
  </x:si>
  <x:si>
    <x:t xml:space="preserve">3418412000002714053</x:t>
  </x:si>
  <x:si>
    <x:t xml:space="preserve">HANDLE D TYPE 230000 - 160MM FU.201M.AB.0200 ANTIQUE BRASS ANAND</x:t>
  </x:si>
  <x:si>
    <x:t xml:space="preserve">Anand Prakash &amp; Company</x:t>
  </x:si>
  <x:si>
    <x:t xml:space="preserve">3418412000002714064</x:t>
  </x:si>
  <x:si>
    <x:t xml:space="preserve">HANDLE D TYPE 8"X4" BLACK RAG</x:t>
  </x:si>
  <x:si>
    <x:t xml:space="preserve">3418412000002714075</x:t>
  </x:si>
  <x:si>
    <x:t xml:space="preserve">HANDLE ESTE 0446160Z28 - 160MM BRUSH GOLD RAG</x:t>
  </x:si>
  <x:si>
    <x:t xml:space="preserve">3418412000002714086</x:t>
  </x:si>
  <x:si>
    <x:t xml:space="preserve">HANDLE FOR CAB GOLD CC-128MM B-0106 RASA</x:t>
  </x:si>
  <x:si>
    <x:t xml:space="preserve">Rasa Homes</x:t>
  </x:si>
  <x:si>
    <x:t xml:space="preserve">3418412000002714097</x:t>
  </x:si>
  <x:si>
    <x:t xml:space="preserve">HANDLE FOR CAB GOLD CC-192MM B-0106 RASA</x:t>
  </x:si>
  <x:si>
    <x:t xml:space="preserve">3418412000002714108</x:t>
  </x:si>
  <x:si>
    <x:t xml:space="preserve">HANDLE FOR CAB L238MM-GOLD CC-192MM B-0127 RASA</x:t>
  </x:si>
  <x:si>
    <x:t xml:space="preserve">3418412000002714119</x:t>
  </x:si>
  <x:si>
    <x:t xml:space="preserve">HANDLE FOR CAB L270MM-GOLD CC-224MM B-0127 RASA</x:t>
  </x:si>
  <x:si>
    <x:t xml:space="preserve">3418412000002714130</x:t>
  </x:si>
  <x:si>
    <x:t xml:space="preserve">HANDLE FOR CAB L300MM-GOLD CC-256MM B-0127 RASA</x:t>
  </x:si>
  <x:si>
    <x:t xml:space="preserve">3418412000002714141</x:t>
  </x:si>
  <x:si>
    <x:t xml:space="preserve">HANDLE HG C TYPE 192XX100 GOLD C 230000 PER</x:t>
  </x:si>
  <x:si>
    <x:t xml:space="preserve">3418412000002714152</x:t>
  </x:si>
  <x:si>
    <x:t xml:space="preserve">HANDLE LCH 14-140MM BLACK MATT LIGNA</x:t>
  </x:si>
  <x:si>
    <x:t xml:space="preserve">3418412000002714163</x:t>
  </x:si>
  <x:si>
    <x:t xml:space="preserve">HANDLE MATT BLACK SIZE 256MM 0301256L29 SENSE</x:t>
  </x:si>
  <x:si>
    <x:t xml:space="preserve">3418412000002714174</x:t>
  </x:si>
  <x:si>
    <x:t xml:space="preserve">HANDLE O-1539 ROSE GOLD FINISH 224MM OTRO</x:t>
  </x:si>
  <x:si>
    <x:t xml:space="preserve">3418412000002714185</x:t>
  </x:si>
  <x:si>
    <x:t xml:space="preserve">HANDLE PARKER SIDE BRACKET 2 HOLE XX GP1011 LOC</x:t>
  </x:si>
  <x:si>
    <x:t xml:space="preserve">3418412000002714196</x:t>
  </x:si>
  <x:si>
    <x:t xml:space="preserve">HANDLE PARKER WOOD 800XX30 WOODEN LOC</x:t>
  </x:si>
  <x:si>
    <x:t xml:space="preserve">3418412000002714207</x:t>
  </x:si>
  <x:si>
    <x:t xml:space="preserve">HANDLE PS -553 PVD GOLD 224MM PER</x:t>
  </x:si>
  <x:si>
    <x:t xml:space="preserve">3418412000002714218</x:t>
  </x:si>
  <x:si>
    <x:t xml:space="preserve">HANDLE SH 3512-7 EBC</x:t>
  </x:si>
  <x:si>
    <x:t xml:space="preserve">3418412000002714229</x:t>
  </x:si>
  <x:si>
    <x:t xml:space="preserve">HANDLE SWIFT MATT 96XX HANES</x:t>
  </x:si>
  <x:si>
    <x:t xml:space="preserve">3418412000002714240</x:t>
  </x:si>
  <x:si>
    <x:t xml:space="preserve">HANGER BRACKET W/CVR AND BAR XX WHITE CRY</x:t>
  </x:si>
  <x:si>
    <x:t xml:space="preserve">3418412000002714251</x:t>
  </x:si>
  <x:si>
    <x:t xml:space="preserve">HANGER CABINET RAIL W WGHT 080.062.03619 70X60X6 K018.A000.101 003.008.00048 FTL</x:t>
  </x:si>
  <x:si>
    <x:t xml:space="preserve">3418412000002714262</x:t>
  </x:si>
  <x:si>
    <x:t xml:space="preserve">HANGER LH CABINATE BRACKETH WGHT 080.062.03617 80X75X12 K018.0D1L.101 003.008.00046 FTL</x:t>
  </x:si>
  <x:si>
    <x:t xml:space="preserve">3418412000002714273</x:t>
  </x:si>
  <x:si>
    <x:t xml:space="preserve">HANGER RH CABINATE BRACKETH WGHT 080.062.03618 80X75X12 K018.0D1R.101 003.008.00047 FTL</x:t>
  </x:si>
  <x:si>
    <x:t xml:space="preserve">3418412000002714284</x:t>
  </x:si>
  <x:si>
    <x:t xml:space="preserve">HANGING BRACKET FOR CAB LH RECTANGLE 80X15X15 RAW GLO</x:t>
  </x:si>
  <x:si>
    <x:t xml:space="preserve">3418412000002714295</x:t>
  </x:si>
  <x:si>
    <x:t xml:space="preserve">HANGING BRACKET FOR CAB RH RECTANGLE 80X15X15 RAW GLO</x:t>
  </x:si>
  <x:si>
    <x:t xml:space="preserve">3418412000002714306</x:t>
  </x:si>
  <x:si>
    <x:t xml:space="preserve">HANGING ROD FOR WARGDROBE PROJECT 3660XX CHROME PLATED WRF RA3 AC EBC</x:t>
  </x:si>
  <x:si>
    <x:t xml:space="preserve">3418412000002714317</x:t>
  </x:si>
  <x:si>
    <x:t xml:space="preserve">HANGING ROD RECTANGLE 3000X30X8 W/OUT ANODISED 2462 OML</x:t>
  </x:si>
  <x:si>
    <x:t xml:space="preserve">3418412000002714339</x:t>
  </x:si>
  <x:si>
    <x:t xml:space="preserve">H-BASKET SS304 1130X500X150 MM CHROME HG FOR CABINET 1200MM DOL</x:t>
  </x:si>
  <x:si>
    <x:t xml:space="preserve">Dolin Decor Private Limited</x:t>
  </x:si>
  <x:si>
    <x:t xml:space="preserve">3418412000002714350</x:t>
  </x:si>
  <x:si>
    <x:t xml:space="preserve">H-BASKET SS304 530X500X100 MM CHROME HG FOR CABINET 600MM DOL</x:t>
  </x:si>
  <x:si>
    <x:t xml:space="preserve">3418412000002714361</x:t>
  </x:si>
  <x:si>
    <x:t xml:space="preserve">H-BASKET SS304 530X500X200 MM CHROME HG FOR CABINET 600MM DOL</x:t>
  </x:si>
  <x:si>
    <x:t xml:space="preserve">3418412000002714372</x:t>
  </x:si>
  <x:si>
    <x:t xml:space="preserve">H-BASKET SS304 930X500X150 MM CHROME HG FOR CABINET 1000MM DOL</x:t>
  </x:si>
  <x:si>
    <x:t xml:space="preserve">3418412000002714383</x:t>
  </x:si>
  <x:si>
    <x:t xml:space="preserve">HDH ANTI BT 18MM OSR 4223-2 SF 8X6</x:t>
  </x:si>
  <x:si>
    <x:t xml:space="preserve">Phoenix Surface Solutions</x:t>
  </x:si>
  <x:si>
    <x:t xml:space="preserve">3418412000002714394</x:t>
  </x:si>
  <x:si>
    <x:t xml:space="preserve">HDH ANTI BT 18MM OSR FABRIC CREAM 183 SF 8X4</x:t>
  </x:si>
  <x:si>
    <x:t xml:space="preserve">Maple Panels (P) Ltd.</x:t>
  </x:si>
  <x:si>
    <x:t xml:space="preserve">3418412000002714405</x:t>
  </x:si>
  <x:si>
    <x:t xml:space="preserve">HDH ANTI BT 18MM OSR T-245 SF 8X4</x:t>
  </x:si>
  <x:si>
    <x:t xml:space="preserve">3418412000002714416</x:t>
  </x:si>
  <x:si>
    <x:t xml:space="preserve">HDHMR 3050X1220X18 RAW PLAIN GREEN</x:t>
  </x:si>
  <x:si>
    <x:t xml:space="preserve">3418412000002714427</x:t>
  </x:si>
  <x:si>
    <x:t xml:space="preserve">HDHMR 3050X1220X7.5 RAW PLAIN PIO</x:t>
  </x:si>
  <x:si>
    <x:t xml:space="preserve">3418412000002714449</x:t>
  </x:si>
  <x:si>
    <x:t xml:space="preserve">HINGE 03 CRANK 160 DEG SOFT CLOSE XX GRS TIMOS</x:t>
  </x:si>
  <x:si>
    <x:t xml:space="preserve">3418412000002714460</x:t>
  </x:si>
  <x:si>
    <x:t xml:space="preserve">HINGE 0 CRANK SOFT CLOSE 165 DEG XX GUN BLACK DKP165A LIAN</x:t>
  </x:si>
  <x:si>
    <x:t xml:space="preserve">3418412000002714471</x:t>
  </x:si>
  <x:si>
    <x:t xml:space="preserve">HINGE 0 CRANK SOFT CLOSE 5 HOLE XX BLACK 3D MS CRY</x:t>
  </x:si>
  <x:si>
    <x:t xml:space="preserve">Crystalshape Consultancy LLP</x:t>
  </x:si>
  <x:si>
    <x:t xml:space="preserve">3418412000002714482</x:t>
  </x:si>
  <x:si>
    <x:t xml:space="preserve">HINGE 0 CRANK SOFT CLOSE 95 DEG BL CORNER XX GUN BLACK DKP90 LIAN</x:t>
  </x:si>
  <x:si>
    <x:t xml:space="preserve">3418412000002714493</x:t>
  </x:si>
  <x:si>
    <x:t xml:space="preserve">HINGE 0 CRANK SOFT CLOSE 95 DEG XX GUN BLACK DJ-209 LIAN</x:t>
  </x:si>
  <x:si>
    <x:t xml:space="preserve">3418412000002714504</x:t>
  </x:si>
  <x:si>
    <x:t xml:space="preserve">HINGE 0 CRANK SOFT CLOSE 95 DEG XX GUN BLACK DPO109 LIAN</x:t>
  </x:si>
  <x:si>
    <x:t xml:space="preserve">3418412000002714515</x:t>
  </x:si>
  <x:si>
    <x:t xml:space="preserve">HINGE 0 CRANK W/OUT SOFT CLOSE 95 DEG XX GUN BLACK DPW-209 LIAN</x:t>
  </x:si>
  <x:si>
    <x:t xml:space="preserve">3418412000002714526</x:t>
  </x:si>
  <x:si>
    <x:t xml:space="preserve">3418412000002714537</x:t>
  </x:si>
  <x:si>
    <x:t xml:space="preserve">HINGE AUTO CLOSING XX ZINC ALLOY KAH CL 33 K ZONE</x:t>
  </x:si>
  <x:si>
    <x:t xml:space="preserve">3418412000002714548</x:t>
  </x:si>
  <x:si>
    <x:t xml:space="preserve">HINGE BLUMOTION 110° OVERLAY CRUCIFORM MOUNTING PLATE XX 4486296 BLUM</x:t>
  </x:si>
  <x:si>
    <x:t xml:space="preserve">Bansal Trading Company</x:t>
  </x:si>
  <x:si>
    <x:t xml:space="preserve">3418412000002714559</x:t>
  </x:si>
  <x:si>
    <x:t xml:space="preserve">HINGE C00 CRANK 100 DEG SOFT CLOSE WITH ARM CAPS 9281432 HET</x:t>
  </x:si>
  <x:si>
    <x:t xml:space="preserve">3418412000002714570</x:t>
  </x:si>
  <x:si>
    <x:t xml:space="preserve">HINGE C00 CRANK 100 DEG W/OUT SOFT CLOSE WITH ARM CAPS XX 9242867 HET</x:t>
  </x:si>
  <x:si>
    <x:t xml:space="preserve">3418412000002714581</x:t>
  </x:si>
  <x:si>
    <x:t xml:space="preserve">HINGE COVER CAP XX GOLD KEC-122 MLPL</x:t>
  </x:si>
  <x:si>
    <x:t xml:space="preserve">3418412000002714592</x:t>
  </x:si>
  <x:si>
    <x:t xml:space="preserve">HINGE COVER CAP XX GUN BLACK DJ-209 LIAN</x:t>
  </x:si>
  <x:si>
    <x:t xml:space="preserve">3418412000002714603</x:t>
  </x:si>
  <x:si>
    <x:t xml:space="preserve">HINGE COVER CAP XX GUN BLACK DKP-90 LIAN</x:t>
  </x:si>
  <x:si>
    <x:t xml:space="preserve">3418412000002714614</x:t>
  </x:si>
  <x:si>
    <x:t xml:space="preserve">HINGE COVER CAP XX GUN BLACK DPO-109 LIAN</x:t>
  </x:si>
  <x:si>
    <x:t xml:space="preserve">3418412000002714625</x:t>
  </x:si>
  <x:si>
    <x:t xml:space="preserve">HINGE COVER CAP XX GUN BLACK DPOA-209 LIAN</x:t>
  </x:si>
  <x:si>
    <x:t xml:space="preserve">3418412000002714636</x:t>
  </x:si>
  <x:si>
    <x:t xml:space="preserve">HINGE COVER CAP XX GUN BLACK DPW-209 LIAN</x:t>
  </x:si>
  <x:si>
    <x:t xml:space="preserve">3418412000002714647</x:t>
  </x:si>
  <x:si>
    <x:t xml:space="preserve">HINGE EC 00 MOUNTING PLATE XX 006.049.00213 UTA</x:t>
  </x:si>
  <x:si>
    <x:t xml:space="preserve">3418412000002714658</x:t>
  </x:si>
  <x:si>
    <x:t xml:space="preserve">HINGE FOR CAP 165A XX DKP EXTRA LIAN</x:t>
  </x:si>
  <x:si>
    <x:t xml:space="preserve">3418412000002714669</x:t>
  </x:si>
  <x:si>
    <x:t xml:space="preserve">HINGE MIRROR TWO WAY 4 HOLE SOFT CLOSE XX GUN BLACK LIAN</x:t>
  </x:si>
  <x:si>
    <x:t xml:space="preserve">3418412000002714680</x:t>
  </x:si>
  <x:si>
    <x:t xml:space="preserve">HINGE MOUNTING PLATE 165 DEG XX GUN BLACK DKP165A LIAN</x:t>
  </x:si>
  <x:si>
    <x:t xml:space="preserve">3418412000002714691</x:t>
  </x:si>
  <x:si>
    <x:t xml:space="preserve">HINGE MOUNTING PLATE 5 HOLE XX BLACK 3D MS CRY</x:t>
  </x:si>
  <x:si>
    <x:t xml:space="preserve">3418412000002714702</x:t>
  </x:si>
  <x:si>
    <x:t xml:space="preserve">HINGE MOUNTING PLATE 95 DEG BL CORNER XX GUN BLACK DKP90 LIAN</x:t>
  </x:si>
  <x:si>
    <x:t xml:space="preserve">3418412000002714713</x:t>
  </x:si>
  <x:si>
    <x:t xml:space="preserve">HINGE MOUNTING PLATE 95 DEG XX GUN BLACK DJ-209 LIAN</x:t>
  </x:si>
  <x:si>
    <x:t xml:space="preserve">3418412000002714724</x:t>
  </x:si>
  <x:si>
    <x:t xml:space="preserve">HINGE MOUNTING PLATE 95 DEG XX GUN BLACK DPO109 LIAN</x:t>
  </x:si>
  <x:si>
    <x:t xml:space="preserve">3418412000002714735</x:t>
  </x:si>
  <x:si>
    <x:t xml:space="preserve">HINGE MOUNTING PLATE 95 DEG XX GUN BLACK DPW-209 LIAN</x:t>
  </x:si>
  <x:si>
    <x:t xml:space="preserve">3418412000002714746</x:t>
  </x:si>
  <x:si>
    <x:t xml:space="preserve">HINGE NEXIS ON SOFT CLOSE 006.001.00117 UTA</x:t>
  </x:si>
  <x:si>
    <x:t xml:space="preserve">3418412000002714757</x:t>
  </x:si>
  <x:si>
    <x:t xml:space="preserve">HINGE SLIM FOR ALU PROFILE 0 CRANK SOFT CLOSE 95 DEG XX GUN BLACK DPOA-209 LIAN</x:t>
  </x:si>
  <x:si>
    <x:t xml:space="preserve">3418412000002714768</x:t>
  </x:si>
  <x:si>
    <x:t xml:space="preserve">HINGE SLIM FOR ALU PROFILE 0 CRANK SOFT CLOSE 95 DEG XX GUN BLACK DPOA (W)209 LIAN</x:t>
  </x:si>
  <x:si>
    <x:t xml:space="preserve">3418412000002714779</x:t>
  </x:si>
  <x:si>
    <x:t xml:space="preserve">HINGE SLIM MOUNTING PLATE 95 DEG XX GUN BLACK DPOA-209 LIAN</x:t>
  </x:si>
  <x:si>
    <x:t xml:space="preserve">3418412000002714790</x:t>
  </x:si>
  <x:si>
    <x:t xml:space="preserve">HINGE SLIM MOUNTING PLATE 95 DEG XX GUN BLACK DPOA (W)209 LIAN</x:t>
  </x:si>
  <x:si>
    <x:t xml:space="preserve">3418412000002714801</x:t>
  </x:si>
  <x:si>
    <x:t xml:space="preserve">HINGE SOFT CLOSE FOR 0 CRANK XX NIKEL PLATED 924.200.40.0215 GRS</x:t>
  </x:si>
  <x:si>
    <x:t xml:space="preserve">3418412000002714812</x:t>
  </x:si>
  <x:si>
    <x:t xml:space="preserve">HOB 4 BURNER INVISIBLE 560X430X BT-I4-04H ZHON</x:t>
  </x:si>
  <x:si>
    <x:t xml:space="preserve">Zhongshan Bitong Household Products Co. Ltd</x:t>
  </x:si>
  <x:si>
    <x:t xml:space="preserve">3418412000002714823</x:t>
  </x:si>
  <x:si>
    <x:t xml:space="preserve">HOB BT-I6-06H 6 BURNER INVISIBLE INDUCTION COOKER 860 X 475 MM ZHON</x:t>
  </x:si>
  <x:si>
    <x:t xml:space="preserve">3418412000002714834</x:t>
  </x:si>
  <x:si>
    <x:t xml:space="preserve">HOB CRONUS 590 534.01.767 HAF</x:t>
  </x:si>
  <x:si>
    <x:t xml:space="preserve">3418412000002714845</x:t>
  </x:si>
  <x:si>
    <x:t xml:space="preserve">HOB HG 1986AB/S1 538.60.539 ASKO</x:t>
  </x:si>
  <x:si>
    <x:t xml:space="preserve">Hafele India Pvt Ltd</x:t>
  </x:si>
  <x:si>
    <x:t xml:space="preserve">3418412000002714856</x:t>
  </x:si>
  <x:si>
    <x:t xml:space="preserve">HONEY COMB SHEET 12MM CELL SIZE 8MM 8X4</x:t>
  </x:si>
  <x:si>
    <x:t xml:space="preserve">3418412000002714867</x:t>
  </x:si>
  <x:si>
    <x:t xml:space="preserve">HOLE COVER CAP WHITE 18MM MFC1-WH EBC</x:t>
  </x:si>
  <x:si>
    <x:t xml:space="preserve">3418412000002714878</x:t>
  </x:si>
  <x:si>
    <x:t xml:space="preserve">HPL 2.5 MM 3D MS ROE HINGE MOUNTING PLATE 46 X 52.5 MM</x:t>
  </x:si>
  <x:si>
    <x:t xml:space="preserve">3418412000002714889</x:t>
  </x:si>
  <x:si>
    <x:t xml:space="preserve">HPL 2.5 MM HINGE MOUNTING PLATE 50 X 53.6 MM</x:t>
  </x:si>
  <x:si>
    <x:t xml:space="preserve">3418412000002714911</x:t>
  </x:si>
  <x:si>
    <x:t xml:space="preserve">HUWIL DUO FOR NORMAL DOORS XX 009.024.02173 GR</x:t>
  </x:si>
  <x:si>
    <x:t xml:space="preserve">3418412000002714922</x:t>
  </x:si>
  <x:si>
    <x:t xml:space="preserve">I MOVE DOUBLE LAYER 864X237.6X572 GREY 4189003 NOUMI</x:t>
  </x:si>
  <x:si>
    <x:t xml:space="preserve">Guangdong Nuomi Home Intelligent Tech. Co. Ltd.</x:t>
  </x:si>
  <x:si>
    <x:t xml:space="preserve">3418412000002714933</x:t>
  </x:si>
  <x:si>
    <x:t xml:space="preserve">I MOVE DOUBLE LAYER TRAY 600 MM 565X267X380 ANTHRACITE 217129846 KES</x:t>
  </x:si>
  <x:si>
    <x:t xml:space="preserve">Kesseboehmer Furniture Fittings India Pvt. Ltd.</x:t>
  </x:si>
  <x:si>
    <x:t xml:space="preserve">3418412000002714944</x:t>
  </x:si>
  <x:si>
    <x:t xml:space="preserve">INDUCTION HI1355G 533.04.511 ASKO</x:t>
  </x:si>
  <x:si>
    <x:t xml:space="preserve">3418412000002714955</x:t>
  </x:si>
  <x:si>
    <x:t xml:space="preserve">INDUCTION NEW ELENA 60 538.01.691 HAF</x:t>
  </x:si>
  <x:si>
    <x:t xml:space="preserve">3418412000002714966</x:t>
  </x:si>
  <x:si>
    <x:t xml:space="preserve">INDUCTION TEPPANYAKI PLATE 532.93.151 ASKO</x:t>
  </x:si>
  <x:si>
    <x:t xml:space="preserve">Tikriwal Marketing LLP</x:t>
  </x:si>
  <x:si>
    <x:t xml:space="preserve">3418412000002714977</x:t>
  </x:si>
  <x:si>
    <x:t xml:space="preserve">INSERT NYLON FOR STONE W/O THREAD 10X3.5X MOD</x:t>
  </x:si>
  <x:si>
    <x:t xml:space="preserve">3418412000002714988</x:t>
  </x:si>
  <x:si>
    <x:t xml:space="preserve">INSERT PVC 120XX8 RED HILTI</x:t>
  </x:si>
  <x:si>
    <x:t xml:space="preserve">3418412000002714999</x:t>
  </x:si>
  <x:si>
    <x:t xml:space="preserve">3418412000002715010</x:t>
  </x:si>
  <x:si>
    <x:t xml:space="preserve">INSERT PVC 50XX8 WHITE JAN</x:t>
  </x:si>
  <x:si>
    <x:t xml:space="preserve">Jangra Traders</x:t>
  </x:si>
  <x:si>
    <x:t xml:space="preserve">3418412000002715021</x:t>
  </x:si>
  <x:si>
    <x:t xml:space="preserve">INSERT PVC NYLON XX8 WHITE 006.022.02393 UTA</x:t>
  </x:si>
  <x:si>
    <x:t xml:space="preserve">3418412000002715098</x:t>
  </x:si>
  <x:si>
    <x:t xml:space="preserve">IRON BOARD FOR WARDROBE PULLOUT 430X300X140 ANTHRACITE WPIB-4360-AT EBC</x:t>
  </x:si>
  <x:si>
    <x:t xml:space="preserve">3418412000002715109</x:t>
  </x:si>
  <x:si>
    <x:t xml:space="preserve">IRONFIX PULLOUT IRONING BOARD 56860793 HAF</x:t>
  </x:si>
  <x:si>
    <x:t xml:space="preserve">3418412000002715153</x:t>
  </x:si>
  <x:si>
    <x:t xml:space="preserve">JEWELLERY BOX 900MM 473X864X60 GEM BROWN KWA-1904 AST</x:t>
  </x:si>
  <x:si>
    <x:t xml:space="preserve">3418412000002715164</x:t>
  </x:si>
  <x:si>
    <x:t xml:space="preserve">JEWELLERY BOX SIZE 900 MM FINISH MOCHA KWA-1704 AST</x:t>
  </x:si>
  <x:si>
    <x:t xml:space="preserve">3418412000002715186</x:t>
  </x:si>
  <x:si>
    <x:t xml:space="preserve">JORDAN HANDLE PROFILE KADH-111-1200MM LEFT WD 25MM PROFILE PVDF GOLD K ZONE</x:t>
  </x:si>
  <x:si>
    <x:t xml:space="preserve">3418412000002715197</x:t>
  </x:si>
  <x:si>
    <x:t xml:space="preserve">JORDAN HANDLE PROFILE KADH-112-1200MM LEFT WD 18MM BRUSHED GOLD K ZONE</x:t>
  </x:si>
  <x:si>
    <x:t xml:space="preserve">3418412000002715208</x:t>
  </x:si>
  <x:si>
    <x:t xml:space="preserve">JORDAN HANDLE PROFILE KADH-112-200MM RIGHT WD 18MM BRUSHED GOLD K ZONE</x:t>
  </x:si>
  <x:si>
    <x:t xml:space="preserve">3418412000002715219</x:t>
  </x:si>
  <x:si>
    <x:t xml:space="preserve">JORDAN T PROFILE KAP-79 WD 25MM PROFILE BRUSH GOLD K ZONE</x:t>
  </x:si>
  <x:si>
    <x:t xml:space="preserve">3418412000002715230</x:t>
  </x:si>
  <x:si>
    <x:t xml:space="preserve">KAKU FITTING FOR DUMMY PANEL FIXING XX BLACK CRY</x:t>
  </x:si>
  <x:si>
    <x:t xml:space="preserve">3418412000002715252</x:t>
  </x:si>
  <x:si>
    <x:t xml:space="preserve">KNOB 30X60X20 BLACK MATT 511 ANAND</x:t>
  </x:si>
  <x:si>
    <x:t xml:space="preserve">3418412000002715263</x:t>
  </x:si>
  <x:si>
    <x:t xml:space="preserve">KNOB 30X60X26 BLACK MATT 511 RAGHAV</x:t>
  </x:si>
  <x:si>
    <x:t xml:space="preserve">3418412000002715274</x:t>
  </x:si>
  <x:si>
    <x:t xml:space="preserve">KNOB 35XX25 GREY 90622 TUN</x:t>
  </x:si>
  <x:si>
    <x:t xml:space="preserve">3418412000002715285</x:t>
  </x:si>
  <x:si>
    <x:t xml:space="preserve">KNOB 40XX30 WALNUT 90603 PER</x:t>
  </x:si>
  <x:si>
    <x:t xml:space="preserve">3418412000002715296</x:t>
  </x:si>
  <x:si>
    <x:t xml:space="preserve">KNOB 50MM B-0054 BRASS GOLD MANTARA</x:t>
  </x:si>
  <x:si>
    <x:t xml:space="preserve">3418412000002715307</x:t>
  </x:si>
  <x:si>
    <x:t xml:space="preserve">KNOB ANTIQUE BRASS FINISH 511 / QUINN ANAND</x:t>
  </x:si>
  <x:si>
    <x:t xml:space="preserve">3418412000002715318</x:t>
  </x:si>
  <x:si>
    <x:t xml:space="preserve">KNOB BN FINSIH 45XX30 KN90602 TUN</x:t>
  </x:si>
  <x:si>
    <x:t xml:space="preserve">3418412000002715329</x:t>
  </x:si>
  <x:si>
    <x:t xml:space="preserve">KNOB BOSSETI X35X30 24316P FOR</x:t>
  </x:si>
  <x:si>
    <x:t xml:space="preserve">3418412000002715340</x:t>
  </x:si>
  <x:si>
    <x:t xml:space="preserve">KNOB BRASS 25XX20 ANTIQUE BRASS KN90705 TUN</x:t>
  </x:si>
  <x:si>
    <x:t xml:space="preserve">3418412000002715351</x:t>
  </x:si>
  <x:si>
    <x:t xml:space="preserve">KNOB BRASS 30MM EBM PALERMO ACE</x:t>
  </x:si>
  <x:si>
    <x:t xml:space="preserve">3418412000002715362</x:t>
  </x:si>
  <x:si>
    <x:t xml:space="preserve">KNOB FLOID 0495 -035 MM MATT BLACK RAG</x:t>
  </x:si>
  <x:si>
    <x:t xml:space="preserve">3418412000002715373</x:t>
  </x:si>
  <x:si>
    <x:t xml:space="preserve">KNOB FLOID 0495 -035 MM PEWTER RAG</x:t>
  </x:si>
  <x:si>
    <x:t xml:space="preserve">3418412000002715384</x:t>
  </x:si>
  <x:si>
    <x:t xml:space="preserve">KNOB FLOID 35XX35 BRUSH GOLD 0495-035 RAG</x:t>
  </x:si>
  <x:si>
    <x:t xml:space="preserve">3418412000002715395</x:t>
  </x:si>
  <x:si>
    <x:t xml:space="preserve">KNOB FOR CAB 30MM C-0003 RASA</x:t>
  </x:si>
  <x:si>
    <x:t xml:space="preserve">3418412000002715406</x:t>
  </x:si>
  <x:si>
    <x:t xml:space="preserve">KNOB FOR CAB 30MM GOLD B-0076 RASA</x:t>
  </x:si>
  <x:si>
    <x:t xml:space="preserve">3418412000002715417</x:t>
  </x:si>
  <x:si>
    <x:t xml:space="preserve">KNOB FOR CAB X30X30 BLACK Z1907/MBL FOR</x:t>
  </x:si>
  <x:si>
    <x:t xml:space="preserve">3418412000002715428</x:t>
  </x:si>
  <x:si>
    <x:t xml:space="preserve">KNOB FOR CAB X30X30 GOLD Z1907 MGP</x:t>
  </x:si>
  <x:si>
    <x:t xml:space="preserve">3418412000002715439</x:t>
  </x:si>
  <x:si>
    <x:t xml:space="preserve">KNOB GOLD FINISH 45XX30 KN90602 TUN</x:t>
  </x:si>
  <x:si>
    <x:t xml:space="preserve">3418412000002715450</x:t>
  </x:si>
  <x:si>
    <x:t xml:space="preserve">KNOB REMBO FINISH 30X60X20 FU0511 ANAND</x:t>
  </x:si>
  <x:si>
    <x:t xml:space="preserve">3418412000002715461</x:t>
  </x:si>
  <x:si>
    <x:t xml:space="preserve">KNOB ROSE GOLD FINISH 30X60X20 FU0511 ANAND</x:t>
  </x:si>
  <x:si>
    <x:t xml:space="preserve">3418412000002715472</x:t>
  </x:si>
  <x:si>
    <x:t xml:space="preserve">KNOB SHAPE KN4016 BRONZE MATT BN FOR</x:t>
  </x:si>
  <x:si>
    <x:t xml:space="preserve">3418412000002715483</x:t>
  </x:si>
  <x:si>
    <x:t xml:space="preserve">KNOB SHAPE KN4016 BRONZE MATT FOR</x:t>
  </x:si>
  <x:si>
    <x:t xml:space="preserve">3418412000002715494</x:t>
  </x:si>
  <x:si>
    <x:t xml:space="preserve">KNOB SMALL 35X32X10 ANTIQUE BRASS KN14005 TUN</x:t>
  </x:si>
  <x:si>
    <x:t xml:space="preserve">3418412000002715505</x:t>
  </x:si>
  <x:si>
    <x:t xml:space="preserve">KNOB SMALL BRASS CA 45XX15 KN90604 TUN</x:t>
  </x:si>
  <x:si>
    <x:t xml:space="preserve">3418412000002715516</x:t>
  </x:si>
  <x:si>
    <x:t xml:space="preserve">KNOB SQUARE 35X35MM OM SAI</x:t>
  </x:si>
  <x:si>
    <x:t xml:space="preserve">3418412000002715527</x:t>
  </x:si>
  <x:si>
    <x:t xml:space="preserve">KNOB SS304 SHAPES - 4016 BLACK MATT FORDELA</x:t>
  </x:si>
  <x:si>
    <x:t xml:space="preserve">3418412000002715538</x:t>
  </x:si>
  <x:si>
    <x:t xml:space="preserve">KNOBSS/BRUSH MODEL-906 PER</x:t>
  </x:si>
  <x:si>
    <x:t xml:space="preserve">3418412000002715549</x:t>
  </x:si>
  <x:si>
    <x:t xml:space="preserve">KRABY AUTOMATIC 244 MM / 100N 372.00.703 HAF</x:t>
  </x:si>
  <x:si>
    <x:t xml:space="preserve">3418412000002715560</x:t>
  </x:si>
  <x:si>
    <x:t xml:space="preserve">LABEL BARCODE POLYSTER 100X100X WHITE AERO</x:t>
  </x:si>
  <x:si>
    <x:t xml:space="preserve">Aero Technologies - Haryana</x:t>
  </x:si>
  <x:si>
    <x:t xml:space="preserve">3418412000002715571</x:t>
  </x:si>
  <x:si>
    <x:t xml:space="preserve">LABEL BARCODE POLYSTER 100X50X WHITE AERO</x:t>
  </x:si>
  <x:si>
    <x:t xml:space="preserve">3418412000002715582</x:t>
  </x:si>
  <x:si>
    <x:t xml:space="preserve">LAMINAM 12 MM PIETRA GREY 3240X1620 MM</x:t>
  </x:si>
  <x:si>
    <x:t xml:space="preserve">3418412000002715593</x:t>
  </x:si>
  <x:si>
    <x:t xml:space="preserve">LAMINAM 3.5 MM PIETRA GREY 3000X1000 MM</x:t>
  </x:si>
  <x:si>
    <x:t xml:space="preserve">AKT Kitchens India (OPC) Pvt Ltd</x:t>
  </x:si>
  <x:si>
    <x:t xml:space="preserve">3418412000002715604</x:t>
  </x:si>
  <x:si>
    <x:t xml:space="preserve">LAM SF 2440X1220X1 ROYAL TEAK 4223-2 PHX</x:t>
  </x:si>
  <x:si>
    <x:t xml:space="preserve">Vishwakarma Trading Company</x:t>
  </x:si>
  <x:si>
    <x:t xml:space="preserve">3418412000002715615</x:t>
  </x:si>
  <x:si>
    <x:t xml:space="preserve">LATRICRETE 315 PLUS WHITE 20 KG</x:t>
  </x:si>
  <x:si>
    <x:t xml:space="preserve">3418412000002715626</x:t>
  </x:si>
  <x:si>
    <x:t xml:space="preserve">LAUNDRY BASKET HG 250X490X580 SS304 DOL</x:t>
  </x:si>
  <x:si>
    <x:t xml:space="preserve">3418412000002715637</x:t>
  </x:si>
  <x:si>
    <x:t xml:space="preserve">LAUNDRY BASKET HG 350X490X490 SS 304 DOL</x:t>
  </x:si>
  <x:si>
    <x:t xml:space="preserve">3418412000002715648</x:t>
  </x:si>
  <x:si>
    <x:t xml:space="preserve">LEATHERITE FABRIC 01MM LE FABCO GRACE SHADE NO. 312 W-54 INCH DILL</x:t>
  </x:si>
  <x:si>
    <x:t xml:space="preserve">3418412000002715659</x:t>
  </x:si>
  <x:si>
    <x:t xml:space="preserve">LEATHERITE FABRIC 01MM LE FABCO GRACE SHADE NO. 390 W-54 INCH DILL</x:t>
  </x:si>
  <x:si>
    <x:t xml:space="preserve">3418412000002715670</x:t>
  </x:si>
  <x:si>
    <x:t xml:space="preserve">3418412000002715681</x:t>
  </x:si>
  <x:si>
    <x:t xml:space="preserve">LEG PVC ADJUSTABLE XX100 BLACK CRY</x:t>
  </x:si>
  <x:si>
    <x:t xml:space="preserve">3418412000002715692</x:t>
  </x:si>
  <x:si>
    <x:t xml:space="preserve">LEG PVC Q-Pf-100-WO XX100 ASY</x:t>
  </x:si>
  <x:si>
    <x:t xml:space="preserve">3418412000002715703</x:t>
  </x:si>
  <x:si>
    <x:t xml:space="preserve">LEG PVC TRIAGLE MOUNTING BASE 135X80X30 BLACK REH</x:t>
  </x:si>
  <x:si>
    <x:t xml:space="preserve">Rehau Polymers Pvt. Ltd.</x:t>
  </x:si>
  <x:si>
    <x:t xml:space="preserve">3418412000002715714</x:t>
  </x:si>
  <x:si>
    <x:t xml:space="preserve">LEG PVC TRIAGLE MOUNTING BRACKET XX100 BLACK REH</x:t>
  </x:si>
  <x:si>
    <x:t xml:space="preserve">3418412000002715725</x:t>
  </x:si>
  <x:si>
    <x:t xml:space="preserve">LEG PVC TRIAGLE MOUNTING BRACKET XX150 BLACK REH</x:t>
  </x:si>
  <x:si>
    <x:t xml:space="preserve">3418412000002715736</x:t>
  </x:si>
  <x:si>
    <x:t xml:space="preserve">LEG PVC TRIAGLE MOUNTING POLE 90XX50 BLACK REH</x:t>
  </x:si>
  <x:si>
    <x:t xml:space="preserve">3418412000002715747</x:t>
  </x:si>
  <x:si>
    <x:t xml:space="preserve">LEG SS ADJUSTABLE XX60 SILVER TOP</x:t>
  </x:si>
  <x:si>
    <x:t xml:space="preserve">3418412000002715758</x:t>
  </x:si>
  <x:si>
    <x:t xml:space="preserve">LEMANS CORNER 4 STYLE 4 SWING TRAY 600 MM RH 520X466X268 GREY 2370000000 KES</x:t>
  </x:si>
  <x:si>
    <x:t xml:space="preserve">3418412000002715769</x:t>
  </x:si>
  <x:si>
    <x:t xml:space="preserve">LEMANS CORNER 4 STYLE HEIGHT ADJUST 1250XX GREY 79439846 KES</x:t>
  </x:si>
  <x:si>
    <x:t xml:space="preserve">3418412000002715780</x:t>
  </x:si>
  <x:si>
    <x:t xml:space="preserve">LEMANS CORNER GLASS LH SIDE 830X500X720 GREY 1020071 NOUMI</x:t>
  </x:si>
  <x:si>
    <x:t xml:space="preserve">3418412000002715791</x:t>
  </x:si>
  <x:si>
    <x:t xml:space="preserve">LEMANS CORNER GLASS RH SIDE 830X500X720 GREY 1020072 NOUMI</x:t>
  </x:si>
  <x:si>
    <x:t xml:space="preserve">3418412000002715802</x:t>
  </x:si>
  <x:si>
    <x:t xml:space="preserve">LEMANS CORNER GREY 450MM STYLE BASKET LH 2105 ONYX</x:t>
  </x:si>
  <x:si>
    <x:t xml:space="preserve">3418412000002715813</x:t>
  </x:si>
  <x:si>
    <x:t xml:space="preserve">LEMANS CORNER GREY 450MM STYLE BASKET RH 2105 ONYX</x:t>
  </x:si>
  <x:si>
    <x:t xml:space="preserve">3418412000002715824</x:t>
  </x:si>
  <x:si>
    <x:t xml:space="preserve">LEMANS CORNER SOFT CLOSE BRACKET RH SIDE XX GREY 2350000000 KES</x:t>
  </x:si>
  <x:si>
    <x:t xml:space="preserve">3418412000002715835</x:t>
  </x:si>
  <x:si>
    <x:t xml:space="preserve">LEMANS CORNER SOFT CLOSE DCPOP2-450R EBC</x:t>
  </x:si>
  <x:si>
    <x:t xml:space="preserve">3418412000002715846</x:t>
  </x:si>
  <x:si>
    <x:t xml:space="preserve">LIFT UP AVENTOS NARROW ALU FRAME CLIP TOP 120°HINGE-CENTER 134° XX 8923153 BLUM</x:t>
  </x:si>
  <x:si>
    <x:t xml:space="preserve">Professional Assistance Group</x:t>
  </x:si>
  <x:si>
    <x:t xml:space="preserve">3418412000002715857</x:t>
  </x:si>
  <x:si>
    <x:t xml:space="preserve">LIFT UP AVENTOS WIDE ALU FRAME CLIP TOP 120°HINGE-CENTER 134° XX 1363260 BLUM</x:t>
  </x:si>
  <x:si>
    <x:t xml:space="preserve">3418412000002715868</x:t>
  </x:si>
  <x:si>
    <x:t xml:space="preserve">LIFT UP CABLE CONNECTOR Z10V100E XX BLACK 8820285 BLUM</x:t>
  </x:si>
  <x:si>
    <x:t xml:space="preserve">3418412000002715879</x:t>
  </x:si>
  <x:si>
    <x:t xml:space="preserve">LIFT Up Cansil</x:t>
  </x:si>
  <x:si>
    <x:t xml:space="preserve">3418412000002715890</x:t>
  </x:si>
  <x:si>
    <x:t xml:space="preserve">LIFT UP COVER+SWITCHES+DIST. BUMPERS FOR SERVO DRIVE XX LITE GREY 2518662 BLUM</x:t>
  </x:si>
  <x:si>
    <x:t xml:space="preserve">3418412000002715901</x:t>
  </x:si>
  <x:si>
    <x:t xml:space="preserve">LIFT UP ELACTRICAL CABLE 8M Z10K800AE XX BLACK 7550294 BLUM</x:t>
  </x:si>
  <x:si>
    <x:t xml:space="preserve">3418412000002715912</x:t>
  </x:si>
  <x:si>
    <x:t xml:space="preserve">LIFT UP FOR BIFOLD HF 250 600-910MM PF 10000 -19300 XX 1232016 BLUM</x:t>
  </x:si>
  <x:si>
    <x:t xml:space="preserve">3418412000002715923</x:t>
  </x:si>
  <x:si>
    <x:t xml:space="preserve">LIFT UP FOR BIFOLD HF 250 700-900MM PF 5350 - 10150 06959761 XX 6959761 BLUM</x:t>
  </x:si>
  <x:si>
    <x:t xml:space="preserve">3418412000002715934</x:t>
  </x:si>
  <x:si>
    <x:t xml:space="preserve">LIFT UP FOR BIFOLD HF 250 760-1040MM PF 10000 -19300 6716344 AVENTOS BLUM</x:t>
  </x:si>
  <x:si>
    <x:t xml:space="preserve">3418412000002715945</x:t>
  </x:si>
  <x:si>
    <x:t xml:space="preserve">LIFT UP FOR BIFOLD HF 280 700-900MM PF 9000 - 17250 XX 17250 BLUM</x:t>
  </x:si>
  <x:si>
    <x:t xml:space="preserve">3418412000002715956</x:t>
  </x:si>
  <x:si>
    <x:t xml:space="preserve">LIFT UP FOR TOP STAY ARM ASSEMBLY MOUNTING PLATE NARROW ALU FRAME AVENTOS HK 07484703 BLUM</x:t>
  </x:si>
  <x:si>
    <x:t xml:space="preserve">3418412000002715967</x:t>
  </x:si>
  <x:si>
    <x:t xml:space="preserve">LIFT UP FOR TOP STAY LIFT PF 930 - 2800 7788990 AVENTOS HK 22K2500 KRA+F INV1HGIG BLUM</x:t>
  </x:si>
  <x:si>
    <x:t xml:space="preserve">3418412000002715978</x:t>
  </x:si>
  <x:si>
    <x:t xml:space="preserve">LIFT UP FOR TOP STAY LIFT TIP-ON PF 3200 - 9000 8385329 XX 8385329 BLUM</x:t>
  </x:si>
  <x:si>
    <x:t xml:space="preserve">3418412000002715989</x:t>
  </x:si>
  <x:si>
    <x:t xml:space="preserve">LIFT UP FOR TOP STAY LIFT TIP-ON PF 930 - 2800 08903499 AVENTOS HK 22K2500T BLUM</x:t>
  </x:si>
  <x:si>
    <x:t xml:space="preserve">3418412000002716000</x:t>
  </x:si>
  <x:si>
    <x:t xml:space="preserve">LIFT UP FOR TOP STAY LIFT TIP-ON PF 930 - 2800 8903499 XX 8903499 BLUM</x:t>
  </x:si>
  <x:si>
    <x:t xml:space="preserve">3418412000002716011</x:t>
  </x:si>
  <x:si>
    <x:t xml:space="preserve">LIFT UP FOR TOP UP STAY LIFT TIP-ON 1730-5200 XX 1171009-HK 22K2700T BLUM</x:t>
  </x:si>
  <x:si>
    <x:t xml:space="preserve">3418412000002716022</x:t>
  </x:si>
  <x:si>
    <x:t xml:space="preserve">LIFT UP KITCHEN GARAGE 600XX 9008292 BLUM</x:t>
  </x:si>
  <x:si>
    <x:t xml:space="preserve">3418412000002716033</x:t>
  </x:si>
  <x:si>
    <x:t xml:space="preserve">LIFT UP TRANSFORMER HOUSING Z10NG120 XX 9327076 BLUM</x:t>
  </x:si>
  <x:si>
    <x:t xml:space="preserve">3418412000002716055</x:t>
  </x:si>
  <x:si>
    <x:t xml:space="preserve">LIGHT DOOR CONTACT SWITCH XX BLACK HAR</x:t>
  </x:si>
  <x:si>
    <x:t xml:space="preserve">3418412000002716066</x:t>
  </x:si>
  <x:si>
    <x:t xml:space="preserve">LIGHT DOOR CONTACT SWITCH XX WHITE QUICK</x:t>
  </x:si>
  <x:si>
    <x:t xml:space="preserve">3418412000002716077</x:t>
  </x:si>
  <x:si>
    <x:t xml:space="preserve">LIGHT DRIVER 6W 12V 833.74.933 HAF</x:t>
  </x:si>
  <x:si>
    <x:t xml:space="preserve">Shri Ram Traders</x:t>
  </x:si>
  <x:si>
    <x:t xml:space="preserve">3418412000002716088</x:t>
  </x:si>
  <x:si>
    <x:t xml:space="preserve">LIGHT DRIVER FOR LED STRIP, 12V, 10AMP, 120W, XX LED</x:t>
  </x:si>
  <x:si>
    <x:t xml:space="preserve">Ledure Lightings Limited</x:t>
  </x:si>
  <x:si>
    <x:t xml:space="preserve">3418412000002716099</x:t>
  </x:si>
  <x:si>
    <x:t xml:space="preserve">3418412000002716110</x:t>
  </x:si>
  <x:si>
    <x:t xml:space="preserve">3418412000002716121</x:t>
  </x:si>
  <x:si>
    <x:t xml:space="preserve">LIGHT END CAP FOR DUPLY LH XX LITE BRONZE 2466 MOD</x:t>
  </x:si>
  <x:si>
    <x:t xml:space="preserve">3418412000002716132</x:t>
  </x:si>
  <x:si>
    <x:t xml:space="preserve">LIGHT END CAP FOR DUPLY RH XX LITE BRONZE 2466 MOD</x:t>
  </x:si>
  <x:si>
    <x:t xml:space="preserve">3418412000002716143</x:t>
  </x:si>
  <x:si>
    <x:t xml:space="preserve">Snoka Electricals India Pvt Ltd</x:t>
  </x:si>
  <x:si>
    <x:t xml:space="preserve">3418412000002716154</x:t>
  </x:si>
  <x:si>
    <x:t xml:space="preserve">LIGHT FLEXIBLE LED LIGHT 3000K, 180 LED/MTR, 72W, W-5MM XX LED</x:t>
  </x:si>
  <x:si>
    <x:t xml:space="preserve">3418412000002716165</x:t>
  </x:si>
  <x:si>
    <x:t xml:space="preserve">LIGHT FLEXIBLE LED STRIP 240LED 96W 5000X10X LED</x:t>
  </x:si>
  <x:si>
    <x:t xml:space="preserve">3418412000002716176</x:t>
  </x:si>
  <x:si>
    <x:t xml:space="preserve">LIGHT FLEXIBLE LED STRIP 3000K, 120 LED/MTR, 60W, W-8MM XX WARM WHITE LED</x:t>
  </x:si>
  <x:si>
    <x:t xml:space="preserve">3418412000002716187</x:t>
  </x:si>
  <x:si>
    <x:t xml:space="preserve">LIGHT ON/OFF SWITCH XX TDS-1 EBC</x:t>
  </x:si>
  <x:si>
    <x:t xml:space="preserve">3418412000002716198</x:t>
  </x:si>
  <x:si>
    <x:t xml:space="preserve">3418412000002716209</x:t>
  </x:si>
  <x:si>
    <x:t xml:space="preserve">LIGHT SPOT 85X17X11 WHITE LUMINUS</x:t>
  </x:si>
  <x:si>
    <x:t xml:space="preserve">3418412000002716220</x:t>
  </x:si>
  <x:si>
    <x:t xml:space="preserve">LIGHT SPOT DRIVER 24V 1AMP XX WHITE PRA</x:t>
  </x:si>
  <x:si>
    <x:t xml:space="preserve">Prayag Lite</x:t>
  </x:si>
  <x:si>
    <x:t xml:space="preserve">3418412000002716231</x:t>
  </x:si>
  <x:si>
    <x:t xml:space="preserve">LIGHT SURFACE ROUND SPOT 3 WATT XX WARM WHITE SMD CRY</x:t>
  </x:si>
  <x:si>
    <x:t xml:space="preserve">3418412000002716242</x:t>
  </x:si>
  <x:si>
    <x:t xml:space="preserve">LINERO MAGNETIC KNIFE BLOCK BLACK 0089069844 KES</x:t>
  </x:si>
  <x:si>
    <x:t xml:space="preserve">3418412000002716253</x:t>
  </x:si>
  <x:si>
    <x:t xml:space="preserve">LINERO MOSAIQ ALU. RAIL 1200XX SS304 89029845 KES</x:t>
  </x:si>
  <x:si>
    <x:t xml:space="preserve">3418412000002716264</x:t>
  </x:si>
  <x:si>
    <x:t xml:space="preserve">LINERO MOSAIQ ALU. RAIL 600XX SS304 89009845 KES</x:t>
  </x:si>
  <x:si>
    <x:t xml:space="preserve">3418412000002716275</x:t>
  </x:si>
  <x:si>
    <x:t xml:space="preserve">LINERO MOSAIQ PAPER TOWEL HOLDER 350X155X120 GRAPHITE BLACK 89089844 KES</x:t>
  </x:si>
  <x:si>
    <x:t xml:space="preserve">3418412000002716286</x:t>
  </x:si>
  <x:si>
    <x:t xml:space="preserve">LINERO MOSAIQ ROLLING FOIL DISPENSER 350X110X300 GRAPHITE BLACK 89099844 KES</x:t>
  </x:si>
  <x:si>
    <x:t xml:space="preserve">3418412000002716297</x:t>
  </x:si>
  <x:si>
    <x:t xml:space="preserve">LINERO MOSAIQ TOP MOUNTED TOWEL RAIL 350X77X10 GRAPHITE BLACK 89209844 KES</x:t>
  </x:si>
  <x:si>
    <x:t xml:space="preserve">3418412000002716308</x:t>
  </x:si>
  <x:si>
    <x:t xml:space="preserve">LINERO MOSAIQ UNIVERSAL SHELF 350X110X140 GRAPHITE BLACK 89129844 KES</x:t>
  </x:si>
  <x:si>
    <x:t xml:space="preserve">3418412000002716319</x:t>
  </x:si>
  <x:si>
    <x:t xml:space="preserve">LINERO MOSAIQ UNIVERSAL SHELF 350X110X200 GRAPHITE BLACK 89189844 KES</x:t>
  </x:si>
  <x:si>
    <x:t xml:space="preserve">3418412000002716330</x:t>
  </x:si>
  <x:si>
    <x:t xml:space="preserve">LINERO MOSAIQ UNIVERSAL SHELF 350X110X300 GRAPHITE BLACK 89199844 KES</x:t>
  </x:si>
  <x:si>
    <x:t xml:space="preserve">3418412000002716341</x:t>
  </x:si>
  <x:si>
    <x:t xml:space="preserve">LOCK BAR 2 POINT OVERLAY 1250XX2 P-WL2-32-I EBC</x:t>
  </x:si>
  <x:si>
    <x:t xml:space="preserve">3418412000002716352</x:t>
  </x:si>
  <x:si>
    <x:t xml:space="preserve">3418412000002716363</x:t>
  </x:si>
  <x:si>
    <x:t xml:space="preserve">LOCK CARD 125KHS XX BLACK 011.030.02431 UTA</x:t>
  </x:si>
  <x:si>
    <x:t xml:space="preserve">3418412000002716374</x:t>
  </x:si>
  <x:si>
    <x:t xml:space="preserve">LOCK CARD COVERT CAB +CARD+REMOTE XX BLACK PEHRA</x:t>
  </x:si>
  <x:si>
    <x:t xml:space="preserve">3418412000002716385</x:t>
  </x:si>
  <x:si>
    <x:t xml:space="preserve">3418412000002716396</x:t>
  </x:si>
  <x:si>
    <x:t xml:space="preserve">LOCK FRONT MULTI DRAWER XX E-FMDL58-M EBC</x:t>
  </x:si>
  <x:si>
    <x:t xml:space="preserve">3418412000002716407</x:t>
  </x:si>
  <x:si>
    <x:t xml:space="preserve">Raj Trading Company</x:t>
  </x:si>
  <x:si>
    <x:t xml:space="preserve">3418412000002716418</x:t>
  </x:si>
  <x:si>
    <x:t xml:space="preserve">MAGIC CORNER UNIVERSAL 600 MM 455X660X595 GREY 101125 HI GOLD</x:t>
  </x:si>
  <x:si>
    <x:t xml:space="preserve">3418412000002716429</x:t>
  </x:si>
  <x:si>
    <x:t xml:space="preserve">MAGNET FOR MEMO BOARD 12X16X AMZ</x:t>
  </x:si>
  <x:si>
    <x:t xml:space="preserve">3418412000002716440</x:t>
  </x:si>
  <x:si>
    <x:t xml:space="preserve">MAGNET FOR TOOL WALL 10X10X LOC</x:t>
  </x:si>
  <x:si>
    <x:t xml:space="preserve">3418412000002716451</x:t>
  </x:si>
  <x:si>
    <x:t xml:space="preserve">MAGNETIC CATCH MC-I 40X14X3.2 NIKEL PLATED MC-I1L EBC</x:t>
  </x:si>
  <x:si>
    <x:t xml:space="preserve">3418412000002716462</x:t>
  </x:si>
  <x:si>
    <x:t xml:space="preserve">MAKEUP ORGANISER WRDACC XX LWAS-311 TT TOP</x:t>
  </x:si>
  <x:si>
    <x:t xml:space="preserve">3418412000002716473</x:t>
  </x:si>
  <x:si>
    <x:t xml:space="preserve">MASALA BOX HG 205XX62 GOLD LOC</x:t>
  </x:si>
  <x:si>
    <x:t xml:space="preserve">Jattin Enterprises</x:t>
  </x:si>
  <x:si>
    <x:t xml:space="preserve">3418412000002716484</x:t>
  </x:si>
  <x:si>
    <x:t xml:space="preserve">MASKING TAPE ABRO TAPE XX50 LOC</x:t>
  </x:si>
  <x:si>
    <x:t xml:space="preserve">3418412000002716495</x:t>
  </x:si>
  <x:si>
    <x:t xml:space="preserve">MASKING TAPE ROLL</x:t>
  </x:si>
  <x:si>
    <x:t xml:space="preserve">3418412000002716506</x:t>
  </x:si>
  <x:si>
    <x:t xml:space="preserve">MATT LS ANTI SKID X600X1 GREY ASM6-ATL EBC</x:t>
  </x:si>
  <x:si>
    <x:t xml:space="preserve">3418412000002716517</x:t>
  </x:si>
  <x:si>
    <x:t xml:space="preserve">MATT LS ANTI SKID X600X1 GREY ASM6-ATL TOP</x:t>
  </x:si>
  <x:si>
    <x:t xml:space="preserve">3418412000002716528</x:t>
  </x:si>
  <x:si>
    <x:t xml:space="preserve">MD ANTI BT 18MM BSL T-245 SF 8X4</x:t>
  </x:si>
  <x:si>
    <x:t xml:space="preserve">3418412000002716539</x:t>
  </x:si>
  <x:si>
    <x:t xml:space="preserve">MDF BSL SF 2440X1220X18 VINTAGE VENEER DARK T-245 PHX</x:t>
  </x:si>
  <x:si>
    <x:t xml:space="preserve">3418412000002716550</x:t>
  </x:si>
  <x:si>
    <x:t xml:space="preserve">MDF SF OSR 2440X1220X18 FABRIC CREAM 183 PHX</x:t>
  </x:si>
  <x:si>
    <x:t xml:space="preserve">3418412000002716561</x:t>
  </x:si>
  <x:si>
    <x:t xml:space="preserve">MDF SF OSR 2440X1220X18 ROYAL TEAK 4223-2 PHX</x:t>
  </x:si>
  <x:si>
    <x:t xml:space="preserve">3418412000002716572</x:t>
  </x:si>
  <x:si>
    <x:t xml:space="preserve">MDF SF OSR 2440X1220X18 VINTAGE VENEER DARK T-245 PHX</x:t>
  </x:si>
  <x:si>
    <x:t xml:space="preserve">3418412000002716583</x:t>
  </x:si>
  <x:si>
    <x:t xml:space="preserve">MDF SF OSR 2440X1830X18 ROYAL TEAK 4223-2 PHX</x:t>
  </x:si>
  <x:si>
    <x:t xml:space="preserve">3418412000002716594</x:t>
  </x:si>
  <x:si>
    <x:t xml:space="preserve">MERIVO BOX DRAWER – E-HT- 40KG HB 500XX SILVER 8692569 BLUM</x:t>
  </x:si>
  <x:si>
    <x:t xml:space="preserve">3418412000002716605</x:t>
  </x:si>
  <x:si>
    <x:t xml:space="preserve">MERIVO BOX DRAWER – E-HT- 70KG HB 500XX SILVER 3252091 BLUM</x:t>
  </x:si>
  <x:si>
    <x:t xml:space="preserve">3418412000002716616</x:t>
  </x:si>
  <x:si>
    <x:t xml:space="preserve">MERIVO BOX DRAWER – M-HT- 40KG LB 500XX SILVER 1076494 BLUM</x:t>
  </x:si>
  <x:si>
    <x:t xml:space="preserve">3418412000002716627</x:t>
  </x:si>
  <x:si>
    <x:t xml:space="preserve">MERIVO BOX GALARY RAIL 500MM LEFT XX ORION GREY 3341038 BLUM</x:t>
  </x:si>
  <x:si>
    <x:t xml:space="preserve">3418412000002716638</x:t>
  </x:si>
  <x:si>
    <x:t xml:space="preserve">MERIVO BOX GALARY RAIL 500MM RIGHT XX ORION GREY 5734068 BLUM</x:t>
  </x:si>
  <x:si>
    <x:t xml:space="preserve">3418412000002716649</x:t>
  </x:si>
  <x:si>
    <x:t xml:space="preserve">MICROWAVE MWO 06 60CM CAR</x:t>
  </x:si>
  <x:si>
    <x:t xml:space="preserve">3418412000002716660</x:t>
  </x:si>
  <x:si>
    <x:t xml:space="preserve">MINI FIX OZ-MF-01-L-H15/18MM STD CAMS OZNE</x:t>
  </x:si>
  <x:si>
    <x:t xml:space="preserve">3418412000002716671</x:t>
  </x:si>
  <x:si>
    <x:t xml:space="preserve">MINI FIX OZ-MF-02 34MM STD BOLT OZONE</x:t>
  </x:si>
  <x:si>
    <x:t xml:space="preserve">3418412000002716682</x:t>
  </x:si>
  <x:si>
    <x:t xml:space="preserve">MINI FIX OZ-MF-03-E 08MM NATURAL SOCKET OZONE</x:t>
  </x:si>
  <x:si>
    <x:t xml:space="preserve">3418412000002716693</x:t>
  </x:si>
  <x:si>
    <x:t xml:space="preserve">MINI FIX SET OF 3 PCS XX 9290887+9289656+4005 HET</x:t>
  </x:si>
  <x:si>
    <x:t xml:space="preserve">Arka Overseas</x:t>
  </x:si>
  <x:si>
    <x:t xml:space="preserve">3418412000002716704</x:t>
  </x:si>
  <x:si>
    <x:t xml:space="preserve">MIO ASSEMBLY FULL EXTENSION RUNNER 8001110007</x:t>
  </x:si>
  <x:si>
    <x:t xml:space="preserve">3418412000002716715</x:t>
  </x:si>
  <x:si>
    <x:t xml:space="preserve">MIO DRAWER GLASS 450 MM 500X450X98 ANTHRACITE 8010000000 KES</x:t>
  </x:si>
  <x:si>
    <x:t xml:space="preserve">3418412000002716726</x:t>
  </x:si>
  <x:si>
    <x:t xml:space="preserve">MIO DRAWER GLASS 600 MM 500X600X129 ANTHRACITE 8010000000 KES</x:t>
  </x:si>
  <x:si>
    <x:t xml:space="preserve">3418412000002716737</x:t>
  </x:si>
  <x:si>
    <x:t xml:space="preserve">MIRRIOR PULLOUT FOR WARDROBE 1200X352X61 BROWN WMP-12035-BR EBC</x:t>
  </x:si>
  <x:si>
    <x:t xml:space="preserve">3418412000002716748</x:t>
  </x:si>
  <x:si>
    <x:t xml:space="preserve">Mirror mounting tape 25 mmx8.225 mtr</x:t>
  </x:si>
  <x:si>
    <x:t xml:space="preserve">3418412000002716759</x:t>
  </x:si>
  <x:si>
    <x:t xml:space="preserve">Modular Kitchen</x:t>
  </x:si>
  <x:si>
    <x:t xml:space="preserve">3418412000002716781</x:t>
  </x:si>
  <x:si>
    <x:t xml:space="preserve">MOVER FLAT SYSTEM 10-12KG 1200XX18 SILVER YE28MFL120018A1 SALICE</x:t>
  </x:si>
  <x:si>
    <x:t xml:space="preserve">3418412000002716792</x:t>
  </x:si>
  <x:si>
    <x:t xml:space="preserve">MULTIPURPOSE ORGANISER WRDACC XX LWAS-310 TT TOP</x:t>
  </x:si>
  <x:si>
    <x:t xml:space="preserve">3418412000002716803</x:t>
  </x:si>
  <x:si>
    <x:t xml:space="preserve">NEEDLE SET FOR CLOCK</x:t>
  </x:si>
  <x:si>
    <x:t xml:space="preserve">3418412000002716814</x:t>
  </x:si>
  <x:si>
    <x:t xml:space="preserve">NOVA PRO SCALA DRAWER H90 70KG LB 500 MM SILVER 006.108.04278 UTA</x:t>
  </x:si>
  <x:si>
    <x:t xml:space="preserve">3418412000002716825</x:t>
  </x:si>
  <x:si>
    <x:t xml:space="preserve">NOVA PRO SCALA DRAWER – E-HT- 70KG HB 500 MM STONE 006.089.02803 UTA</x:t>
  </x:si>
  <x:si>
    <x:t xml:space="preserve">3418412000002716847</x:t>
  </x:si>
  <x:si>
    <x:t xml:space="preserve">OM DIESEK FORKLIFT TRUCK MODEL-DVX 30 KAT BC HVT 2125</x:t>
  </x:si>
  <x:si>
    <x:t xml:space="preserve">3418412000002716858</x:t>
  </x:si>
  <x:si>
    <x:t xml:space="preserve">OVEN BIO 1 60CM CAR</x:t>
  </x:si>
  <x:si>
    <x:t xml:space="preserve">3418412000002716869</x:t>
  </x:si>
  <x:si>
    <x:t xml:space="preserve">OVEN OCS8687B 538.60.230 ASKO</x:t>
  </x:si>
  <x:si>
    <x:t xml:space="preserve">3418412000002716880</x:t>
  </x:si>
  <x:si>
    <x:t xml:space="preserve">OVER BRACED JIB CRANE - COLUMN MOUNTED</x:t>
  </x:si>
  <x:si>
    <x:t xml:space="preserve">3418412000002716891</x:t>
  </x:si>
  <x:si>
    <x:t xml:space="preserve">PAINT METAL PRIMER HG WITH HARDNER AST</x:t>
  </x:si>
  <x:si>
    <x:t xml:space="preserve">ltr</x:t>
  </x:si>
  <x:si>
    <x:t xml:space="preserve">3418412000002716902</x:t>
  </x:si>
  <x:si>
    <x:t xml:space="preserve">PAINT PU ACRI SOFT MATT AST</x:t>
  </x:si>
  <x:si>
    <x:t xml:space="preserve">3418412000002716913</x:t>
  </x:si>
  <x:si>
    <x:t xml:space="preserve">PAINT PU ADC-320251 MATT WITH HARDNER 1.5LTR ASTRA</x:t>
  </x:si>
  <x:si>
    <x:t xml:space="preserve">3418412000002716924</x:t>
  </x:si>
  <x:si>
    <x:t xml:space="preserve">PAINT PU EPOXY BARRIER CLEAR N ISOEPO A-80N +B80N AST</x:t>
  </x:si>
  <x:si>
    <x:t xml:space="preserve">3418412000002716935</x:t>
  </x:si>
  <x:si>
    <x:t xml:space="preserve">PAINT PU LIGHT MATT (WHITE-101) FINIPUR 610/10+B58 NI AST</x:t>
  </x:si>
  <x:si>
    <x:t xml:space="preserve">3418412000002716946</x:t>
  </x:si>
  <x:si>
    <x:t xml:space="preserve">PAINT PU LITE BRONZE MATCHING D-9002 WITH HARDENER 1.2 LTR AST</x:t>
  </x:si>
  <x:si>
    <x:t xml:space="preserve">3418412000002716957</x:t>
  </x:si>
  <x:si>
    <x:t xml:space="preserve">PAINT PU SANDGRAU FDP2 1106 MATT WITH HARDENER 1.5 LTR AST</x:t>
  </x:si>
  <x:si>
    <x:t xml:space="preserve">3418412000002716968</x:t>
  </x:si>
  <x:si>
    <x:t xml:space="preserve">PAINT PU THINNER DPU203 AST</x:t>
  </x:si>
  <x:si>
    <x:t xml:space="preserve">3418412000002716979</x:t>
  </x:si>
  <x:si>
    <x:t xml:space="preserve">PALMENT PATTI 110X17X1 RAW LOC</x:t>
  </x:si>
  <x:si>
    <x:t xml:space="preserve">3418412000002716990</x:t>
  </x:si>
  <x:si>
    <x:t xml:space="preserve">PAPER ANGLE CORNER FLEX 50X50X3MM L3 MTR PACKING</x:t>
  </x:si>
  <x:si>
    <x:t xml:space="preserve">3418412000002717001</x:t>
  </x:si>
  <x:si>
    <x:t xml:space="preserve">PARKER SHUTTER HANDLE CENTER BRACKET (2 SIDE SUPPORT)-GP1012</x:t>
  </x:si>
  <x:si>
    <x:t xml:space="preserve">3418412000002717012</x:t>
  </x:si>
  <x:si>
    <x:t xml:space="preserve">PARKER SHUTTER HANDLE TOP/BOTTOM BRACKET (1 SIDE SUPPORT)-GP1014</x:t>
  </x:si>
  <x:si>
    <x:t xml:space="preserve">3418412000002717023</x:t>
  </x:si>
  <x:si>
    <x:t xml:space="preserve">PARTICAL BOARD BSL 2440X1220X18 FABRIC CREAM 183PHX</x:t>
  </x:si>
  <x:si>
    <x:t xml:space="preserve">3418412000002717034</x:t>
  </x:si>
  <x:si>
    <x:t xml:space="preserve">PARTICAL BOARD BSL 2440X1220X18 VINTAGE VENEER DARK T-245 PHX</x:t>
  </x:si>
  <x:si>
    <x:t xml:space="preserve">3418412000002717045</x:t>
  </x:si>
  <x:si>
    <x:t xml:space="preserve">PARTICAL BOARD BSL 2440X1220X25 VINTAGE VENEER DARK T-245 PHX</x:t>
  </x:si>
  <x:si>
    <x:t xml:space="preserve">3418412000002717056</x:t>
  </x:si>
  <x:si>
    <x:t xml:space="preserve">PARTICAL BOARD BSL 2440X1830X15 ROYAL TEAK 4223 PHX</x:t>
  </x:si>
  <x:si>
    <x:t xml:space="preserve">Woodpulp Panel LLP</x:t>
  </x:si>
  <x:si>
    <x:t xml:space="preserve">3418412000002717067</x:t>
  </x:si>
  <x:si>
    <x:t xml:space="preserve">PARTICAL BOARD BSL 2440X1830X17 ROYAL TEAK 4223 PHX</x:t>
  </x:si>
  <x:si>
    <x:t xml:space="preserve">3418412000002717078</x:t>
  </x:si>
  <x:si>
    <x:t xml:space="preserve">PARTICAL BOARD BSL 2440X1830X18 ROYAL TEAK 4223 PHX</x:t>
  </x:si>
  <x:si>
    <x:t xml:space="preserve">3418412000002717089</x:t>
  </x:si>
  <x:si>
    <x:t xml:space="preserve">PARTICAL BOARD OSL 2440X1220X8 FABRIC CREAM 183 PHX</x:t>
  </x:si>
  <x:si>
    <x:t xml:space="preserve">3418412000002717100</x:t>
  </x:si>
  <x:si>
    <x:t xml:space="preserve">PARTICAL BOARD OSL 2440X1220X8 VINTAGE VENEER DARK T-245 PHX</x:t>
  </x:si>
  <x:si>
    <x:t xml:space="preserve">3418412000002717111</x:t>
  </x:si>
  <x:si>
    <x:t xml:space="preserve">PARTICAL BOARD OSL 2440X1830X9 ROYAL TEAK 4223 PHX</x:t>
  </x:si>
  <x:si>
    <x:t xml:space="preserve">3418412000002717122</x:t>
  </x:si>
  <x:si>
    <x:t xml:space="preserve">PC DIFFUSER 3000X9MM WHITE FOR 2493, 2490 VAI</x:t>
  </x:si>
  <x:si>
    <x:t xml:space="preserve">3418412000002717133</x:t>
  </x:si>
  <x:si>
    <x:t xml:space="preserve">PC DIFFUSER 3000X9MM WHITE FOR HM-534,512,507,514,ELENOR 12MM VAI</x:t>
  </x:si>
  <x:si>
    <x:t xml:space="preserve">3418412000002717144</x:t>
  </x:si>
  <x:si>
    <x:t xml:space="preserve">3418412000002717155</x:t>
  </x:si>
  <x:si>
    <x:t xml:space="preserve">PEKA TOWER 450 ANTHRACITE K-KT45-AT EBC</x:t>
  </x:si>
  <x:si>
    <x:t xml:space="preserve">3418412000002717166</x:t>
  </x:si>
  <x:si>
    <x:t xml:space="preserve">PEKI GLASS SUPPORT 10XX4 PRO</x:t>
  </x:si>
  <x:si>
    <x:t xml:space="preserve">3418412000002717188</x:t>
  </x:si>
  <x:si>
    <x:t xml:space="preserve">PLASTIC BASKET WICKER 450MM 412X496X100 BROWN PWB 16-20-04 BR EBC</x:t>
  </x:si>
  <x:si>
    <x:t xml:space="preserve">3418412000002717199</x:t>
  </x:si>
  <x:si>
    <x:t xml:space="preserve">PLASTIC BASKET WICKER 450MM 450X496X150 BROWN PWB 16-20-06 BR EBC</x:t>
  </x:si>
  <x:si>
    <x:t xml:space="preserve">3418412000002717210</x:t>
  </x:si>
  <x:si>
    <x:t xml:space="preserve">PLASTIC BASKET WICKER 450MM 450X496X200 BROWN PWB 16-20-08 BR EBC</x:t>
  </x:si>
  <x:si>
    <x:t xml:space="preserve">3418412000002717221</x:t>
  </x:si>
  <x:si>
    <x:t xml:space="preserve">PLASTIC BASKET WICKER 600MM 562X496X150 BROWN PWB 22-20-06 EBC</x:t>
  </x:si>
  <x:si>
    <x:t xml:space="preserve">3418412000002717232</x:t>
  </x:si>
  <x:si>
    <x:t xml:space="preserve">PLASTIC BASKET WICKER 600MM 562X496X200 BROWN PWB 22-20-08 EBC</x:t>
  </x:si>
  <x:si>
    <x:t xml:space="preserve">3418412000002717243</x:t>
  </x:si>
  <x:si>
    <x:t xml:space="preserve">PLASTIC CAP DECORATIVE FOR TANDOM BOX XX GUN BLACK TA - EXTRA LIAN</x:t>
  </x:si>
  <x:si>
    <x:t xml:space="preserve">3418412000002717254</x:t>
  </x:si>
  <x:si>
    <x:t xml:space="preserve">PLASTIC CAP DECORATIVE FOR TANDOM BOX XX GUN BLACK TD - EXTRALIAN</x:t>
  </x:si>
  <x:si>
    <x:t xml:space="preserve">3418412000002717265</x:t>
  </x:si>
  <x:si>
    <x:t xml:space="preserve">PLASTIC POUCH FOR HARDWARE PACKING 150X100X SST</x:t>
  </x:si>
  <x:si>
    <x:t xml:space="preserve">3418412000002717276</x:t>
  </x:si>
  <x:si>
    <x:t xml:space="preserve">PLASTIC ROLL FOR PACKING X400X SST</x:t>
  </x:si>
  <x:si>
    <x:t xml:space="preserve">3418412000002717287</x:t>
  </x:si>
  <x:si>
    <x:t xml:space="preserve">PLASTIC ROLL FOR PACKING X762X SST</x:t>
  </x:si>
  <x:si>
    <x:t xml:space="preserve">Suspol Innovations Pvt. Ltd.</x:t>
  </x:si>
  <x:si>
    <x:t xml:space="preserve">3418412000002717298</x:t>
  </x:si>
  <x:si>
    <x:t xml:space="preserve">PLASTIC ROLL FOR PACKING X914X SST</x:t>
  </x:si>
  <x:si>
    <x:t xml:space="preserve">3418412000002717309</x:t>
  </x:si>
  <x:si>
    <x:t xml:space="preserve">PLASTIC ROLL FOR PACKING XX915 TRANSPERENT LOC</x:t>
  </x:si>
  <x:si>
    <x:t xml:space="preserve">3418412000002717320</x:t>
  </x:si>
  <x:si>
    <x:t xml:space="preserve">PLASTIC WICKER BASKET 600 MM 562X496X100 PWB 22-20-04 EBC</x:t>
  </x:si>
  <x:si>
    <x:t xml:space="preserve">3418412000002717331</x:t>
  </x:si>
  <x:si>
    <x:t xml:space="preserve">PLATE ORGANISER FOR DRAWER 610X270X WHITE DPO1-610 EBC</x:t>
  </x:si>
  <x:si>
    <x:t xml:space="preserve">3418412000002717342</x:t>
  </x:si>
  <x:si>
    <x:t xml:space="preserve">PLATE RACK 500/90 SILVER TEXTURED 001.013.00524 UTA</x:t>
  </x:si>
  <x:si>
    <x:t xml:space="preserve">3418412000002717353</x:t>
  </x:si>
  <x:si>
    <x:t xml:space="preserve">PLATE THALI HOLDER 475X160X150 SS304 HI GOLD</x:t>
  </x:si>
  <x:si>
    <x:t xml:space="preserve">3418412000002717364</x:t>
  </x:si>
  <x:si>
    <x:t xml:space="preserve">PLY RAW/PLAIN BWP CALIBRATED 2440X1220X16 FLO</x:t>
  </x:si>
  <x:si>
    <x:t xml:space="preserve">Flourish Ply &amp; Veneer</x:t>
  </x:si>
  <x:si>
    <x:t xml:space="preserve">3418412000002717375</x:t>
  </x:si>
  <x:si>
    <x:t xml:space="preserve">3418412000002717386</x:t>
  </x:si>
  <x:si>
    <x:t xml:space="preserve">POLISH PAD 1000 NOS X100X DCRF5-7U2-XD SURIE</x:t>
  </x:si>
  <x:si>
    <x:t xml:space="preserve">3418412000002717397</x:t>
  </x:si>
  <x:si>
    <x:t xml:space="preserve">POLISH PAD 100 NOS X100X DCRF-4-9U1-XD SURIE</x:t>
  </x:si>
  <x:si>
    <x:t xml:space="preserve">3418412000002717408</x:t>
  </x:si>
  <x:si>
    <x:t xml:space="preserve">POLISH PAD 100 NOS X100X DCRF5-9UA-XD SURIE</x:t>
  </x:si>
  <x:si>
    <x:t xml:space="preserve">3418412000002717419</x:t>
  </x:si>
  <x:si>
    <x:t xml:space="preserve">POLISH PAD 2000 NOS X100X DCRF5-7U2-VS SURIE</x:t>
  </x:si>
  <x:si>
    <x:t xml:space="preserve">3418412000002717430</x:t>
  </x:si>
  <x:si>
    <x:t xml:space="preserve">POLISH PAD 3000 NOS X100X DCRF5-7U2-XD SURIE</x:t>
  </x:si>
  <x:si>
    <x:t xml:space="preserve">3418412000002717441</x:t>
  </x:si>
  <x:si>
    <x:t xml:space="preserve">POLISH PAD 400 NOS X100X DCRF5-9UA-XD SURIE</x:t>
  </x:si>
  <x:si>
    <x:t xml:space="preserve">3418412000002717452</x:t>
  </x:si>
  <x:si>
    <x:t xml:space="preserve">POLISH PAD DCRF5-9U1-XD-1000 SURIE</x:t>
  </x:si>
  <x:si>
    <x:t xml:space="preserve">3418412000002717463</x:t>
  </x:si>
  <x:si>
    <x:t xml:space="preserve">POLYTHENE TUBE TYPE FOR HARDWARE PACKING X150X MAN</x:t>
  </x:si>
  <x:si>
    <x:t xml:space="preserve">3418412000002717485</x:t>
  </x:si>
  <x:si>
    <x:t xml:space="preserve">PORTERO SET-1 495X393X158 CHROME 2610000000 KES</x:t>
  </x:si>
  <x:si>
    <x:t xml:space="preserve">3418412000002717496</x:t>
  </x:si>
  <x:si>
    <x:t xml:space="preserve">PORTERO SET-3 495X508X260 CHROME 2610000000 KES</x:t>
  </x:si>
  <x:si>
    <x:t xml:space="preserve">3418412000002717507</x:t>
  </x:si>
  <x:si>
    <x:t xml:space="preserve">PPCP TRINGLE CAP 08MM MOD</x:t>
  </x:si>
  <x:si>
    <x:t xml:space="preserve">3418412000002717518</x:t>
  </x:si>
  <x:si>
    <x:t xml:space="preserve">PPCP TRINGLE CAP 18MM MOD</x:t>
  </x:si>
  <x:si>
    <x:t xml:space="preserve">3418412000002717529</x:t>
  </x:si>
  <x:si>
    <x:t xml:space="preserve">PPCP TRINGLE CAP FOR PACKING XX12 MOD</x:t>
  </x:si>
  <x:si>
    <x:t xml:space="preserve">3418412000002717540</x:t>
  </x:si>
  <x:si>
    <x:t xml:space="preserve">PPCP TRINGLE CAP FOR PACKING XX15 MOD</x:t>
  </x:si>
  <x:si>
    <x:t xml:space="preserve">3418412000002717551</x:t>
  </x:si>
  <x:si>
    <x:t xml:space="preserve">PPCP TRINGLE CAP FOR PACKING XX25 MOD</x:t>
  </x:si>
  <x:si>
    <x:t xml:space="preserve">3418412000002717562</x:t>
  </x:si>
  <x:si>
    <x:t xml:space="preserve">PPCP TRINGLE CAP FOR PACKING XX36 MOD</x:t>
  </x:si>
  <x:si>
    <x:t xml:space="preserve">3418412000002717573</x:t>
  </x:si>
  <x:si>
    <x:t xml:space="preserve">PPCP TRINGLE CAP FOR PACKING XX46 MOD</x:t>
  </x:si>
  <x:si>
    <x:t xml:space="preserve">3418412000002717584</x:t>
  </x:si>
  <x:si>
    <x:t xml:space="preserve">Primer 94, 10mL</x:t>
  </x:si>
  <x:si>
    <x:t xml:space="preserve">3418412000002717606</x:t>
  </x:si>
  <x:si>
    <x:t xml:space="preserve">PULLOUT ORGANISER SIDE 2 TIER AT 138X506X334 GREY SPO2 EBC</x:t>
  </x:si>
  <x:si>
    <x:t xml:space="preserve">3418412000002717617</x:t>
  </x:si>
  <x:si>
    <x:t xml:space="preserve">PUSH OPEN FITTING MAGNETIC XX GREY POM-40-GR EBC</x:t>
  </x:si>
  <x:si>
    <x:t xml:space="preserve">3418412000002717628</x:t>
  </x:si>
  <x:si>
    <x:t xml:space="preserve">3418412000002717639</x:t>
  </x:si>
  <x:si>
    <x:t xml:space="preserve">PVC CUTLERY TREY FOR 600MM CAB 551X490X45 GREY KCT2-60-AT EBC</x:t>
  </x:si>
  <x:si>
    <x:t xml:space="preserve">3418412000002717650</x:t>
  </x:si>
  <x:si>
    <x:t xml:space="preserve">PVC CUTLERY TREY FOR 800MM CAB 740X490X45 GREY KCT2-80-AT EBC</x:t>
  </x:si>
  <x:si>
    <x:t xml:space="preserve">3418412000002717661</x:t>
  </x:si>
  <x:si>
    <x:t xml:space="preserve">PVC CUTLERY TREY FOR 900MM CAB 840X490X45 GREY KCT2-90-AT EBC</x:t>
  </x:si>
  <x:si>
    <x:t xml:space="preserve">3418412000002717672</x:t>
  </x:si>
  <x:si>
    <x:t xml:space="preserve">PVC DIFFUSER 3000X12MM WHITE FOR 2464 SURFACE MASTER VAI</x:t>
  </x:si>
  <x:si>
    <x:t xml:space="preserve">Promote Enterprises</x:t>
  </x:si>
  <x:si>
    <x:t xml:space="preserve">3418412000002717683</x:t>
  </x:si>
  <x:si>
    <x:t xml:space="preserve">PVC DIFFUSER FOR GRAND PROF 3000X6X BLACK 9099 IMP</x:t>
  </x:si>
  <x:si>
    <x:t xml:space="preserve">3418412000002717694</x:t>
  </x:si>
  <x:si>
    <x:t xml:space="preserve">PVC DIFFUSER FOR LIGHT PROFILE 3000X12X WHITE 2472 VAI</x:t>
  </x:si>
  <x:si>
    <x:t xml:space="preserve">3418412000002717705</x:t>
  </x:si>
  <x:si>
    <x:t xml:space="preserve">PVC EDGE CORNER LITE BRONZE FOR STONE SHUTTER MOD</x:t>
  </x:si>
  <x:si>
    <x:t xml:space="preserve">3418412000002717716</x:t>
  </x:si>
  <x:si>
    <x:t xml:space="preserve">PVC EXTRUSION DIE</x:t>
  </x:si>
  <x:si>
    <x:t xml:space="preserve">3418412000002717727</x:t>
  </x:si>
  <x:si>
    <x:t xml:space="preserve">PVC FLOOR PROTECTION SHEET 1830X1220X1 LOC</x:t>
  </x:si>
  <x:si>
    <x:t xml:space="preserve">3418412000002717738</x:t>
  </x:si>
  <x:si>
    <x:t xml:space="preserve">PVC FOIL 0.35MM HG MARGHERITA RNLT</x:t>
  </x:si>
  <x:si>
    <x:t xml:space="preserve">3418412000002717749</x:t>
  </x:si>
  <x:si>
    <x:t xml:space="preserve">PVC FOIL ANTI BT X1420X0.4 IVORY SPARKLE 4275005 DIWO</x:t>
  </x:si>
  <x:si>
    <x:t xml:space="preserve">Haining Diwo Import and Export Co. Ltd.</x:t>
  </x:si>
  <x:si>
    <x:t xml:space="preserve">3418412000002717760</x:t>
  </x:si>
  <x:si>
    <x:t xml:space="preserve">PVC FOIL HG X1420X0.35 MARGHERITA RNLT</x:t>
  </x:si>
  <x:si>
    <x:t xml:space="preserve">Shreepal Trade Impex Thane (25-26)</x:t>
  </x:si>
  <x:si>
    <x:t xml:space="preserve">3418412000002717771</x:t>
  </x:si>
  <x:si>
    <x:t xml:space="preserve">PVC FOIL MATT X1420X0.48 STONE GREY PREMIER S40.42.38.0017 RNLT</x:t>
  </x:si>
  <x:si>
    <x:t xml:space="preserve">3418412000002717782</x:t>
  </x:si>
  <x:si>
    <x:t xml:space="preserve">PVC GASKET FOR 6MM ALU SHUTTER 3MTR PRO</x:t>
  </x:si>
  <x:si>
    <x:t xml:space="preserve">3418412000002717793</x:t>
  </x:si>
  <x:si>
    <x:t xml:space="preserve">PVC GASKET FOR ALU SHUTTER 3 MTR 4MM GLASS WHITE ACME</x:t>
  </x:si>
  <x:si>
    <x:t xml:space="preserve">3418412000002717804</x:t>
  </x:si>
  <x:si>
    <x:t xml:space="preserve">PVC GASKET FOR ALU SHUTTER-3MTR ACME</x:t>
  </x:si>
  <x:si>
    <x:t xml:space="preserve">Acme Plastics</x:t>
  </x:si>
  <x:si>
    <x:t xml:space="preserve">3418412000002717815</x:t>
  </x:si>
  <x:si>
    <x:t xml:space="preserve">PVC GITTI 100X10 MM WHITE OM</x:t>
  </x:si>
  <x:si>
    <x:t xml:space="preserve">3418412000002717826</x:t>
  </x:si>
  <x:si>
    <x:t xml:space="preserve">3418412000002717837</x:t>
  </x:si>
  <x:si>
    <x:t xml:space="preserve">PVC NOZZLE CAP 400ML XX AGG</x:t>
  </x:si>
  <x:si>
    <x:t xml:space="preserve">3418412000002717848</x:t>
  </x:si>
  <x:si>
    <x:t xml:space="preserve">PVC NOZZLE CAP 50ML XX AGG</x:t>
  </x:si>
  <x:si>
    <x:t xml:space="preserve">3418412000002717859</x:t>
  </x:si>
  <x:si>
    <x:t xml:space="preserve">PVC PACKING FOR WALL HANGING 100X100X12 K018 LOC</x:t>
  </x:si>
  <x:si>
    <x:t xml:space="preserve">3418412000002717870</x:t>
  </x:si>
  <x:si>
    <x:t xml:space="preserve">PVC SKIRTING CLIP FOR LEG Q PLINTH XX BLACK CRY</x:t>
  </x:si>
  <x:si>
    <x:t xml:space="preserve">3418412000002717881</x:t>
  </x:si>
  <x:si>
    <x:t xml:space="preserve">PVC SOCKET 10X11MM FOR T43 CUP 1058613 HET</x:t>
  </x:si>
  <x:si>
    <x:t xml:space="preserve">3418412000002717892</x:t>
  </x:si>
  <x:si>
    <x:t xml:space="preserve">PVC SWITCH SOCKET 15 AMP FOR MOBLE MOK</x:t>
  </x:si>
  <x:si>
    <x:t xml:space="preserve">3418412000002717903</x:t>
  </x:si>
  <x:si>
    <x:t xml:space="preserve">QUADRO DYNAMOOV 500MM F130101110210 30KG 006.055.00245 GRS</x:t>
  </x:si>
  <x:si>
    <x:t xml:space="preserve">3418412000002717914</x:t>
  </x:si>
  <x:si>
    <x:t xml:space="preserve">QUADRO DYNAMOOV SOFT CLOSE 70 KGS SMOOVE 500XX G7E6S500XXKID01 SALICE</x:t>
  </x:si>
  <x:si>
    <x:t xml:space="preserve">S. R. Enterprises</x:t>
  </x:si>
  <x:si>
    <x:t xml:space="preserve">3418412000002717925</x:t>
  </x:si>
  <x:si>
    <x:t xml:space="preserve">QUADRO DYNAMOOV SOFT CLOSE W/BRACKET 300XX CDSS230-SC EBC</x:t>
  </x:si>
  <x:si>
    <x:t xml:space="preserve">3418412000002717936</x:t>
  </x:si>
  <x:si>
    <x:t xml:space="preserve">QUADRO DYNAMOOV SOFT CLOSE W/BRACKET 350XX CDSS235-SC EBC</x:t>
  </x:si>
  <x:si>
    <x:t xml:space="preserve">3418412000002717947</x:t>
  </x:si>
  <x:si>
    <x:t xml:space="preserve">QUADRO DYNAMOOV SOFT CLOSE W/BRACKET 35 KGS 500XX 433.09.535 HAF</x:t>
  </x:si>
  <x:si>
    <x:t xml:space="preserve">3418412000002717958</x:t>
  </x:si>
  <x:si>
    <x:t xml:space="preserve">QUADRO DYNAMOOV SOFT CLOSE W/BRACKET 400XX CDSS240-SC EBC</x:t>
  </x:si>
  <x:si>
    <x:t xml:space="preserve">3418412000002717969</x:t>
  </x:si>
  <x:si>
    <x:t xml:space="preserve">QUADRO DYNAMOOV SOFT CLOSE W/BRACKET 450XX CDSS245-SC EBC</x:t>
  </x:si>
  <x:si>
    <x:t xml:space="preserve">3418412000002717980</x:t>
  </x:si>
  <x:si>
    <x:t xml:space="preserve">QUADRO DYNAMOOV SOFT CLOSE W/BRACKET 500XX CDSS250-SC EBC</x:t>
  </x:si>
  <x:si>
    <x:t xml:space="preserve">3418412000002717991</x:t>
  </x:si>
  <x:si>
    <x:t xml:space="preserve">QUADRO DYNAMOOV SOFT CLOSE W/BRACKET FULL EXTN. 500XX 316DC LIAN</x:t>
  </x:si>
  <x:si>
    <x:t xml:space="preserve">3418412000002718002</x:t>
  </x:si>
  <x:si>
    <x:t xml:space="preserve">QUARTZ MATT 3270X1650X20 CARRARA CLOUD MLPL</x:t>
  </x:si>
  <x:si>
    <x:t xml:space="preserve">3418412000002718013</x:t>
  </x:si>
  <x:si>
    <x:t xml:space="preserve">QUARTZ MATT 3270X1650X20 CARRARA MLPL</x:t>
  </x:si>
  <x:si>
    <x:t xml:space="preserve">3418412000002718024</x:t>
  </x:si>
  <x:si>
    <x:t xml:space="preserve">QUARTZ MATT 3270X1650X20 PIETRA GREY MLPL</x:t>
  </x:si>
  <x:si>
    <x:t xml:space="preserve">3418412000002718035</x:t>
  </x:si>
  <x:si>
    <x:t xml:space="preserve">QUARTZ SURFACE</x:t>
  </x:si>
  <x:si>
    <x:t xml:space="preserve">3418412000002718046</x:t>
  </x:si>
  <x:si>
    <x:t xml:space="preserve">RECTANGLE HANGING ROD BRACKET BRUSH GOLD KWP-177 K ZONE</x:t>
  </x:si>
  <x:si>
    <x:t xml:space="preserve">3418412000002718057</x:t>
  </x:si>
  <x:si>
    <x:t xml:space="preserve">RIBOON FOR POYSTER 30000X150X SPL-22 AERO</x:t>
  </x:si>
  <x:si>
    <x:t xml:space="preserve">3418412000002718068</x:t>
  </x:si>
  <x:si>
    <x:t xml:space="preserve">RING BOX WRDACC XX LWAS-305 TT TOP</x:t>
  </x:si>
  <x:si>
    <x:t xml:space="preserve">3418412000002718079</x:t>
  </x:si>
  <x:si>
    <x:t xml:space="preserve">ROLLING BOARD SS CHAKLA 233XX30 SATIN LOC</x:t>
  </x:si>
  <x:si>
    <x:t xml:space="preserve">3418412000002718090</x:t>
  </x:si>
  <x:si>
    <x:t xml:space="preserve">ROLLING SHUTTER ALU FINISH 600 X 1320 MM CRY</x:t>
  </x:si>
  <x:si>
    <x:t xml:space="preserve">3418412000002718101</x:t>
  </x:si>
  <x:si>
    <x:t xml:space="preserve">ROLLING SHUTTER GLASS 1320XX600 WHITE CRY</x:t>
  </x:si>
  <x:si>
    <x:t xml:space="preserve">3418412000002718112</x:t>
  </x:si>
  <x:si>
    <x:t xml:space="preserve">ROLLING SHUTTER GLASS X600X1320 BLACK CRY</x:t>
  </x:si>
  <x:si>
    <x:t xml:space="preserve">3418412000002718123</x:t>
  </x:si>
  <x:si>
    <x:t xml:space="preserve">ROLLING SHUTTER GLASS X600X1500 BLACK REH</x:t>
  </x:si>
  <x:si>
    <x:t xml:space="preserve">3418412000002718134</x:t>
  </x:si>
  <x:si>
    <x:t xml:space="preserve">ROLLING SHUTTER GLASS X600X1500 WHITE 1705619 REH</x:t>
  </x:si>
  <x:si>
    <x:t xml:space="preserve">3418412000002718145</x:t>
  </x:si>
  <x:si>
    <x:t xml:space="preserve">ROLLING SHUTTER GLASS X900X1500 WHITE 17218631002 REH</x:t>
  </x:si>
  <x:si>
    <x:t xml:space="preserve">3418412000002718156</x:t>
  </x:si>
  <x:si>
    <x:t xml:space="preserve">ROLLING SHUTTER NOBLE MATT AFTER DARK FINISH 900 X 1500 MM V3555 REH</x:t>
  </x:si>
  <x:si>
    <x:t xml:space="preserve">3418412000002718167</x:t>
  </x:si>
  <x:si>
    <x:t xml:space="preserve">ROLLING SHUTTER X600X1320 MOCHA RTPV-60130-LC EBC</x:t>
  </x:si>
  <x:si>
    <x:t xml:space="preserve">3418412000002718178</x:t>
  </x:si>
  <x:si>
    <x:t xml:space="preserve">ROLLING SHUTTER X600X1500 ALU METALLIC REH</x:t>
  </x:si>
  <x:si>
    <x:t xml:space="preserve">3418412000002718189</x:t>
  </x:si>
  <x:si>
    <x:t xml:space="preserve">ROLLING SHUTTER X600X1500 SILVER LAKE REH</x:t>
  </x:si>
  <x:si>
    <x:t xml:space="preserve">3418412000002718200</x:t>
  </x:si>
  <x:si>
    <x:t xml:space="preserve">ROUND CORNER FOR PROFILE SILVER STONE FRAME XX LITE BRONZE IMP</x:t>
  </x:si>
  <x:si>
    <x:t xml:space="preserve">3418412000002718211</x:t>
  </x:si>
  <x:si>
    <x:t xml:space="preserve">ROUND CORNER FOR PROFILE SILVER STONE FRAME XX SILVER IMP</x:t>
  </x:si>
  <x:si>
    <x:t xml:space="preserve">3418412000002718222</x:t>
  </x:si>
  <x:si>
    <x:t xml:space="preserve">RUBBER GASKET FOR HANGING ROD 3000XX BROWN SGI</x:t>
  </x:si>
  <x:si>
    <x:t xml:space="preserve">3418412000002718233</x:t>
  </x:si>
  <x:si>
    <x:t xml:space="preserve">SAFE BOX 900MM 400X864X178 BROWN KWA-1610 AST</x:t>
  </x:si>
  <x:si>
    <x:t xml:space="preserve">3418412000002718244</x:t>
  </x:si>
  <x:si>
    <x:t xml:space="preserve">SANDING DISC 6 INCH 100 NOS DEER</x:t>
  </x:si>
  <x:si>
    <x:t xml:space="preserve">3418412000002718255</x:t>
  </x:si>
  <x:si>
    <x:t xml:space="preserve">SANDING DISC 6 INCH 1200 NOS DEER</x:t>
  </x:si>
  <x:si>
    <x:t xml:space="preserve">3418412000002718266</x:t>
  </x:si>
  <x:si>
    <x:t xml:space="preserve">SANDING DISC 6 INCH 1500 NOS DEER</x:t>
  </x:si>
  <x:si>
    <x:t xml:space="preserve">3418412000002718277</x:t>
  </x:si>
  <x:si>
    <x:t xml:space="preserve">SANDING DISC 6 INCH 2000 NOS DEER</x:t>
  </x:si>
  <x:si>
    <x:t xml:space="preserve">3418412000002718288</x:t>
  </x:si>
  <x:si>
    <x:t xml:space="preserve">SANDING DISC 6 INCH 400 NOS DEER</x:t>
  </x:si>
  <x:si>
    <x:t xml:space="preserve">3418412000002718299</x:t>
  </x:si>
  <x:si>
    <x:t xml:space="preserve">SANDING DISC 6 INCH 800 NOS DEER</x:t>
  </x:si>
  <x:si>
    <x:t xml:space="preserve">3418412000002718310</x:t>
  </x:si>
  <x:si>
    <x:t xml:space="preserve">SANTING ADAPTOR CR5 LC SUR</x:t>
  </x:si>
  <x:si>
    <x:t xml:space="preserve">PARMOD TRADERS</x:t>
  </x:si>
  <x:si>
    <x:t xml:space="preserve">3418412000002718321</x:t>
  </x:si>
  <x:si>
    <x:t xml:space="preserve">SANTING ADAPTOR CR5 RC SUR</x:t>
  </x:si>
  <x:si>
    <x:t xml:space="preserve">3418412000002718332</x:t>
  </x:si>
  <x:si>
    <x:t xml:space="preserve">SCREW FOR CHIP BOARD 100X10MM MS NIKAL POLISH OM</x:t>
  </x:si>
  <x:si>
    <x:t xml:space="preserve">3418412000002718343</x:t>
  </x:si>
  <x:si>
    <x:t xml:space="preserve">SCREW FOR CHIP BOARD 12XX3.5MM MS NIKAL POLISH CINE</x:t>
  </x:si>
  <x:si>
    <x:t xml:space="preserve">Cine India</x:t>
  </x:si>
  <x:si>
    <x:t xml:space="preserve">3418412000002718354</x:t>
  </x:si>
  <x:si>
    <x:t xml:space="preserve">SCREW FOR CHIP BOARD 12XX4MM MS POLISH CINE</x:t>
  </x:si>
  <x:si>
    <x:t xml:space="preserve">3418412000002718365</x:t>
  </x:si>
  <x:si>
    <x:t xml:space="preserve">SCREW FOR CHIP BOARD 12XX6MM MS NIKAL POLISH CINE</x:t>
  </x:si>
  <x:si>
    <x:t xml:space="preserve">3418412000002718376</x:t>
  </x:si>
  <x:si>
    <x:t xml:space="preserve">SCREW FOR CHIP BOARD 13XX4.8MM MS NIKAL POLISH CINE</x:t>
  </x:si>
  <x:si>
    <x:t xml:space="preserve">Durga Fasteners</x:t>
  </x:si>
  <x:si>
    <x:t xml:space="preserve">3418412000002718387</x:t>
  </x:si>
  <x:si>
    <x:t xml:space="preserve">SCREW FOR CHIP BOARD 13XX4MM MS NIKAL POLISH CINE</x:t>
  </x:si>
  <x:si>
    <x:t xml:space="preserve">3418412000002718398</x:t>
  </x:si>
  <x:si>
    <x:t xml:space="preserve">3418412000002718409</x:t>
  </x:si>
  <x:si>
    <x:t xml:space="preserve">SCREW FOR CHIP BOARD 17XX4.8MM MS NIKAL POLISH CINE</x:t>
  </x:si>
  <x:si>
    <x:t xml:space="preserve">3418412000002718420</x:t>
  </x:si>
  <x:si>
    <x:t xml:space="preserve">SCREW FOR CHIP BOARD 18XX4MM MS NIKAL POLISH CINE</x:t>
  </x:si>
  <x:si>
    <x:t xml:space="preserve">3418412000002718431</x:t>
  </x:si>
  <x:si>
    <x:t xml:space="preserve">SCREW FOR CHIP BOARD 20XX5MM MS NIKAL POLISH CINE</x:t>
  </x:si>
  <x:si>
    <x:t xml:space="preserve">3418412000002718442</x:t>
  </x:si>
  <x:si>
    <x:t xml:space="preserve">3418412000002718453</x:t>
  </x:si>
  <x:si>
    <x:t xml:space="preserve">3418412000002718464</x:t>
  </x:si>
  <x:si>
    <x:t xml:space="preserve">SCREW FOR CHIP BOARD 35XX4MM MS NIKAL POLISH CINE</x:t>
  </x:si>
  <x:si>
    <x:t xml:space="preserve">3418412000002718475</x:t>
  </x:si>
  <x:si>
    <x:t xml:space="preserve">SCREW FOR CHIP BOARD 40XX4MM MS NIKAL POLISH CINE</x:t>
  </x:si>
  <x:si>
    <x:t xml:space="preserve">3418412000002718486</x:t>
  </x:si>
  <x:si>
    <x:t xml:space="preserve">SCREW FOR CHIP BOARD 50XX4MM MS NIKAL POLISH CINE</x:t>
  </x:si>
  <x:si>
    <x:t xml:space="preserve">3418412000002718497</x:t>
  </x:si>
  <x:si>
    <x:t xml:space="preserve">SCREW FOR CHIP BOARD 50XX5MM MS NIKAL POLISH CINE</x:t>
  </x:si>
  <x:si>
    <x:t xml:space="preserve">3418412000002718508</x:t>
  </x:si>
  <x:si>
    <x:t xml:space="preserve">SCREW FOR CHIP BOARD 75XX5MM MS NIKAL POLISH CINE</x:t>
  </x:si>
  <x:si>
    <x:t xml:space="preserve">3418412000002718519</x:t>
  </x:si>
  <x:si>
    <x:t xml:space="preserve">SCREW FOR CHIP BOARD 75XX6MM MS NIKAL POLISH CINE</x:t>
  </x:si>
  <x:si>
    <x:t xml:space="preserve">3418412000002718530</x:t>
  </x:si>
  <x:si>
    <x:t xml:space="preserve">SCREW FOR CONNECTOR CSK 10XX5 SS 304 CINE</x:t>
  </x:si>
  <x:si>
    <x:t xml:space="preserve">3418412000002718541</x:t>
  </x:si>
  <x:si>
    <x:t xml:space="preserve">SCREW FOR HANDLE 10XX6 SS 304 CINE</x:t>
  </x:si>
  <x:si>
    <x:t xml:space="preserve">3418412000002718552</x:t>
  </x:si>
  <x:si>
    <x:t xml:space="preserve">SCREW FOR HANDLE 12XX4 CINE</x:t>
  </x:si>
  <x:si>
    <x:t xml:space="preserve">3418412000002718563</x:t>
  </x:si>
  <x:si>
    <x:t xml:space="preserve">SCREW FOR HANDLE 20XX4 SS 304 CINE</x:t>
  </x:si>
  <x:si>
    <x:t xml:space="preserve">3418412000002718574</x:t>
  </x:si>
  <x:si>
    <x:t xml:space="preserve">SCREW FOR HANDLE 25XX4 SS 304 CINE</x:t>
  </x:si>
  <x:si>
    <x:t xml:space="preserve">3418412000002718585</x:t>
  </x:si>
  <x:si>
    <x:t xml:space="preserve">SCREW FOR HANDLE 25XX6 SS 304 CINE</x:t>
  </x:si>
  <x:si>
    <x:t xml:space="preserve">3418412000002718596</x:t>
  </x:si>
  <x:si>
    <x:t xml:space="preserve">SCREW FOR HANDLE 30XX4 SS 304 CINE</x:t>
  </x:si>
  <x:si>
    <x:t xml:space="preserve">3418412000002718607</x:t>
  </x:si>
  <x:si>
    <x:t xml:space="preserve">SCREW FOR HANDLE 30XX6 SS 304 CINE</x:t>
  </x:si>
  <x:si>
    <x:t xml:space="preserve">3418412000002718618</x:t>
  </x:si>
  <x:si>
    <x:t xml:space="preserve">SCREW FOR HANDLE 35XX4 SS 304 CINE</x:t>
  </x:si>
  <x:si>
    <x:t xml:space="preserve">3418412000002718629</x:t>
  </x:si>
  <x:si>
    <x:t xml:space="preserve">SCREW FOR HANDLE 35XX6 SS 304 CINE</x:t>
  </x:si>
  <x:si>
    <x:t xml:space="preserve">3418412000002718640</x:t>
  </x:si>
  <x:si>
    <x:t xml:space="preserve">SCREW FOR HANDLE 40XX4 SS 304 CINE</x:t>
  </x:si>
  <x:si>
    <x:t xml:space="preserve">3418412000002718651</x:t>
  </x:si>
  <x:si>
    <x:t xml:space="preserve">SCREW FOR HANDLE 8XX4 CINE</x:t>
  </x:si>
  <x:si>
    <x:t xml:space="preserve">3418412000002718662</x:t>
  </x:si>
  <x:si>
    <x:t xml:space="preserve">SCREW FOR HANDLE 8XX5 SS 304 CINE</x:t>
  </x:si>
  <x:si>
    <x:t xml:space="preserve">3418412000002718673</x:t>
  </x:si>
  <x:si>
    <x:t xml:space="preserve">SCREW FOR SOCKET M5X11 SE PZ VN ST VE5000 BN00543 1001097 HET</x:t>
  </x:si>
  <x:si>
    <x:t xml:space="preserve">3418412000002718695</x:t>
  </x:si>
  <x:si>
    <x:t xml:space="preserve">SHELF SUPPORT ADJUSTABLE 150XX ZINK WHITE WSRA-150 EBC</x:t>
  </x:si>
  <x:si>
    <x:t xml:space="preserve">3418412000002718706</x:t>
  </x:si>
  <x:si>
    <x:t xml:space="preserve">SHELF SUPPORT ADJUSTABLE 200XX ZINK WHITE WSRA-200 EBC</x:t>
  </x:si>
  <x:si>
    <x:t xml:space="preserve">3418412000002718717</x:t>
  </x:si>
  <x:si>
    <x:t xml:space="preserve">SHELF SUPPORT ADJUSTABLE 250XX ZINK WHITE WSRA-250 EBC</x:t>
  </x:si>
  <x:si>
    <x:t xml:space="preserve">3418412000002718728</x:t>
  </x:si>
  <x:si>
    <x:t xml:space="preserve">SHELF SUPPORT FOR BIG POLE SYSTEM 150X36X40 BROWN PPDS-BSS-BR EBC</x:t>
  </x:si>
  <x:si>
    <x:t xml:space="preserve">3418412000002718739</x:t>
  </x:si>
  <x:si>
    <x:t xml:space="preserve">SHELF SUPPORT SMALL 35X35X45 BROWN PPDS-SSS BR EBC</x:t>
  </x:si>
  <x:si>
    <x:t xml:space="preserve">3418412000002718750</x:t>
  </x:si>
  <x:si>
    <x:t xml:space="preserve">SHELF TRAY SET-2 350X108X92 WHITE ST288 EBC</x:t>
  </x:si>
  <x:si>
    <x:t xml:space="preserve">3418412000002718761</x:t>
  </x:si>
  <x:si>
    <x:t xml:space="preserve">SHOE RACK 900MM 473X864X170 GEM BROWN KWA-1903 AST</x:t>
  </x:si>
  <x:si>
    <x:t xml:space="preserve">3418412000002718772</x:t>
  </x:si>
  <x:si>
    <x:t xml:space="preserve">SILICONE MAT DIAMETER 24CM HEAT INSULATION</x:t>
  </x:si>
  <x:si>
    <x:t xml:space="preserve">3418412000002718783</x:t>
  </x:si>
  <x:si>
    <x:t xml:space="preserve">SILICON O RING OD 197MM ID 185 MM TH.1.5MM FOR CANISTER LID IND</x:t>
  </x:si>
  <x:si>
    <x:t xml:space="preserve">Indies industries</x:t>
  </x:si>
  <x:si>
    <x:t xml:space="preserve">3418412000002718794</x:t>
  </x:si>
  <x:si>
    <x:t xml:space="preserve">SILVER STONE 15MM</x:t>
  </x:si>
  <x:si>
    <x:t xml:space="preserve">3418412000002718805</x:t>
  </x:si>
  <x:si>
    <x:t xml:space="preserve">SILVER STONE 1600X3200 12MM</x:t>
  </x:si>
  <x:si>
    <x:t xml:space="preserve">3418412000002718816</x:t>
  </x:si>
  <x:si>
    <x:t xml:space="preserve">SILVER STONE 1600X3200 15MM</x:t>
  </x:si>
  <x:si>
    <x:t xml:space="preserve">3418412000002718827</x:t>
  </x:si>
  <x:si>
    <x:t xml:space="preserve">SILVERSTONE BIT DP10 20-90MM</x:t>
  </x:si>
  <x:si>
    <x:t xml:space="preserve">3418412000002718838</x:t>
  </x:si>
  <x:si>
    <x:t xml:space="preserve">SILVERSTONE CUTOFF SLAB</x:t>
  </x:si>
  <x:si>
    <x:t xml:space="preserve">3418412000002718849</x:t>
  </x:si>
  <x:si>
    <x:t xml:space="preserve">SILVERSTONE DIAMOND BLADE 350 X50 X 2.6MM QUARTZITE</x:t>
  </x:si>
  <x:si>
    <x:t xml:space="preserve">3418412000002718860</x:t>
  </x:si>
  <x:si>
    <x:t xml:space="preserve">SILVERSTONE DRAWER BASKET SOFT CLOSE TO OPEN 820 X 472 MM FOR 900MM CABINET</x:t>
  </x:si>
  <x:si>
    <x:t xml:space="preserve">3418412000002718871</x:t>
  </x:si>
  <x:si>
    <x:t xml:space="preserve">SILVERSTONE DRAWER BASKET SOFT CLOSE TO OPEN 850 X 483 MM FOR 900MM CABINET</x:t>
  </x:si>
  <x:si>
    <x:t xml:space="preserve">3418412000002718882</x:t>
  </x:si>
  <x:si>
    <x:t xml:space="preserve">SILVER STONE FRAME PROFILE LITE BRONZ E-PAINT</x:t>
  </x:si>
  <x:si>
    <x:t xml:space="preserve">3418412000002718893</x:t>
  </x:si>
  <x:si>
    <x:t xml:space="preserve">SILVERSTONE POT &amp; PAN HOLDER TRAY SOFT CLOSE 820X480X5 FOR 900MM CABINET</x:t>
  </x:si>
  <x:si>
    <x:t xml:space="preserve">3418412000002718904</x:t>
  </x:si>
  <x:si>
    <x:t xml:space="preserve">SILVERSTONE SLAB</x:t>
  </x:si>
  <x:si>
    <x:t xml:space="preserve">3418412000002718915</x:t>
  </x:si>
  <x:si>
    <x:t xml:space="preserve">SILVERSTONE SMALL CANISTER TRAY SOFT CLOSE 520 X 480 MM FOR 600MM CABINET</x:t>
  </x:si>
  <x:si>
    <x:t xml:space="preserve">3418412000002718926</x:t>
  </x:si>
  <x:si>
    <x:t xml:space="preserve">SILVERSTONE SMALL SPICE JAR CANISTER TRAY SOFT CLOSE 520 X 480 MM FOR 600MM CABINET</x:t>
  </x:si>
  <x:si>
    <x:t xml:space="preserve">3418412000002718937</x:t>
  </x:si>
  <x:si>
    <x:t xml:space="preserve">SILVERSTONE TRAY BASKET DRAWER BOTTOM SOFT CLOSE 343X490X5 CLOUDY AQUA FLS</x:t>
  </x:si>
  <x:si>
    <x:t xml:space="preserve">3418412000002718948</x:t>
  </x:si>
  <x:si>
    <x:t xml:space="preserve">SILVERSTONE TRAY BASKET DRAWER BOTTOM SOFT CLOSE 489X490X5 CLOUDY AQUA FLS</x:t>
  </x:si>
  <x:si>
    <x:t xml:space="preserve">3418412000002718959</x:t>
  </x:si>
  <x:si>
    <x:t xml:space="preserve">SILVERSTONE TRAY BASKET DRAWER BOTTOM SOFT CLOSE 493X493X5 CLOUDY AQUA FLS</x:t>
  </x:si>
  <x:si>
    <x:t xml:space="preserve">3418412000002718970</x:t>
  </x:si>
  <x:si>
    <x:t xml:space="preserve">SILVERSTONE TRAY BASKET DRAWER BOTTOM SOFT CLOSE 550X483X5 FLS</x:t>
  </x:si>
  <x:si>
    <x:t xml:space="preserve">3418412000002718981</x:t>
  </x:si>
  <x:si>
    <x:t xml:space="preserve">SILVERSTONE TRAY BASKET DRAWER BOTTOM SOFT CLOSE 789X490X5 CLOUDY AQUA FLS</x:t>
  </x:si>
  <x:si>
    <x:t xml:space="preserve">3418412000002718992</x:t>
  </x:si>
  <x:si>
    <x:t xml:space="preserve">SILVERSTONE TRAY BASKET DRAWER BOTTOM SOFT CLOSE 793X490X5 CLOUDY AQUA FLS</x:t>
  </x:si>
  <x:si>
    <x:t xml:space="preserve">3418412000002719003</x:t>
  </x:si>
  <x:si>
    <x:t xml:space="preserve">SILVERSTONE TRAY CHAKLA BELAN TRAY SOFT CLOSE 820X472X5 ONYX OMAN FLS</x:t>
  </x:si>
  <x:si>
    <x:t xml:space="preserve">3418412000002719014</x:t>
  </x:si>
  <x:si>
    <x:t xml:space="preserve">SILVERSTONE TRAY CHAKLA BELAN TRAY SOFT CLOSE 820X480X5 FOR 900MM CABINET</x:t>
  </x:si>
  <x:si>
    <x:t xml:space="preserve">3418412000002719025</x:t>
  </x:si>
  <x:si>
    <x:t xml:space="preserve">SILVERSTONE TRAY DRAWER BASKET SOFT CLOSE 812X475X5 ONYX OMAN FLS</x:t>
  </x:si>
  <x:si>
    <x:t xml:space="preserve">3418412000002719036</x:t>
  </x:si>
  <x:si>
    <x:t xml:space="preserve">SILVERSTONE TRAY PULS CANISTER TRAY SOFT CLOSE 820X472X5 ONYX OMAN FLS</x:t>
  </x:si>
  <x:si>
    <x:t xml:space="preserve">3418412000002719047</x:t>
  </x:si>
  <x:si>
    <x:t xml:space="preserve">SILVERSTONE TRAY PULS CANISTER TRAY SOFT CLOSE 820X480X5 ONYX OMAN FOR 900MM CABINET</x:t>
  </x:si>
  <x:si>
    <x:t xml:space="preserve">3418412000002719058</x:t>
  </x:si>
  <x:si>
    <x:t xml:space="preserve">SILVERSTONE TRAY SMALL CANISTER TRAY PUSH TO OPEN 520X472X5 ONYX OMAN FLS</x:t>
  </x:si>
  <x:si>
    <x:t xml:space="preserve">3418412000002719091</x:t>
  </x:si>
  <x:si>
    <x:t xml:space="preserve">SINGLE LAYER FOR WATCH WINDER 900MM 350X864X200 GEM BROWN KWA-1914 AST</x:t>
  </x:si>
  <x:si>
    <x:t xml:space="preserve">3418412000002719102</x:t>
  </x:si>
  <x:si>
    <x:t xml:space="preserve">SINK 5237-BRUSH GOLD B BACKLINE SUS 304 MIXER TAP</x:t>
  </x:si>
  <x:si>
    <x:t xml:space="preserve">3418412000002719113</x:t>
  </x:si>
  <x:si>
    <x:t xml:space="preserve">SINK ETAGON6-TARTUFO BLANCO 570.25.000 HAF</x:t>
  </x:si>
  <x:si>
    <x:t xml:space="preserve">Thesauros</x:t>
  </x:si>
  <x:si>
    <x:t xml:space="preserve">3418412000002719124</x:t>
  </x:si>
  <x:si>
    <x:t xml:space="preserve">SINK FAMILY FO WET KIT CHROME CAR</x:t>
  </x:si>
  <x:si>
    <x:t xml:space="preserve">3418412000002719135</x:t>
  </x:si>
  <x:si>
    <x:t xml:space="preserve">SINK FAUCET ANTIQUE MATT WITH 360 DEG SPOUT ROTATION AMZ</x:t>
  </x:si>
  <x:si>
    <x:t xml:space="preserve">3418412000002719146</x:t>
  </x:si>
  <x:si>
    <x:t xml:space="preserve">SINK HARMONY SD 780 BLACK 120CM CAR</x:t>
  </x:si>
  <x:si>
    <x:t xml:space="preserve">3418412000002719157</x:t>
  </x:si>
  <x:si>
    <x:t xml:space="preserve">SINK ROCK FOR DRY KIT CAR</x:t>
  </x:si>
  <x:si>
    <x:t xml:space="preserve">3418412000002719168</x:t>
  </x:si>
  <x:si>
    <x:t xml:space="preserve">SINK SS DOUBLE BOWL FOOD &amp; HAND WASHING XX SS304 HW8245 IMP</x:t>
  </x:si>
  <x:si>
    <x:t xml:space="preserve">3418412000002719179</x:t>
  </x:si>
  <x:si>
    <x:t xml:space="preserve">SINK UBG 611-86 3 1/2" WWK REV
 WRO TH OA FRANKE</x:t>
  </x:si>
  <x:si>
    <x:t xml:space="preserve">3418412000002719190</x:t>
  </x:si>
  <x:si>
    <x:t xml:space="preserve">SKIRTING 100MM SILVER LACQ LY-189-SILVER MAR</x:t>
  </x:si>
  <x:si>
    <x:t xml:space="preserve">3418412000002719201</x:t>
  </x:si>
  <x:si>
    <x:t xml:space="preserve">SKIRTING CLIP FOR Q PLINTH LEG XX25 WHITE REH</x:t>
  </x:si>
  <x:si>
    <x:t xml:space="preserve">3418412000002719212</x:t>
  </x:si>
  <x:si>
    <x:t xml:space="preserve">SKIRTING CONNECTOR 90 DEG 50X15X96 GOLD 713.55.630 HAF</x:t>
  </x:si>
  <x:si>
    <x:t xml:space="preserve">3418412000002719223</x:t>
  </x:si>
  <x:si>
    <x:t xml:space="preserve">SKIRTING PVC 3000X100X12 BLACK CRY</x:t>
  </x:si>
  <x:si>
    <x:t xml:space="preserve">3418412000002719234</x:t>
  </x:si>
  <x:si>
    <x:t xml:space="preserve">SKIRTING PVC 3000X100X12 BRUSHED STEEL PVCSE 10BS EBC</x:t>
  </x:si>
  <x:si>
    <x:t xml:space="preserve">3418412000002719245</x:t>
  </x:si>
  <x:si>
    <x:t xml:space="preserve">SKIRTING PVC 3000X100X12 GOLD 713.55.623 HAF</x:t>
  </x:si>
  <x:si>
    <x:t xml:space="preserve">3418412000002719256</x:t>
  </x:si>
  <x:si>
    <x:t xml:space="preserve">SKIRTING PVC 3000X150X12 BLACK CRY</x:t>
  </x:si>
  <x:si>
    <x:t xml:space="preserve">3418412000002719267</x:t>
  </x:si>
  <x:si>
    <x:t xml:space="preserve">SKIRTING PVC 3000X150X12 BRUSHED STEEL PVCSE 15BS EBC</x:t>
  </x:si>
  <x:si>
    <x:t xml:space="preserve">3418412000002719278</x:t>
  </x:si>
  <x:si>
    <x:t xml:space="preserve">SKIRTING STRAIGHT JOINT 90 DEG XX100 BLACK CRY</x:t>
  </x:si>
  <x:si>
    <x:t xml:space="preserve">3418412000002719289</x:t>
  </x:si>
  <x:si>
    <x:t xml:space="preserve">SKIRTING STRAIGHT JOINT 90 DEG XX150 BLACK CRY</x:t>
  </x:si>
  <x:si>
    <x:t xml:space="preserve">3418412000002719300</x:t>
  </x:si>
  <x:si>
    <x:t xml:space="preserve">SLIDING HI SLIDE ALU TRACK 2.44MTR TOP/BOTT HST16-46-T2 EBC</x:t>
  </x:si>
  <x:si>
    <x:t xml:space="preserve">3418412000002719311</x:t>
  </x:si>
  <x:si>
    <x:t xml:space="preserve">SLIDING HI SLIDE FITTING 2 DOOR 16-46 HST16-46-802 EBC</x:t>
  </x:si>
  <x:si>
    <x:t xml:space="preserve">3418412000002719322</x:t>
  </x:si>
  <x:si>
    <x:t xml:space="preserve">SLIDING WARDROBE LOCK P-WLS2-SM-L EBC</x:t>
  </x:si>
  <x:si>
    <x:t xml:space="preserve">3418412000002719333</x:t>
  </x:si>
  <x:si>
    <x:t xml:space="preserve">SLIVERSTONE BASKET DRAWER BOTTOM SOFT CLOSE 550 X 480 MM FOR 600MM CABINET</x:t>
  </x:si>
  <x:si>
    <x:t xml:space="preserve">3418412000002719344</x:t>
  </x:si>
  <x:si>
    <x:t xml:space="preserve">SLIVERSTONE BASKET DRAWER BOTTOM SOFT CLOSE 850 X 483 MM FOR 900MM CABINET</x:t>
  </x:si>
  <x:si>
    <x:t xml:space="preserve">3418412000002719355</x:t>
  </x:si>
  <x:si>
    <x:t xml:space="preserve">SMART CUBE 3000X20X30 BLACK BX-5254 MAR</x:t>
  </x:si>
  <x:si>
    <x:t xml:space="preserve">3418412000002719366</x:t>
  </x:si>
  <x:si>
    <x:t xml:space="preserve">SMART CUBE 3000X30X30 CHAMPAGNE BX-5256 MAR</x:t>
  </x:si>
  <x:si>
    <x:t xml:space="preserve">3418412000002719377</x:t>
  </x:si>
  <x:si>
    <x:t xml:space="preserve">SMART CUBE GLASS PROFILE 3000X18X22 BLACK CSPC-3M-APGS-BL EBC</x:t>
  </x:si>
  <x:si>
    <x:t xml:space="preserve">3418412000002719388</x:t>
  </x:si>
  <x:si>
    <x:t xml:space="preserve">SMART CUBE VER PROFILE 3000X18X18 BLACK CSPC-3M-AP-BL EBC</x:t>
  </x:si>
  <x:si>
    <x:t xml:space="preserve">3418412000002719399</x:t>
  </x:si>
  <x:si>
    <x:t xml:space="preserve">SMART CUBE WOODEN PROFILE 3000X18X24 BLACK CSPC-3M-APB-BL EBC</x:t>
  </x:si>
  <x:si>
    <x:t xml:space="preserve">3418412000002719410</x:t>
  </x:si>
  <x:si>
    <x:t xml:space="preserve">SMART LADDER 650X520X466 ANODISED SILVER SL-2 AS EBC</x:t>
  </x:si>
  <x:si>
    <x:t xml:space="preserve">3418412000002719421</x:t>
  </x:si>
  <x:si>
    <x:t xml:space="preserve">SMART LADDER WITH HOR. HANGING BRACKET 466X429X360 ANODISED SILVER SL-1 EBC</x:t>
  </x:si>
  <x:si>
    <x:t xml:space="preserve">3418412000002719432</x:t>
  </x:si>
  <x:si>
    <x:t xml:space="preserve">SPACE FLEX 2376940005 KES</x:t>
  </x:si>
  <x:si>
    <x:t xml:space="preserve">3418412000002719443</x:t>
  </x:si>
  <x:si>
    <x:t xml:space="preserve">SPECIAL HINGES INTERMAT 9936 5 CRANK 9242895</x:t>
  </x:si>
  <x:si>
    <x:t xml:space="preserve">3418412000002719454</x:t>
  </x:si>
  <x:si>
    <x:t xml:space="preserve">SPICE JAR GLASS FOR PULLOUT X65X85 AMZ</x:t>
  </x:si>
  <x:si>
    <x:t xml:space="preserve">3418412000002719465</x:t>
  </x:si>
  <x:si>
    <x:t xml:space="preserve">SPICE JAR MATT W/OUT MAGNET X10X10 SS 304 JATTIN</x:t>
  </x:si>
  <x:si>
    <x:t xml:space="preserve">3418412000002719476</x:t>
  </x:si>
  <x:si>
    <x:t xml:space="preserve">SS 05 MM BROWN FLUTED TINTED TOUGH EP 1077 X 417 MM</x:t>
  </x:si>
  <x:si>
    <x:t xml:space="preserve">3418412000002719487</x:t>
  </x:si>
  <x:si>
    <x:t xml:space="preserve">SS BASKET H TYPE HG 380X500X100 SS 304 DOL</x:t>
  </x:si>
  <x:si>
    <x:t xml:space="preserve">3418412000002719498</x:t>
  </x:si>
  <x:si>
    <x:t xml:space="preserve">SS BASKET H TYPE HG 380X500X150 SS 304 DOL</x:t>
  </x:si>
  <x:si>
    <x:t xml:space="preserve">3418412000002719509</x:t>
  </x:si>
  <x:si>
    <x:t xml:space="preserve">SS BASKET H TYPE HG 430X500X100 SS 304 DOL</x:t>
  </x:si>
  <x:si>
    <x:t xml:space="preserve">3418412000002719520</x:t>
  </x:si>
  <x:si>
    <x:t xml:space="preserve">SS BASKET H TYPE HG 430X500X150 SS 304 DOL</x:t>
  </x:si>
  <x:si>
    <x:t xml:space="preserve">3418412000002719531</x:t>
  </x:si>
  <x:si>
    <x:t xml:space="preserve">SS BASKET H TYPE HG 480X500X150 SS 304 DOL</x:t>
  </x:si>
  <x:si>
    <x:t xml:space="preserve">3418412000002719542</x:t>
  </x:si>
  <x:si>
    <x:t xml:space="preserve">SS BASKET H TYPE HG 530X500X150 SS 304 DOL</x:t>
  </x:si>
  <x:si>
    <x:t xml:space="preserve">3418412000002719553</x:t>
  </x:si>
  <x:si>
    <x:t xml:space="preserve">SS BASKET H TYPE HG 830X500X150 SS 304 DOL</x:t>
  </x:si>
  <x:si>
    <x:t xml:space="preserve">3418412000002719564</x:t>
  </x:si>
  <x:si>
    <x:t xml:space="preserve">SS CANISTER BIG X100X200 SS 304 CN10618 LOC</x:t>
  </x:si>
  <x:si>
    <x:t xml:space="preserve">3418412000002719575</x:t>
  </x:si>
  <x:si>
    <x:t xml:space="preserve">SS CANISTER MEDIUM X100X95 SS 304 CN10610 LOC</x:t>
  </x:si>
  <x:si>
    <x:t xml:space="preserve">3418412000002719586</x:t>
  </x:si>
  <x:si>
    <x:t xml:space="preserve">SS CANISTER SMALL X100X75 SS 304 CN10615 LOC</x:t>
  </x:si>
  <x:si>
    <x:t xml:space="preserve">3418412000002719597</x:t>
  </x:si>
  <x:si>
    <x:t xml:space="preserve">SS CUTLERY TRAY 600MM DOR</x:t>
  </x:si>
  <x:si>
    <x:t xml:space="preserve">3418412000002719608</x:t>
  </x:si>
  <x:si>
    <x:t xml:space="preserve">SS CUTLERY TREY FOR 900MM CAB 900X500X550 SS304 DOR</x:t>
  </x:si>
  <x:si>
    <x:t xml:space="preserve">3418412000002719619</x:t>
  </x:si>
  <x:si>
    <x:t xml:space="preserve">SS HOLDER ROLL PAPER 260X260X100 SATIN LOC</x:t>
  </x:si>
  <x:si>
    <x:t xml:space="preserve">3418412000002719630</x:t>
  </x:si>
  <x:si>
    <x:t xml:space="preserve">SS HOLDER TISSUE PAPER 260X260X100 SATIN LOC</x:t>
  </x:si>
  <x:si>
    <x:t xml:space="preserve">3418412000002719641</x:t>
  </x:si>
  <x:si>
    <x:t xml:space="preserve">SS LEG 150-160MM ADJUSTABLE WITH TOP</x:t>
  </x:si>
  <x:si>
    <x:t xml:space="preserve">3418412000002719652</x:t>
  </x:si>
  <x:si>
    <x:t xml:space="preserve">SS ROD 410XX5 LITE BRONZE DOL</x:t>
  </x:si>
  <x:si>
    <x:t xml:space="preserve">3418412000002719663</x:t>
  </x:si>
  <x:si>
    <x:t xml:space="preserve">SS TABLE FRAME</x:t>
  </x:si>
  <x:si>
    <x:t xml:space="preserve">3418412000002719674</x:t>
  </x:si>
  <x:si>
    <x:t xml:space="preserve">STICKER FRIGILE 241X178X AE</x:t>
  </x:si>
  <x:si>
    <x:t xml:space="preserve">3418412000002719685</x:t>
  </x:si>
  <x:si>
    <x:t xml:space="preserve">STONE 05MM 1200X600 MM DARK COBALT BLUE</x:t>
  </x:si>
  <x:si>
    <x:t xml:space="preserve">3418412000002719696</x:t>
  </x:si>
  <x:si>
    <x:t xml:space="preserve">STONE 05MM 1200X600 MM DARK COBALT BLUE ONERY</x:t>
  </x:si>
  <x:si>
    <x:t xml:space="preserve">3418412000002719707</x:t>
  </x:si>
  <x:si>
    <x:t xml:space="preserve">STONE 05MM 1200X600 MM DIVINE SABBBIA ONERY</x:t>
  </x:si>
  <x:si>
    <x:t xml:space="preserve">3418412000002719718</x:t>
  </x:si>
  <x:si>
    <x:t xml:space="preserve">STONE 05 MM 600 X 1200 MM MIARA SAND ONERY</x:t>
  </x:si>
  <x:si>
    <x:t xml:space="preserve">3418412000002719729</x:t>
  </x:si>
  <x:si>
    <x:t xml:space="preserve">STONE 05 MM MAGPPIE CLOUDY AQUA HG 600 X 1200</x:t>
  </x:si>
  <x:si>
    <x:t xml:space="preserve">3418412000002719740</x:t>
  </x:si>
  <x:si>
    <x:t xml:space="preserve">STONE 05MM ONYX GOLD HG 2800 X 1200 MM IB</x:t>
  </x:si>
  <x:si>
    <x:t xml:space="preserve">3418412000002719751</x:t>
  </x:si>
  <x:si>
    <x:t xml:space="preserve">STONE 05MM ONYX OMAN HG 2800 X 1200 MM IB</x:t>
  </x:si>
  <x:si>
    <x:t xml:space="preserve">3418412000002719762</x:t>
  </x:si>
  <x:si>
    <x:t xml:space="preserve">STONE 05MM SUPERWHITE-HG 600X1200 SILON</x:t>
  </x:si>
  <x:si>
    <x:t xml:space="preserve">MK Tile Studio</x:t>
  </x:si>
  <x:si>
    <x:t xml:space="preserve">3418412000002719773</x:t>
  </x:si>
  <x:si>
    <x:t xml:space="preserve">STONE 06MM 1200X600 MM BASALT BIANCO ONERY</x:t>
  </x:si>
  <x:si>
    <x:t xml:space="preserve">3418412000002719784</x:t>
  </x:si>
  <x:si>
    <x:t xml:space="preserve">STONE 06MM 1200X600 MM BLEND GREY ONERY</x:t>
  </x:si>
  <x:si>
    <x:t xml:space="preserve">3418412000002719795</x:t>
  </x:si>
  <x:si>
    <x:t xml:space="preserve">STONE 06MM 1200X600 MM REED GREEN ONERY</x:t>
  </x:si>
  <x:si>
    <x:t xml:space="preserve">3418412000002719806</x:t>
  </x:si>
  <x:si>
    <x:t xml:space="preserve">STONE 06MM CARAMEL SATIN MATT 1200 X 2800 MM BODY MAG BEIGE</x:t>
  </x:si>
  <x:si>
    <x:t xml:space="preserve">3418412000002719817</x:t>
  </x:si>
  <x:si>
    <x:t xml:space="preserve">STONE 06MM COSMIC STONE TEX-1 2800 X 1200 MM BODY MAG BEIGE</x:t>
  </x:si>
  <x:si>
    <x:t xml:space="preserve">3418412000002719828</x:t>
  </x:si>
  <x:si>
    <x:t xml:space="preserve">STONE 06MM FROSTWOOD ELEGANCE MATT CARVING 2800 X 1200 MM BODY MAG BEIGE</x:t>
  </x:si>
  <x:si>
    <x:t xml:space="preserve">3418412000002719839</x:t>
  </x:si>
  <x:si>
    <x:t xml:space="preserve">STONE 06MM GEMSTONE GREY SATIN MATT 2800 X 1200 MM BODY BLACK 38</x:t>
  </x:si>
  <x:si>
    <x:t xml:space="preserve">3418412000002719850</x:t>
  </x:si>
  <x:si>
    <x:t xml:space="preserve">STONE 06MM ITALIA LIGHT GREY MATT CARVING 2800 X 1200 MM BODY MAG BEIGE</x:t>
  </x:si>
  <x:si>
    <x:t xml:space="preserve">3418412000002719861</x:t>
  </x:si>
  <x:si>
    <x:t xml:space="preserve">STONE 06MM ITALIAN TRAVENTINE MATT CARVING 2800 X 1200 MM BODY MAG BEIGE</x:t>
  </x:si>
  <x:si>
    <x:t xml:space="preserve">3418412000002719872</x:t>
  </x:si>
  <x:si>
    <x:t xml:space="preserve">STONE 06MM MAGPPIE CARRARA HG 2800X1200MM VET</x:t>
  </x:si>
  <x:si>
    <x:t xml:space="preserve">3418412000002719883</x:t>
  </x:si>
  <x:si>
    <x:t xml:space="preserve">STONE 06MM MAGPPIE OAK DIGI MATT 2400X1200MM VET</x:t>
  </x:si>
  <x:si>
    <x:t xml:space="preserve">3418412000002719894</x:t>
  </x:si>
  <x:si>
    <x:t xml:space="preserve">STONE 06MM NEW MACHIA HG 2800 X 1200 MM BODY MAG BEIGE</x:t>
  </x:si>
  <x:si>
    <x:t xml:space="preserve">3418412000002719905</x:t>
  </x:si>
  <x:si>
    <x:t xml:space="preserve">STONE 06MM NORDIC BLACK SANDSTONE TEX-2 2800 X 1200 MM BLACK 38</x:t>
  </x:si>
  <x:si>
    <x:t xml:space="preserve">3418412000002719916</x:t>
  </x:si>
  <x:si>
    <x:t xml:space="preserve">STONE 06MM OCEAN BLACK MATT 2800 X 1200 MM BODY BLACK 38</x:t>
  </x:si>
  <x:si>
    <x:t xml:space="preserve">3418412000002719927</x:t>
  </x:si>
  <x:si>
    <x:t xml:space="preserve">STONE 06MM ONYX OMAN HG 2800 X 1200 MM BODY MAG BEIGE</x:t>
  </x:si>
  <x:si>
    <x:t xml:space="preserve">3418412000002719938</x:t>
  </x:si>
  <x:si>
    <x:t xml:space="preserve">STONE 06MM PERSIAN TRAVENTINE TEX-1 2800 X 1200 MM BODY MAG BEIGE</x:t>
  </x:si>
  <x:si>
    <x:t xml:space="preserve">3418412000002719949</x:t>
  </x:si>
  <x:si>
    <x:t xml:space="preserve">STONE 06MM RAND GREY 1200 X 2800 MM GUAN</x:t>
  </x:si>
  <x:si>
    <x:t xml:space="preserve">3418412000002719960</x:t>
  </x:si>
  <x:si>
    <x:t xml:space="preserve">STONE 06MM SCOTISH GREY MATT 2800 X 1200 MM BODY MAG BEIGE</x:t>
  </x:si>
  <x:si>
    <x:t xml:space="preserve">3418412000002719971</x:t>
  </x:si>
  <x:si>
    <x:t xml:space="preserve">STONE 06MM SCOTISH IVORY MATT 2800 X 1200 MM BODY MAG BEIGE</x:t>
  </x:si>
  <x:si>
    <x:t xml:space="preserve">3418412000002719982</x:t>
  </x:si>
  <x:si>
    <x:t xml:space="preserve">STONE 06MM STATURIETTO HG 2800 X 1200 MM BODY MAG BEIGE</x:t>
  </x:si>
  <x:si>
    <x:t xml:space="preserve">3418412000002719993</x:t>
  </x:si>
  <x:si>
    <x:t xml:space="preserve">STONE 06MM TREVI BEIGE TEX-2 2800 X 1200 MM BODY BLACK 38</x:t>
  </x:si>
  <x:si>
    <x:t xml:space="preserve">3418412000002720004</x:t>
  </x:si>
  <x:si>
    <x:t xml:space="preserve">STONE 06MM TREVI BLACK TEX-2 2800 X 1200 MM BODY BLACK 38</x:t>
  </x:si>
  <x:si>
    <x:t xml:space="preserve">3418412000002720015</x:t>
  </x:si>
  <x:si>
    <x:t xml:space="preserve">STONE 06MM TREVI GREY TEX-2 2800 X 1200 MM BODY MAG BEIGE</x:t>
  </x:si>
  <x:si>
    <x:t xml:space="preserve">3418412000002720026</x:t>
  </x:si>
  <x:si>
    <x:t xml:space="preserve">STONE 06MM TREVI IVORY TEX-2 2800 X 1200 MM BODY MAG BEIGE</x:t>
  </x:si>
  <x:si>
    <x:t xml:space="preserve">3418412000002720037</x:t>
  </x:si>
  <x:si>
    <x:t xml:space="preserve">STONE 09MM ARABES CATO HG/ VIOLA ALBA 8X4 NEXION</x:t>
  </x:si>
  <x:si>
    <x:t xml:space="preserve">Gautam Marbles</x:t>
  </x:si>
  <x:si>
    <x:t xml:space="preserve">3418412000002720048</x:t>
  </x:si>
  <x:si>
    <x:t xml:space="preserve">STONE 09MM ARMANI GREY HG 2400X1200 LIOLI</x:t>
  </x:si>
  <x:si>
    <x:t xml:space="preserve">Astha Tiles and Stones</x:t>
  </x:si>
  <x:si>
    <x:t xml:space="preserve">3418412000002720059</x:t>
  </x:si>
  <x:si>
    <x:t xml:space="preserve">STONE 09MM CARRARA ULTINIO HG 1200X2400MM LIOLI</x:t>
  </x:si>
  <x:si>
    <x:t xml:space="preserve">3418412000002720070</x:t>
  </x:si>
  <x:si>
    <x:t xml:space="preserve">STONE 09MM EVEREST TAUPE PIXEL BEIGE 1200 X 2400 MM ICON</x:t>
  </x:si>
  <x:si>
    <x:t xml:space="preserve">3418412000002720081</x:t>
  </x:si>
  <x:si>
    <x:t xml:space="preserve">STONE 09MM LOCKE BLUE GREY 900 X 2700 GUAN</x:t>
  </x:si>
  <x:si>
    <x:t xml:space="preserve">3418412000002720092</x:t>
  </x:si>
  <x:si>
    <x:t xml:space="preserve">STONE 09MM MAGPPIE OAK DIGI MATT 2400X1200MM VET</x:t>
  </x:si>
  <x:si>
    <x:t xml:space="preserve">3418412000002720103</x:t>
  </x:si>
  <x:si>
    <x:t xml:space="preserve">STONE 09MM PEZZOLANO SLATE SUPER MATT 1200X2400MM VARMORA</x:t>
  </x:si>
  <x:si>
    <x:t xml:space="preserve">Tile Studio Pvt Ltd</x:t>
  </x:si>
  <x:si>
    <x:t xml:space="preserve">3418412000002720114</x:t>
  </x:si>
  <x:si>
    <x:t xml:space="preserve">STONE 09MM PIETRA GREY LUST STD 2400X1200 KARI</x:t>
  </x:si>
  <x:si>
    <x:t xml:space="preserve">3418412000002720125</x:t>
  </x:si>
  <x:si>
    <x:t xml:space="preserve">STONE 09MM PIXEL SERIES EVEREST GREY GRADE PRE-1 1200X2800MM ICON</x:t>
  </x:si>
  <x:si>
    <x:t xml:space="preserve">3418412000002720136</x:t>
  </x:si>
  <x:si>
    <x:t xml:space="preserve">STONE 09MM ROYAL POLISH BLACK CHECKER HIGH GLOSS 1200X2800 ICON</x:t>
  </x:si>
  <x:si>
    <x:t xml:space="preserve">3418412000002720147</x:t>
  </x:si>
  <x:si>
    <x:t xml:space="preserve">STONE 09MM STATUARIO LM HG 8X4 NEXION</x:t>
  </x:si>
  <x:si>
    <x:t xml:space="preserve">3418412000002720158</x:t>
  </x:si>
  <x:si>
    <x:t xml:space="preserve">STONE 09MM TWILIGHT ASHWOOD 900 X 2700 GUAN</x:t>
  </x:si>
  <x:si>
    <x:t xml:space="preserve">3418412000002720169</x:t>
  </x:si>
  <x:si>
    <x:t xml:space="preserve">STONE 12MM BIANCO LASA HG 3200X1600 IBIZA</x:t>
  </x:si>
  <x:si>
    <x:t xml:space="preserve">3418412000002720180</x:t>
  </x:si>
  <x:si>
    <x:t xml:space="preserve">STONE 12MM CARRARA EXTRA 1200 X 2800 MM GUAN</x:t>
  </x:si>
  <x:si>
    <x:t xml:space="preserve">3418412000002720191</x:t>
  </x:si>
  <x:si>
    <x:t xml:space="preserve">STONE 12MM CREAM 1600 X 3200 MM GUAN</x:t>
  </x:si>
  <x:si>
    <x:t xml:space="preserve">3418412000002720202</x:t>
  </x:si>
  <x:si>
    <x:t xml:space="preserve">STONE 12MM FENDI WHITE 1600 X 3200 MM GUAN</x:t>
  </x:si>
  <x:si>
    <x:t xml:space="preserve">3418412000002720213</x:t>
  </x:si>
  <x:si>
    <x:t xml:space="preserve">STONE 12MM GOLDEN ONYX HG 3200X1600 IBIZA</x:t>
  </x:si>
  <x:si>
    <x:t xml:space="preserve">3418412000002720224</x:t>
  </x:si>
  <x:si>
    <x:t xml:space="preserve">STONE 12 MM MACHIA HG 3200X1200 MM VET</x:t>
  </x:si>
  <x:si>
    <x:t xml:space="preserve">3418412000002720235</x:t>
  </x:si>
  <x:si>
    <x:t xml:space="preserve">STONE 12MM MIX DESIGN FOR COUNTER BASE 1200 X 3200 MM</x:t>
  </x:si>
  <x:si>
    <x:t xml:space="preserve">3418412000002720246</x:t>
  </x:si>
  <x:si>
    <x:t xml:space="preserve">STONE 12MM MUNIK BLACK 1600 X 3200MM GUAN</x:t>
  </x:si>
  <x:si>
    <x:t xml:space="preserve">3418412000002720257</x:t>
  </x:si>
  <x:si>
    <x:t xml:space="preserve">STONE 12MM OCEAN BLACK MATT 3200X1600MM IBIZA</x:t>
  </x:si>
  <x:si>
    <x:t xml:space="preserve">3418412000002720268</x:t>
  </x:si>
  <x:si>
    <x:t xml:space="preserve">STONE 12 MM ONYX GOLD HG 3200X1200 MM VET</x:t>
  </x:si>
  <x:si>
    <x:t xml:space="preserve">3418412000002720279</x:t>
  </x:si>
  <x:si>
    <x:t xml:space="preserve">STONE 12 MM PANTAGONIA HG 3200X1200 MM VET</x:t>
  </x:si>
  <x:si>
    <x:t xml:space="preserve">3418412000002720290</x:t>
  </x:si>
  <x:si>
    <x:t xml:space="preserve">STONE 12MM PIETRA GREY HG 3200X1600 IBIZA</x:t>
  </x:si>
  <x:si>
    <x:t xml:space="preserve">3418412000002720301</x:t>
  </x:si>
  <x:si>
    <x:t xml:space="preserve">STONE 12MM PIETRA GREY MATT 3200X1600 IBIZA</x:t>
  </x:si>
  <x:si>
    <x:t xml:space="preserve">3418412000002720312</x:t>
  </x:si>
  <x:si>
    <x:t xml:space="preserve">STONE 12MM POLAR BLACK SAND 1600 X 3200 MM GUAN</x:t>
  </x:si>
  <x:si>
    <x:t xml:space="preserve">3418412000002720323</x:t>
  </x:si>
  <x:si>
    <x:t xml:space="preserve">STONE 12MM PURE COLLECTION (JUMBO SIZE) 3200X1600</x:t>
  </x:si>
  <x:si>
    <x:t xml:space="preserve">3418412000002720334</x:t>
  </x:si>
  <x:si>
    <x:t xml:space="preserve">STONE 12MM ROMA BEIGE 1600 X 3200 MM GUAN</x:t>
  </x:si>
  <x:si>
    <x:t xml:space="preserve">3418412000002720345</x:t>
  </x:si>
  <x:si>
    <x:t xml:space="preserve">STONE 12MM ROMA LIGHT GREY 1200 X 2800 MM GUAN</x:t>
  </x:si>
  <x:si>
    <x:t xml:space="preserve">3418412000002720356</x:t>
  </x:si>
  <x:si>
    <x:t xml:space="preserve">STONE 12MM ROME HG 3200X1600 IBIZA</x:t>
  </x:si>
  <x:si>
    <x:t xml:space="preserve">3418412000002720367</x:t>
  </x:si>
  <x:si>
    <x:t xml:space="preserve">STONE 12MM STATUARIETTO 1200 X 2800 MM GUAN</x:t>
  </x:si>
  <x:si>
    <x:t xml:space="preserve">3418412000002720378</x:t>
  </x:si>
  <x:si>
    <x:t xml:space="preserve">STONE 12MM STATUARIO ELITE HG 3200X1600 IBIZA</x:t>
  </x:si>
  <x:si>
    <x:t xml:space="preserve">3418412000002720389</x:t>
  </x:si>
  <x:si>
    <x:t xml:space="preserve">STONE 12 MM TAJ MAHAL HG 3200X1200 MM VET</x:t>
  </x:si>
  <x:si>
    <x:t xml:space="preserve">3418412000002720400</x:t>
  </x:si>
  <x:si>
    <x:t xml:space="preserve">STONE 12MM TAJ MAHAL HG 3200X1600 IBIZA</x:t>
  </x:si>
  <x:si>
    <x:t xml:space="preserve">3418412000002720411</x:t>
  </x:si>
  <x:si>
    <x:t xml:space="preserve">STONE 12 MM VERONICA ARABISQUE HG 3200X1200 MM VET</x:t>
  </x:si>
  <x:si>
    <x:t xml:space="preserve">3418412000002720422</x:t>
  </x:si>
  <x:si>
    <x:t xml:space="preserve">STONE 15MM ASTRA WALNUT H.G. 2400 X 800 MM SUN</x:t>
  </x:si>
  <x:si>
    <x:t xml:space="preserve">3418412000002720433</x:t>
  </x:si>
  <x:si>
    <x:t xml:space="preserve">STONE 15MM BIANCO LASA HG 3200X1600 IBIZA</x:t>
  </x:si>
  <x:si>
    <x:t xml:space="preserve">3418412000002720444</x:t>
  </x:si>
  <x:si>
    <x:t xml:space="preserve">STONE 15MM CARRARA VENATO HG 800X3000 IBIZA</x:t>
  </x:si>
  <x:si>
    <x:t xml:space="preserve">3418412000002720455</x:t>
  </x:si>
  <x:si>
    <x:t xml:space="preserve">STONE 15MM DARK GREEN HG 3200 X1200 MM FULL BODY VET</x:t>
  </x:si>
  <x:si>
    <x:t xml:space="preserve">3418412000002720466</x:t>
  </x:si>
  <x:si>
    <x:t xml:space="preserve">STONE 15MM GLAZED ARMANI BROWN HG 2400X1200MM VET</x:t>
  </x:si>
  <x:si>
    <x:t xml:space="preserve">3418412000002720477</x:t>
  </x:si>
  <x:si>
    <x:t xml:space="preserve">STONE 15MM GLAZED ARMANI BROWN HG 3200x1200mm VET</x:t>
  </x:si>
  <x:si>
    <x:t xml:space="preserve">3418412000002720708</x:t>
  </x:si>
  <x:si>
    <x:t xml:space="preserve">STONE 15MM GLAZED ARMANI GRIS HG 2400X1200MM VET</x:t>
  </x:si>
  <x:si>
    <x:t xml:space="preserve">3418412000002720719</x:t>
  </x:si>
  <x:si>
    <x:t xml:space="preserve">STONE 15MM GLAZED ARMANI GRIS HG 3200X1200MM VET</x:t>
  </x:si>
  <x:si>
    <x:t xml:space="preserve">3418412000002720730</x:t>
  </x:si>
  <x:si>
    <x:t xml:space="preserve">STONE 15MM GLAZED CREMA MONTANA HG 2400X1200MM VET</x:t>
  </x:si>
  <x:si>
    <x:t xml:space="preserve">3418412000002720741</x:t>
  </x:si>
  <x:si>
    <x:t xml:space="preserve">STONE 15MM GLAZED LOUISE BROWNHG 1200X3200 VET</x:t>
  </x:si>
  <x:si>
    <x:t xml:space="preserve">3418412000002720752</x:t>
  </x:si>
  <x:si>
    <x:t xml:space="preserve">STONE 15MM GLAZED ONYX GOLD HG 2400X1200MM VET</x:t>
  </x:si>
  <x:si>
    <x:t xml:space="preserve">3418412000002720763</x:t>
  </x:si>
  <x:si>
    <x:t xml:space="preserve">STONE 15MM GOLDEN ONYX HG 2400X800 IBIZA</x:t>
  </x:si>
  <x:si>
    <x:t xml:space="preserve">3418412000002720771</x:t>
  </x:si>
  <x:si>
    <x:t xml:space="preserve">STONE 15MM GOLDEN ONYX HG 3200X1600 IBIZA</x:t>
  </x:si>
  <x:si>
    <x:t xml:space="preserve">3418412000002720782</x:t>
  </x:si>
  <x:si>
    <x:t xml:space="preserve">STONE 15MM HARMONY GREY HG 3200 X 1200MM VET</x:t>
  </x:si>
  <x:si>
    <x:t xml:space="preserve">3418412000002720793</x:t>
  </x:si>
  <x:si>
    <x:t xml:space="preserve">STONE 15MM JUPITER BLACK HG 3200X1300 IBIZA</x:t>
  </x:si>
  <x:si>
    <x:t xml:space="preserve">3418412000002720804</x:t>
  </x:si>
  <x:si>
    <x:t xml:space="preserve">STONE 15MM LIGHT GREY HG 3200 X1200 MM FULL BODY VET</x:t>
  </x:si>
  <x:si>
    <x:t xml:space="preserve">3418412000002720815</x:t>
  </x:si>
  <x:si>
    <x:t xml:space="preserve">STONE15MM MACHIA HG 3200X1300 IBIZA</x:t>
  </x:si>
  <x:si>
    <x:t xml:space="preserve">3418412000002720823</x:t>
  </x:si>
  <x:si>
    <x:t xml:space="preserve">STONE 15MM MAGPPIE CIRRUS HG 3200 X 1200MM VET</x:t>
  </x:si>
  <x:si>
    <x:t xml:space="preserve">3418412000002720831</x:t>
  </x:si>
  <x:si>
    <x:t xml:space="preserve">STONE 15MM MAGPPIE OAK DIGI MATT 1200X3200 VET</x:t>
  </x:si>
  <x:si>
    <x:t xml:space="preserve">3418412000002720839</x:t>
  </x:si>
  <x:si>
    <x:t xml:space="preserve">STONE 15MM MIX DESIGN FOR COUNTER BASE 2400 X 1200 MM</x:t>
  </x:si>
  <x:si>
    <x:t xml:space="preserve">3418412000002720850</x:t>
  </x:si>
  <x:si>
    <x:t xml:space="preserve">STONE 15MM MIX DESIGN FOR COUNTER BASE 2800 X 1200 MM</x:t>
  </x:si>
  <x:si>
    <x:t xml:space="preserve">3418412000002720861</x:t>
  </x:si>
  <x:si>
    <x:t xml:space="preserve">STONE 15MMM MUSHROOM HG 3200 X1200 MM FULL BODY VET</x:t>
  </x:si>
  <x:si>
    <x:t xml:space="preserve">3418412000002720872</x:t>
  </x:si>
  <x:si>
    <x:t xml:space="preserve">STONE 15MM MOREA BEIGE HG 3200X1200MM VET</x:t>
  </x:si>
  <x:si>
    <x:t xml:space="preserve">3418412000002720883</x:t>
  </x:si>
  <x:si>
    <x:t xml:space="preserve">STONE 15MM MORRELA VERDE DG MATT 3200X1200MM VET</x:t>
  </x:si>
  <x:si>
    <x:t xml:space="preserve">3418412000002720894</x:t>
  </x:si>
  <x:si>
    <x:t xml:space="preserve">STONE 15MM NATURAL PINE LIGHT-FEEL 3000X800 IBIS</x:t>
  </x:si>
  <x:si>
    <x:t xml:space="preserve">3418412000002720905</x:t>
  </x:si>
  <x:si>
    <x:t xml:space="preserve">STONE 15MM OCEAN BLACK MATT 3200X1600MM IBIZA</x:t>
  </x:si>
  <x:si>
    <x:t xml:space="preserve">3418412000002720916</x:t>
  </x:si>
  <x:si>
    <x:t xml:space="preserve">STONE 15MM OMANI WHITE HG 3200X1200MM VET</x:t>
  </x:si>
  <x:si>
    <x:t xml:space="preserve">3418412000002720927</x:t>
  </x:si>
  <x:si>
    <x:t xml:space="preserve">STONE 15MM PANDA WHITE HG 3200X1600MM IBIZA</x:t>
  </x:si>
  <x:si>
    <x:t xml:space="preserve">3418412000002720938</x:t>
  </x:si>
  <x:si>
    <x:t xml:space="preserve">STONE 15MM PANTAGONIA HG 3200X1600 IBIZA</x:t>
  </x:si>
  <x:si>
    <x:t xml:space="preserve">3418412000002720949</x:t>
  </x:si>
  <x:si>
    <x:t xml:space="preserve">STONE 15MM PIETRA GREY MATT 3200X1600 IBIZA</x:t>
  </x:si>
  <x:si>
    <x:t xml:space="preserve">3418412000002720960</x:t>
  </x:si>
  <x:si>
    <x:t xml:space="preserve">STONE 15MM POLISHED AMAZONITE 3000X800 IBIS</x:t>
  </x:si>
  <x:si>
    <x:t xml:space="preserve">3418412000002720971</x:t>
  </x:si>
  <x:si>
    <x:t xml:space="preserve">STONE 15MM POLISHED BIANCO EXTRA 3000X800 IBIS</x:t>
  </x:si>
  <x:si>
    <x:t xml:space="preserve">3418412000002720982</x:t>
  </x:si>
  <x:si>
    <x:t xml:space="preserve">STONE 15MM POLISHED GLAZED BLACK PEARL GLOSS 2400X800 IBIS</x:t>
  </x:si>
  <x:si>
    <x:t xml:space="preserve">3418412000002720993</x:t>
  </x:si>
  <x:si>
    <x:t xml:space="preserve">STONE 15MM POLISHED GLAZED BLACK SNP 2400X800 IBIS</x:t>
  </x:si>
  <x:si>
    <x:t xml:space="preserve">3418412000002721004</x:t>
  </x:si>
  <x:si>
    <x:t xml:space="preserve">STONE 15MM POLISHED GLAZED DESERT GOLD GLOSS 2400X800 IBIS</x:t>
  </x:si>
  <x:si>
    <x:t xml:space="preserve">3418412000002721015</x:t>
  </x:si>
  <x:si>
    <x:t xml:space="preserve">STONE 15MM POLISHED GLAZED DESERT GOLD MATT 2400X800 IBIS</x:t>
  </x:si>
  <x:si>
    <x:t xml:space="preserve">3418412000002721026</x:t>
  </x:si>
  <x:si>
    <x:t xml:space="preserve">STONE 15MM POLISHED GLAZED ESSEL BROWN GLOSS 2400X800 IBIS</x:t>
  </x:si>
  <x:si>
    <x:t xml:space="preserve">3418412000002721037</x:t>
  </x:si>
  <x:si>
    <x:t xml:space="preserve">STONE 15MM POLISHED GLAZED MARBLE VOLKAS GLOSS 2400X</x:t>
  </x:si>
  <x:si>
    <x:t xml:space="preserve">3418412000002721048</x:t>
  </x:si>
  <x:si>
    <x:t xml:space="preserve">STONE 15MM POLISHED GLAZED PEARL WHITE HG 3000X800 IBIS</x:t>
  </x:si>
  <x:si>
    <x:t xml:space="preserve">3418412000002721059</x:t>
  </x:si>
  <x:si>
    <x:t xml:space="preserve">STONE 15MM POLISHED GLAZED ROYAL QUARTZITE GLOSS 2400X1200 IBIS</x:t>
  </x:si>
  <x:si>
    <x:t xml:space="preserve">3418412000002721070</x:t>
  </x:si>
  <x:si>
    <x:t xml:space="preserve">STONE 15MM POLISHED GLAZED SAGA WHITE-HG 2400X800 IBIS</x:t>
  </x:si>
  <x:si>
    <x:t xml:space="preserve">3418412000002721081</x:t>
  </x:si>
  <x:si>
    <x:t xml:space="preserve">STONE 15MM POLISHED GLAZED SAGA WHITE-MATT 2400X800 IBIS</x:t>
  </x:si>
  <x:si>
    <x:t xml:space="preserve">3418412000002721092</x:t>
  </x:si>
  <x:si>
    <x:t xml:space="preserve">STONE 15MM POLISHED GLAZED SCABAS GLOSS 2400X800 IBI</x:t>
  </x:si>
  <x:si>
    <x:t xml:space="preserve">3418412000002721103</x:t>
  </x:si>
  <x:si>
    <x:t xml:space="preserve">STONE 15MM POLISHED MAGPPIE CARRARA HG 2400X800MM VET</x:t>
  </x:si>
  <x:si>
    <x:t xml:space="preserve">3418412000002721114</x:t>
  </x:si>
  <x:si>
    <x:t xml:space="preserve">STONE 15MM POLISHED PEARL PIETRA GREY-FEEL 3000X800 IBIS</x:t>
  </x:si>
  <x:si>
    <x:t xml:space="preserve">3418412000002721125</x:t>
  </x:si>
  <x:si>
    <x:t xml:space="preserve">STONE 15MM POLISHED SCABASGLOSS 800X2400MM</x:t>
  </x:si>
  <x:si>
    <x:t xml:space="preserve">3418412000002721136</x:t>
  </x:si>
  <x:si>
    <x:t xml:space="preserve">STONE 15MM ROYAL WHITE SNP HG 3000X800 MM FULL BODY VET</x:t>
  </x:si>
  <x:si>
    <x:t xml:space="preserve">3418412000002721147</x:t>
  </x:si>
  <x:si>
    <x:t xml:space="preserve">STONE 15MM ROYAL WHITE SNP HG 3200 X1200 MM FULL BODY VET</x:t>
  </x:si>
  <x:si>
    <x:t xml:space="preserve">3418412000002721158</x:t>
  </x:si>
  <x:si>
    <x:t xml:space="preserve">STONE 15MM SILVER SILK MATT 2400X800MM MOTO</x:t>
  </x:si>
  <x:si>
    <x:t xml:space="preserve">3418412000002721169</x:t>
  </x:si>
  <x:si>
    <x:t xml:space="preserve">STONE 15MM STATUARIO ELITE HG 3200X1600 IBIZA</x:t>
  </x:si>
  <x:si>
    <x:t xml:space="preserve">Ibiza Tiles LLP</x:t>
  </x:si>
  <x:si>
    <x:t xml:space="preserve">3418412000002721180</x:t>
  </x:si>
  <x:si>
    <x:t xml:space="preserve">STONE 15MM STATUARIO GOLD (MACHIA) HG 3200X1600 IBIZA</x:t>
  </x:si>
  <x:si>
    <x:t xml:space="preserve">3418412000002721191</x:t>
  </x:si>
  <x:si>
    <x:t xml:space="preserve">STONE 15MM STATURIETTO HG 3200 X 1200 MM BODY MAG BEIGE</x:t>
  </x:si>
  <x:si>
    <x:t xml:space="preserve">Vetican Granito LLP</x:t>
  </x:si>
  <x:si>
    <x:t xml:space="preserve">3418412000002721202</x:t>
  </x:si>
  <x:si>
    <x:t xml:space="preserve">STONE 15MM ULTRA WHITE HG 3200 X1200 MM FULL BODY VET</x:t>
  </x:si>
  <x:si>
    <x:t xml:space="preserve">3418412000002721213</x:t>
  </x:si>
  <x:si>
    <x:t xml:space="preserve">STONE 15MM WHITE FJORD HG 3200X1200MM VET</x:t>
  </x:si>
  <x:si>
    <x:t xml:space="preserve">3418412000002721224</x:t>
  </x:si>
  <x:si>
    <x:t xml:space="preserve">STONE 2400X1200X9 CALCUTTA BIANCO ORO ATS</x:t>
  </x:si>
  <x:si>
    <x:t xml:space="preserve">Astha Tiles</x:t>
  </x:si>
  <x:si>
    <x:t xml:space="preserve">3418412000002721235</x:t>
  </x:si>
  <x:si>
    <x:t xml:space="preserve">STONE 2700X900X9 TEAK WOOD CREAM GAUN</x:t>
  </x:si>
  <x:si>
    <x:t xml:space="preserve">3418412000002721246</x:t>
  </x:si>
  <x:si>
    <x:t xml:space="preserve">STONE ARMANI GREY HG 2400X1200X09 LIOLI</x:t>
  </x:si>
  <x:si>
    <x:t xml:space="preserve">3418412000002721257</x:t>
  </x:si>
  <x:si>
    <x:t xml:space="preserve">STONE CABINET</x:t>
  </x:si>
  <x:si>
    <x:t xml:space="preserve">3418412000002721268</x:t>
  </x:si>
  <x:si>
    <x:t xml:space="preserve">STONE CRYSTAL POLISH 2400X1200X6 TAJ MAHAL BIANCO ICON</x:t>
  </x:si>
  <x:si>
    <x:t xml:space="preserve">3418412000002721279</x:t>
  </x:si>
  <x:si>
    <x:t xml:space="preserve">STONE CRYSTAL POLISH 2800X1200X9 CLASSICO BIANCO ICON</x:t>
  </x:si>
  <x:si>
    <x:t xml:space="preserve">3418412000002721290</x:t>
  </x:si>
  <x:si>
    <x:t xml:space="preserve">STONE CRYSTAL POLISH 2800X1200X9 CLASSICO CHOCO ICON</x:t>
  </x:si>
  <x:si>
    <x:t xml:space="preserve">3418412000002721301</x:t>
  </x:si>
  <x:si>
    <x:t xml:space="preserve">STONE CRYSTAL POLISH 2800X1200X9 INVISIBLE ROYAL ICON</x:t>
  </x:si>
  <x:si>
    <x:t xml:space="preserve">3418412000002721312</x:t>
  </x:si>
  <x:si>
    <x:t xml:space="preserve">STONE CRYSTAL POLISH 2800X1200X9 TAJ ICON</x:t>
  </x:si>
  <x:si>
    <x:t xml:space="preserve">3418412000002721323</x:t>
  </x:si>
  <x:si>
    <x:t xml:space="preserve">STONE CRYSTAL POLISH 2800X1200X9 TRAVERTINO ANGLE ICON</x:t>
  </x:si>
  <x:si>
    <x:t xml:space="preserve">3418412000002721334</x:t>
  </x:si>
  <x:si>
    <x:t xml:space="preserve">STONE CRYSTAL POLISH BIANCO LASA 2800X1200X15MM ICON</x:t>
  </x:si>
  <x:si>
    <x:t xml:space="preserve">3418412000002721345</x:t>
  </x:si>
  <x:si>
    <x:t xml:space="preserve">STONE CRYSTAL POLISH BIANCO LASA 2800X1200X6MM ICON</x:t>
  </x:si>
  <x:si>
    <x:t xml:space="preserve">3418412000002721356</x:t>
  </x:si>
  <x:si>
    <x:t xml:space="preserve">STONE CRYSTAL POLISH BOTTOCHINO VELVET 2400X1200X9 ICON</x:t>
  </x:si>
  <x:si>
    <x:t xml:space="preserve">3418412000002721367</x:t>
  </x:si>
  <x:si>
    <x:t xml:space="preserve">STONE CRYSTAL POLISH CALACATTA PERLATO HG 2400X1200X6MM ICON</x:t>
  </x:si>
  <x:si>
    <x:t xml:space="preserve">3418412000002721378</x:t>
  </x:si>
  <x:si>
    <x:t xml:space="preserve">STONE CRYSTAL POLISH CALACATTA PERLATO HG 2800X1200X15MM ICON</x:t>
  </x:si>
  <x:si>
    <x:t xml:space="preserve">Icon Granito Private Limited</x:t>
  </x:si>
  <x:si>
    <x:t xml:space="preserve">3418412000002721389</x:t>
  </x:si>
  <x:si>
    <x:t xml:space="preserve">STONE CRYSTAL POLISH CALACATTA PERLATO HG 2800X1200X6MM ICON</x:t>
  </x:si>
  <x:si>
    <x:t xml:space="preserve">3418412000002721400</x:t>
  </x:si>
  <x:si>
    <x:t xml:space="preserve">STONE CRYSTAL POLISH CALACATTA PERLATO HG 2800X1200X9MM ICON</x:t>
  </x:si>
  <x:si>
    <x:t xml:space="preserve">3418412000002721411</x:t>
  </x:si>
  <x:si>
    <x:t xml:space="preserve">STONE CRYSTAL POLISH CLASSICO BIANCO HG 2800X1200X15MM ICON</x:t>
  </x:si>
  <x:si>
    <x:t xml:space="preserve">3418412000002721422</x:t>
  </x:si>
  <x:si>
    <x:t xml:space="preserve">STONE CRYSTAL POLISH CLASSICO CHOCO HG 2800X1200X15MM ICON</x:t>
  </x:si>
  <x:si>
    <x:t xml:space="preserve">3418412000002721433</x:t>
  </x:si>
  <x:si>
    <x:t xml:space="preserve">STONE CRYSTAL POLISH INVISIBLE ROYAL HG 2400X1200X6MM ICON</x:t>
  </x:si>
  <x:si>
    <x:t xml:space="preserve">3418412000002721444</x:t>
  </x:si>
  <x:si>
    <x:t xml:space="preserve">STONE CRYSTAL POLISH INVISIBLE ROYAL HG 2800X1200X15MM ICON</x:t>
  </x:si>
  <x:si>
    <x:t xml:space="preserve">3418412000002721455</x:t>
  </x:si>
  <x:si>
    <x:t xml:space="preserve">STONE CRYSTAL POLISH INVISIBLE ROYAL HG 2800X1200X6MM ICON</x:t>
  </x:si>
  <x:si>
    <x:t xml:space="preserve">3418412000002721466</x:t>
  </x:si>
  <x:si>
    <x:t xml:space="preserve">STONE CRYSTAL POLISH M ONYX MYSTIC 2400X1200X6MM ICON</x:t>
  </x:si>
  <x:si>
    <x:t xml:space="preserve">3418412000002721477</x:t>
  </x:si>
  <x:si>
    <x:t xml:space="preserve">STONE CRYSTAL POLISH M TAJ 2400X1200X6MM ICON</x:t>
  </x:si>
  <x:si>
    <x:t xml:space="preserve">3418412000002721488</x:t>
  </x:si>
  <x:si>
    <x:t xml:space="preserve">STONE CRYSTAL POLISH M TAJ 2800X1200X15MM ICON</x:t>
  </x:si>
  <x:si>
    <x:t xml:space="preserve">3418412000002721499</x:t>
  </x:si>
  <x:si>
    <x:t xml:space="preserve">STONE CRYSTAL POLISH M TAJ 2800X1200X6MM ICON</x:t>
  </x:si>
  <x:si>
    <x:t xml:space="preserve">3418412000002721510</x:t>
  </x:si>
  <x:si>
    <x:t xml:space="preserve">STONE CRYSTAL POLISH ONXY GIN 2800X1200X9MM ICON</x:t>
  </x:si>
  <x:si>
    <x:t xml:space="preserve">3418412000002721521</x:t>
  </x:si>
  <x:si>
    <x:t xml:space="preserve">STONE CRYSTAL POLISH ONYX GOLD HG 2800X1200X15MM ICON</x:t>
  </x:si>
  <x:si>
    <x:t xml:space="preserve">3418412000002721532</x:t>
  </x:si>
  <x:si>
    <x:t xml:space="preserve">STONE CRYSTAL POLISH ONYX GOLD HG 2800X1200X6MM ICON</x:t>
  </x:si>
  <x:si>
    <x:t xml:space="preserve">3418412000002721543</x:t>
  </x:si>
  <x:si>
    <x:t xml:space="preserve">STONE CRYSTAL POLISH ONYX GOLD HG 2800X1200X9MM ICON</x:t>
  </x:si>
  <x:si>
    <x:t xml:space="preserve">3418412000002721554</x:t>
  </x:si>
  <x:si>
    <x:t xml:space="preserve">STONE CRYSTAL POLISH ONYX GREEN HG 2800X1200X15MM ICON</x:t>
  </x:si>
  <x:si>
    <x:t xml:space="preserve">3418412000002721565</x:t>
  </x:si>
  <x:si>
    <x:t xml:space="preserve">STONE CRYSTAL POLISH ONYX GREEN HG 2800X1200X6 MM ICON</x:t>
  </x:si>
  <x:si>
    <x:t xml:space="preserve">3418412000002721576</x:t>
  </x:si>
  <x:si>
    <x:t xml:space="preserve">STONE CRYSTAL POLISH ONYX MYSTIC HG 2800X1200X15MM ICON</x:t>
  </x:si>
  <x:si>
    <x:t xml:space="preserve">3418412000002721587</x:t>
  </x:si>
  <x:si>
    <x:t xml:space="preserve">STONE CRYSTAL POLISH ONYX MYSTIC HG 2800X1200X6MM ICON</x:t>
  </x:si>
  <x:si>
    <x:t xml:space="preserve">3418412000002721598</x:t>
  </x:si>
  <x:si>
    <x:t xml:space="preserve">STONE CRYSTAL POLISH ONYX MYSTIC HG 2800X1200X9MM ICON</x:t>
  </x:si>
  <x:si>
    <x:t xml:space="preserve">3418412000002721609</x:t>
  </x:si>
  <x:si>
    <x:t xml:space="preserve">STONE CRYSTAL POLISH SILVER RIVER PURE 2800X1200X15MM ICON</x:t>
  </x:si>
  <x:si>
    <x:t xml:space="preserve">3418412000002721620</x:t>
  </x:si>
  <x:si>
    <x:t xml:space="preserve">STONE CRYSTAL POLISH SILVER RIVER PURE 2800X1200X9MM ICON</x:t>
  </x:si>
  <x:si>
    <x:t xml:space="preserve">3418412000002721631</x:t>
  </x:si>
  <x:si>
    <x:t xml:space="preserve">STONE CRYSTAL POLISH STATUARIO NUVOLATO 2800X1200X15MM ICON</x:t>
  </x:si>
  <x:si>
    <x:t xml:space="preserve">3418412000002721642</x:t>
  </x:si>
  <x:si>
    <x:t xml:space="preserve">STONE CRYSTAL POLISH STATUARIO VENATINO 2800X1200X15MM ICON</x:t>
  </x:si>
  <x:si>
    <x:t xml:space="preserve">3418412000002721653</x:t>
  </x:si>
  <x:si>
    <x:t xml:space="preserve">STONE CRYSTAL POLISH TAJ MAHAL BIANCO 2800X1200X15MM ICON</x:t>
  </x:si>
  <x:si>
    <x:t xml:space="preserve">3418412000002721664</x:t>
  </x:si>
  <x:si>
    <x:t xml:space="preserve">STONE CRYSTAL POLISH TAJ MAHAL BIANCO 2800X1200X6MM ICON</x:t>
  </x:si>
  <x:si>
    <x:t xml:space="preserve">3418412000002721675</x:t>
  </x:si>
  <x:si>
    <x:t xml:space="preserve">STONE CRYSTAL POLISH TAJ MAHAL BIANCO 2800X1200X9MM ICON</x:t>
  </x:si>
  <x:si>
    <x:t xml:space="preserve">3418412000002721686</x:t>
  </x:si>
  <x:si>
    <x:t xml:space="preserve">STONE CRYSTAL POLISH TAJMAHAL NATURAL 2400X1200X9 ICON</x:t>
  </x:si>
  <x:si>
    <x:t xml:space="preserve">3418412000002721697</x:t>
  </x:si>
  <x:si>
    <x:t xml:space="preserve">STONE CRYSTAL POLISH TRAVERTINO ANGEL HG 2800X1200X15MM ICON</x:t>
  </x:si>
  <x:si>
    <x:t xml:space="preserve">3418412000002721719</x:t>
  </x:si>
  <x:si>
    <x:t xml:space="preserve">STONE HG 1200X600X5 CLOUDY AQUA SILON</x:t>
  </x:si>
  <x:si>
    <x:t xml:space="preserve">3418412000002721730</x:t>
  </x:si>
  <x:si>
    <x:t xml:space="preserve">STONE HG 1200X600X7 CLOUDY AQUA SILON</x:t>
  </x:si>
  <x:si>
    <x:t xml:space="preserve">Silon Granito LLP</x:t>
  </x:si>
  <x:si>
    <x:t xml:space="preserve">3418412000002721741</x:t>
  </x:si>
  <x:si>
    <x:t xml:space="preserve">STONE HG 1800X900X12 BIANCO LINCOLN GAUN</x:t>
  </x:si>
  <x:si>
    <x:t xml:space="preserve">3418412000002721752</x:t>
  </x:si>
  <x:si>
    <x:t xml:space="preserve">STONE HG 2400X1200X12 ONYX OMAN VET</x:t>
  </x:si>
  <x:si>
    <x:t xml:space="preserve">3418412000002721763</x:t>
  </x:si>
  <x:si>
    <x:t xml:space="preserve">STONE HG 2400X1200X12 STATUARIETTO VET</x:t>
  </x:si>
  <x:si>
    <x:t xml:space="preserve">3418412000002721774</x:t>
  </x:si>
  <x:si>
    <x:t xml:space="preserve">STONE HG 2400X1200X15 CARRARA VET</x:t>
  </x:si>
  <x:si>
    <x:t xml:space="preserve">3418412000002721785</x:t>
  </x:si>
  <x:si>
    <x:t xml:space="preserve">STONE HG 2400X1200X15 GALAXY CREMA FB LT SERIES ROC</x:t>
  </x:si>
  <x:si>
    <x:t xml:space="preserve">Rock Slabs LLP</x:t>
  </x:si>
  <x:si>
    <x:t xml:space="preserve">3418412000002721796</x:t>
  </x:si>
  <x:si>
    <x:t xml:space="preserve">STONE HG 2400X1200X15 GALAXY CREMA ROCK</x:t>
  </x:si>
  <x:si>
    <x:t xml:space="preserve">3418412000002721807</x:t>
  </x:si>
  <x:si>
    <x:t xml:space="preserve">STONE HG 2400X1200X15 GLACIER BEACH VET</x:t>
  </x:si>
  <x:si>
    <x:t xml:space="preserve">3418412000002721818</x:t>
  </x:si>
  <x:si>
    <x:t xml:space="preserve">STONE HG 2400X1200X15 LOUISE BROWN VET</x:t>
  </x:si>
  <x:si>
    <x:t xml:space="preserve">3418412000002721829</x:t>
  </x:si>
  <x:si>
    <x:t xml:space="preserve">STONE HG 2400X1200X15 ONYX OMAN VET</x:t>
  </x:si>
  <x:si>
    <x:t xml:space="preserve">3418412000002721840</x:t>
  </x:si>
  <x:si>
    <x:t xml:space="preserve">STONE HG 2400X1200X15 PEARL WHITE VET</x:t>
  </x:si>
  <x:si>
    <x:t xml:space="preserve">3418412000002721851</x:t>
  </x:si>
  <x:si>
    <x:t xml:space="preserve">STONE HG 2400X1200X6 ONYX GOLD ICON</x:t>
  </x:si>
  <x:si>
    <x:t xml:space="preserve">3418412000002721862</x:t>
  </x:si>
  <x:si>
    <x:t xml:space="preserve">STONE HG 2400X1200X9 CARRARA VET</x:t>
  </x:si>
  <x:si>
    <x:t xml:space="preserve">3418412000002721873</x:t>
  </x:si>
  <x:si>
    <x:t xml:space="preserve">STONE HG 2400X1200X9 ONYX OMAN VET</x:t>
  </x:si>
  <x:si>
    <x:t xml:space="preserve">3418412000002721884</x:t>
  </x:si>
  <x:si>
    <x:t xml:space="preserve">STONE HG 2400X800X15 GALAXY CREMA ROCK</x:t>
  </x:si>
  <x:si>
    <x:t xml:space="preserve">Flooret Ceramics India LLP</x:t>
  </x:si>
  <x:si>
    <x:t xml:space="preserve">3418412000002721895</x:t>
  </x:si>
  <x:si>
    <x:t xml:space="preserve">STONE HG 2400X800X15 PEARL WHITE IBIS</x:t>
  </x:si>
  <x:si>
    <x:t xml:space="preserve">3418412000002721906</x:t>
  </x:si>
  <x:si>
    <x:t xml:space="preserve">STONE HG 2400X800X15 ROYAL WHITE SNP VET</x:t>
  </x:si>
  <x:si>
    <x:t xml:space="preserve">3418412000002721917</x:t>
  </x:si>
  <x:si>
    <x:t xml:space="preserve">STONE HG 2400X800X15 STATUARIO GOLD (MACHIA) VET</x:t>
  </x:si>
  <x:si>
    <x:t xml:space="preserve">3418412000002721928</x:t>
  </x:si>
  <x:si>
    <x:t xml:space="preserve">STONE HG 2400X800X15 TAJ VET</x:t>
  </x:si>
  <x:si>
    <x:t xml:space="preserve">3418412000002721939</x:t>
  </x:si>
  <x:si>
    <x:t xml:space="preserve">STONE HG 2800X1200X5 BIANCO LASA IB</x:t>
  </x:si>
  <x:si>
    <x:t xml:space="preserve">3418412000002721950</x:t>
  </x:si>
  <x:si>
    <x:t xml:space="preserve">STONE HG 2800X1200X5 NEW MACHIA IB</x:t>
  </x:si>
  <x:si>
    <x:t xml:space="preserve">3418412000002721961</x:t>
  </x:si>
  <x:si>
    <x:t xml:space="preserve">STONE HG 2800X1200X5 ONYX GREEN IB</x:t>
  </x:si>
  <x:si>
    <x:t xml:space="preserve">3418412000002721972</x:t>
  </x:si>
  <x:si>
    <x:t xml:space="preserve">STONE HG 2800X1200X5 PANTAGONIA IB</x:t>
  </x:si>
  <x:si>
    <x:t xml:space="preserve">3418412000002721983</x:t>
  </x:si>
  <x:si>
    <x:t xml:space="preserve">STONE HG 2800X1200X5 STATURIETTO IB</x:t>
  </x:si>
  <x:si>
    <x:t xml:space="preserve">3418412000002721994</x:t>
  </x:si>
  <x:si>
    <x:t xml:space="preserve">STONE HG 2800X1200X5 TAJ MAHAL IB</x:t>
  </x:si>
  <x:si>
    <x:t xml:space="preserve">3418412000002722005</x:t>
  </x:si>
  <x:si>
    <x:t xml:space="preserve">STONE HG 2800X1200X5 VERONICA ARBESQUE IB</x:t>
  </x:si>
  <x:si>
    <x:t xml:space="preserve">3418412000002722016</x:t>
  </x:si>
  <x:si>
    <x:t xml:space="preserve">STONE HG 2800X1200X6 FENDI WHITE GAUN</x:t>
  </x:si>
  <x:si>
    <x:t xml:space="preserve">3418412000002722027</x:t>
  </x:si>
  <x:si>
    <x:t xml:space="preserve">STONE HG 2800X1200X6 NAIROBY CREAM VET</x:t>
  </x:si>
  <x:si>
    <x:t xml:space="preserve">3418412000002722038</x:t>
  </x:si>
  <x:si>
    <x:t xml:space="preserve">STONE HG 2800X1200X6 ONYX GREEN VET</x:t>
  </x:si>
  <x:si>
    <x:t xml:space="preserve">3418412000002722049</x:t>
  </x:si>
  <x:si>
    <x:t xml:space="preserve">STONE HG 2800X1200X6 PANDA WHITE VET</x:t>
  </x:si>
  <x:si>
    <x:t xml:space="preserve">3418412000002722060</x:t>
  </x:si>
  <x:si>
    <x:t xml:space="preserve">STONE HG 2800X1200X6 PANTAGONIA VET</x:t>
  </x:si>
  <x:si>
    <x:t xml:space="preserve">3418412000002722071</x:t>
  </x:si>
  <x:si>
    <x:t xml:space="preserve">STONE HG 2800X1200X6 SENSO WHITE VET</x:t>
  </x:si>
  <x:si>
    <x:t xml:space="preserve">3418412000002722082</x:t>
  </x:si>
  <x:si>
    <x:t xml:space="preserve">STONE HG 2800X1200X6 STATUARIO ALTISSMO VET</x:t>
  </x:si>
  <x:si>
    <x:t xml:space="preserve">3418412000002722093</x:t>
  </x:si>
  <x:si>
    <x:t xml:space="preserve">STONE HG 2800X1200X6 TAJ MAHAL VET</x:t>
  </x:si>
  <x:si>
    <x:t xml:space="preserve">3418412000002722104</x:t>
  </x:si>
  <x:si>
    <x:t xml:space="preserve">STONE HG 2800X1200X6 VERONICA ARBESQUE VET</x:t>
  </x:si>
  <x:si>
    <x:t xml:space="preserve">3418412000002722115</x:t>
  </x:si>
  <x:si>
    <x:t xml:space="preserve">STONE HG 3000X800X15 BIANCO LASA IBIZA</x:t>
  </x:si>
  <x:si>
    <x:t xml:space="preserve">3418412000002722126</x:t>
  </x:si>
  <x:si>
    <x:t xml:space="preserve">STONE HG 3000X800X15 CREMA ROCK</x:t>
  </x:si>
  <x:si>
    <x:t xml:space="preserve">3418412000002722137</x:t>
  </x:si>
  <x:si>
    <x:t xml:space="preserve">STONE HG 3000X800X15 GALAXY CREMA FB LT SERIES ROCK</x:t>
  </x:si>
  <x:si>
    <x:t xml:space="preserve">3418412000002722148</x:t>
  </x:si>
  <x:si>
    <x:t xml:space="preserve">STONE HG 3000X800X15 GALAXY CREMA ROCK</x:t>
  </x:si>
  <x:si>
    <x:t xml:space="preserve">3418412000002722159</x:t>
  </x:si>
  <x:si>
    <x:t xml:space="preserve">STONE HG 3000X800X15 GRAPHITE ROCK</x:t>
  </x:si>
  <x:si>
    <x:t xml:space="preserve">3418412000002722170</x:t>
  </x:si>
  <x:si>
    <x:t xml:space="preserve">STONE HG 3000X800X15 GRAPHITE SOLID FB JK SERIES RO</x:t>
  </x:si>
  <x:si>
    <x:t xml:space="preserve">3418412000002722181</x:t>
  </x:si>
  <x:si>
    <x:t xml:space="preserve">STONE HG 3000X800X15 SMOKE ROCK</x:t>
  </x:si>
  <x:si>
    <x:t xml:space="preserve">3418412000002722192</x:t>
  </x:si>
  <x:si>
    <x:t xml:space="preserve">STONE HG 3200X1200X12 ONYX GREEN VET</x:t>
  </x:si>
  <x:si>
    <x:t xml:space="preserve">3418412000002722203</x:t>
  </x:si>
  <x:si>
    <x:t xml:space="preserve">STONE HG 3200X1200X12 ONYX OMAN VET</x:t>
  </x:si>
  <x:si>
    <x:t xml:space="preserve">3418412000002722214</x:t>
  </x:si>
  <x:si>
    <x:t xml:space="preserve">STONE HG 3200X1200X12 STATUARIETTO VET</x:t>
  </x:si>
  <x:si>
    <x:t xml:space="preserve">3418412000002722225</x:t>
  </x:si>
  <x:si>
    <x:t xml:space="preserve">STONE HG 3200X1200X15 BIANCO LASA VET</x:t>
  </x:si>
  <x:si>
    <x:t xml:space="preserve">3418412000002722236</x:t>
  </x:si>
  <x:si>
    <x:t xml:space="preserve">STONE HG 3200X1200X15 BLACK FUSION VET</x:t>
  </x:si>
  <x:si>
    <x:t xml:space="preserve">3418412000002722247</x:t>
  </x:si>
  <x:si>
    <x:t xml:space="preserve">STONE HG 3200X1200X15 CARRARA VET</x:t>
  </x:si>
  <x:si>
    <x:t xml:space="preserve">3418412000002722258</x:t>
  </x:si>
  <x:si>
    <x:t xml:space="preserve">STONE HG 3200X1200X15 GLACIER BEACH VET</x:t>
  </x:si>
  <x:si>
    <x:t xml:space="preserve">3418412000002722269</x:t>
  </x:si>
  <x:si>
    <x:t xml:space="preserve">STONE HG 3200X1200X15 NAIROBY CREMA VET</x:t>
  </x:si>
  <x:si>
    <x:t xml:space="preserve">3418412000002722280</x:t>
  </x:si>
  <x:si>
    <x:t xml:space="preserve">STONE HG 3200X1200X15 NEW MACHIA VET</x:t>
  </x:si>
  <x:si>
    <x:t xml:space="preserve">3418412000002722291</x:t>
  </x:si>
  <x:si>
    <x:t xml:space="preserve">STONE HG 3200X1200X15 ONYX GOLD VET</x:t>
  </x:si>
  <x:si>
    <x:t xml:space="preserve">3418412000002722302</x:t>
  </x:si>
  <x:si>
    <x:t xml:space="preserve">STONE HG 3200X1200X15 ONYX GREEN VET</x:t>
  </x:si>
  <x:si>
    <x:t xml:space="preserve">3418412000002722313</x:t>
  </x:si>
  <x:si>
    <x:t xml:space="preserve">STONE HG 3200X1200X15 ONYX OMAN VET</x:t>
  </x:si>
  <x:si>
    <x:t xml:space="preserve">3418412000002722326</x:t>
  </x:si>
  <x:si>
    <x:t xml:space="preserve">STONE HG 3200X1200X15 PANDA WHITE VET</x:t>
  </x:si>
  <x:si>
    <x:t xml:space="preserve">3418412000002722337</x:t>
  </x:si>
  <x:si>
    <x:t xml:space="preserve">STONE HG 3200X1200X15 PANTAGONIA VET</x:t>
  </x:si>
  <x:si>
    <x:t xml:space="preserve">3418412000002776164</x:t>
  </x:si>
  <x:si>
    <x:t xml:space="preserve">STONE HG 3200X1200X15 RALPH NATURAL VET</x:t>
  </x:si>
  <x:si>
    <x:t xml:space="preserve">3418412000002818113</x:t>
  </x:si>
  <x:si>
    <x:t xml:space="preserve">STONE HG 3200X1200X15 SAN MARINO VET</x:t>
  </x:si>
  <x:si>
    <x:t xml:space="preserve">3418412000003045671</x:t>
  </x:si>
  <x:si>
    <x:t xml:space="preserve">STONE HG 3200X1200X15 SENSO WHITE VET</x:t>
  </x:si>
  <x:si>
    <x:t xml:space="preserve">3418412000003045679</x:t>
  </x:si>
  <x:si>
    <x:t xml:space="preserve">STONE HG 3200X1200X15 STATUARIO ALTISSMO VET</x:t>
  </x:si>
  <x:si>
    <x:t xml:space="preserve">3418412000003045687</x:t>
  </x:si>
  <x:si>
    <x:t xml:space="preserve">STONE HG 3200X1200X15 TAJ MAHAL VET</x:t>
  </x:si>
  <x:si>
    <x:t xml:space="preserve">3418412000003045695</x:t>
  </x:si>
  <x:si>
    <x:t xml:space="preserve">STONE HG 3200X1200X15 VATICANO DOVE R2-VATICANO DOVE VET</x:t>
  </x:si>
  <x:si>
    <x:t xml:space="preserve">3418412000003045703</x:t>
  </x:si>
  <x:si>
    <x:t xml:space="preserve">STONE HG 3200X1200X15 VERONIC ARBUSQUE-B VET</x:t>
  </x:si>
  <x:si>
    <x:t xml:space="preserve">3418412000003045711</x:t>
  </x:si>
  <x:si>
    <x:t xml:space="preserve">STONE HG 3200X1300X15 GRIGIO UNICO IBIZA</x:t>
  </x:si>
  <x:si>
    <x:t xml:space="preserve">3418412000003045719</x:t>
  </x:si>
  <x:si>
    <x:t xml:space="preserve">STONE HG 3200X1300X15 ROME IBIZA</x:t>
  </x:si>
  <x:si>
    <x:t xml:space="preserve">3418412000003045727</x:t>
  </x:si>
  <x:si>
    <x:t xml:space="preserve">STONE HG 3200X1300X15 SUNSET GOLD IBIZA</x:t>
  </x:si>
  <x:si>
    <x:t xml:space="preserve">3418412000003045735</x:t>
  </x:si>
  <x:si>
    <x:t xml:space="preserve">STONE HG 3200X1600X12 PANTAGONIA IBIZA</x:t>
  </x:si>
  <x:si>
    <x:t xml:space="preserve">3418412000003045743</x:t>
  </x:si>
  <x:si>
    <x:t xml:space="preserve">STONE HG 3200X1600X12 STATUARIO GOLD IBIZA</x:t>
  </x:si>
  <x:si>
    <x:t xml:space="preserve">3418412000003045751</x:t>
  </x:si>
  <x:si>
    <x:t xml:space="preserve">STONE HG 3200X1600X12 VERSACE GOLD IBIZA</x:t>
  </x:si>
  <x:si>
    <x:t xml:space="preserve">3418412000003045759</x:t>
  </x:si>
  <x:si>
    <x:t xml:space="preserve">STONE HG 3200X1600X15 PIETRA GREY IBIZA</x:t>
  </x:si>
  <x:si>
    <x:t xml:space="preserve">3418412000003045767</x:t>
  </x:si>
  <x:si>
    <x:t xml:space="preserve">STONE HG 3200X1600X15 ROME IBIZA</x:t>
  </x:si>
  <x:si>
    <x:t xml:space="preserve">3418412000003045775</x:t>
  </x:si>
  <x:si>
    <x:t xml:space="preserve">STONE HG 3200X1600X15 STATUARIETTO IBIZA</x:t>
  </x:si>
  <x:si>
    <x:t xml:space="preserve">3418412000003045783</x:t>
  </x:si>
  <x:si>
    <x:t xml:space="preserve">STONE HG 3200X1600X15 VERSACE GOLD IBIZA</x:t>
  </x:si>
  <x:si>
    <x:t xml:space="preserve">3418412000003045791</x:t>
  </x:si>
  <x:si>
    <x:t xml:space="preserve">STONE HG 3200X800X15 ARMANI GRIS VET</x:t>
  </x:si>
  <x:si>
    <x:t xml:space="preserve">3418412000003045799</x:t>
  </x:si>
  <x:si>
    <x:t xml:space="preserve">STONE HG 3200X800X15 VERONIC ARBUSQUE-B VET</x:t>
  </x:si>
  <x:si>
    <x:t xml:space="preserve">3418412000003045807</x:t>
  </x:si>
  <x:si>
    <x:t xml:space="preserve">STONE HG CRYSTAL POLISH 1600X3200X15 MAGPPIE TAJ MAHAL ICON</x:t>
  </x:si>
  <x:si>
    <x:t xml:space="preserve">3418412000003045815</x:t>
  </x:si>
  <x:si>
    <x:t xml:space="preserve">STONE I LUXURY POLISH 2800X1200X9 STATUARIO VENATINO ICON</x:t>
  </x:si>
  <x:si>
    <x:t xml:space="preserve">3418412000003045823</x:t>
  </x:si>
  <x:si>
    <x:t xml:space="preserve">STONE I LUXURY POLISH STATUARIO NUVOLATO 2800X1200X9MM ICON</x:t>
  </x:si>
  <x:si>
    <x:t xml:space="preserve">3418412000003045831</x:t>
  </x:si>
  <x:si>
    <x:t xml:space="preserve">STONE I LUXURY POLISH VERDE ALPI 2800X1200X9MM ICON</x:t>
  </x:si>
  <x:si>
    <x:t xml:space="preserve">3418412000003045839</x:t>
  </x:si>
  <x:si>
    <x:t xml:space="preserve">STONE I PLUSH TEXTURE 2800X1200X9 VAN GOGH ICON</x:t>
  </x:si>
  <x:si>
    <x:t xml:space="preserve">3418412000003045847</x:t>
  </x:si>
  <x:si>
    <x:t xml:space="preserve">STONE I SHAPE PLUS 2400X1200X6 BRECCIA BIANCO ICON</x:t>
  </x:si>
  <x:si>
    <x:t xml:space="preserve">3418412000003045855</x:t>
  </x:si>
  <x:si>
    <x:t xml:space="preserve">STONE I SHAPE PLUS BRECCIA BIANCO 2800X1200X6MM ICON</x:t>
  </x:si>
  <x:si>
    <x:t xml:space="preserve">3418412000003045863</x:t>
  </x:si>
  <x:si>
    <x:t xml:space="preserve">STONE I SHAPE PLUS BRECCIA BIANCO 2800X1200X9MM ICON</x:t>
  </x:si>
  <x:si>
    <x:t xml:space="preserve">3418412000003045871</x:t>
  </x:si>
  <x:si>
    <x:t xml:space="preserve">STONE I SHAPE PLUS FLURRY BLACK 2800X1200X9MM ICON</x:t>
  </x:si>
  <x:si>
    <x:t xml:space="preserve">3418412000003045879</x:t>
  </x:si>
  <x:si>
    <x:t xml:space="preserve">STONE I SHAPE PLUS SHIRONE PEACH 2400X1200X6 ICON</x:t>
  </x:si>
  <x:si>
    <x:t xml:space="preserve">3418412000003045887</x:t>
  </x:si>
  <x:si>
    <x:t xml:space="preserve">STONE I SHAPE PLUS SHIRONE PEACH DECOR 2400X1200X6MM ICON</x:t>
  </x:si>
  <x:si>
    <x:t xml:space="preserve">3418412000003045895</x:t>
  </x:si>
  <x:si>
    <x:t xml:space="preserve">STONE I SHAPE PLUS SHIRONE PEACH DECOR 2800X1200X6MM ICON</x:t>
  </x:si>
  <x:si>
    <x:t xml:space="preserve">3418412000003045903</x:t>
  </x:si>
  <x:si>
    <x:t xml:space="preserve">STONE I SHAPE SHIRONE PEACH 2800X1200X9MM ICON</x:t>
  </x:si>
  <x:si>
    <x:t xml:space="preserve">3418412000003045911</x:t>
  </x:si>
  <x:si>
    <x:t xml:space="preserve">STONE I SHAPE SILVER RIVER PURE 2400X1200X6MM ICON</x:t>
  </x:si>
  <x:si>
    <x:t xml:space="preserve">3418412000003045919</x:t>
  </x:si>
  <x:si>
    <x:t xml:space="preserve">STONE I SHAPE SILVER RIVER PURE 2800X1200X6MM ICON</x:t>
  </x:si>
  <x:si>
    <x:t xml:space="preserve">3418412000003045927</x:t>
  </x:si>
  <x:si>
    <x:t xml:space="preserve">STONE ISPARKLE 2400X1200X9 ONYX GIN ICON</x:t>
  </x:si>
  <x:si>
    <x:t xml:space="preserve">3418412000003045935</x:t>
  </x:si>
  <x:si>
    <x:t xml:space="preserve">STONE ISPARKLE 2800X1200X9 ONYX GIN ICON</x:t>
  </x:si>
  <x:si>
    <x:t xml:space="preserve">3418412000003045943</x:t>
  </x:si>
  <x:si>
    <x:t xml:space="preserve">STONE I SPARKLE MACAUBAS SHINE 2800X1200X9MM ICON</x:t>
  </x:si>
  <x:si>
    <x:t xml:space="preserve">3418412000003045951</x:t>
  </x:si>
  <x:si>
    <x:t xml:space="preserve">STONE I SPARKLE STATUARIO ALTISSIMO 2800X1200X9MM ICON</x:t>
  </x:si>
  <x:si>
    <x:t xml:space="preserve">3418412000003045959</x:t>
  </x:si>
  <x:si>
    <x:t xml:space="preserve">STONE LUSH GRIP BLACK CLASSICO CHOCO 2400X1200X6MM ICON</x:t>
  </x:si>
  <x:si>
    <x:t xml:space="preserve">3418412000003045967</x:t>
  </x:si>
  <x:si>
    <x:t xml:space="preserve">STONE LUSH GRIP BLACK CLASSICO CHOCO 2800X1200X6MM ICON</x:t>
  </x:si>
  <x:si>
    <x:t xml:space="preserve">3418412000003045975</x:t>
  </x:si>
  <x:si>
    <x:t xml:space="preserve">STONE LUSH GRIP BLACK STATUARIO NUVOLATO 2400X1200X6MM ICON</x:t>
  </x:si>
  <x:si>
    <x:t xml:space="preserve">3418412000003045983</x:t>
  </x:si>
  <x:si>
    <x:t xml:space="preserve">STONE LUSH GRIP BLACK STATUARIO NUVOLATO 2800X1200X6 MM ICON</x:t>
  </x:si>
  <x:si>
    <x:t xml:space="preserve">3418412000003045991</x:t>
  </x:si>
  <x:si>
    <x:t xml:space="preserve">STONE LUSH GRIP BLACK STATUARIO VENATINO 2400X1200X6MM ICON</x:t>
  </x:si>
  <x:si>
    <x:t xml:space="preserve">3418412000003045999</x:t>
  </x:si>
  <x:si>
    <x:t xml:space="preserve">STONE LUSH GRIP BLACK TRAVERTINO ANGLE 2400X1200X6MM ICON</x:t>
  </x:si>
  <x:si>
    <x:t xml:space="preserve">3418412000003046007</x:t>
  </x:si>
  <x:si>
    <x:t xml:space="preserve">STONE LUSH GRIP BLACK TRAVERTINO ANGLE 2800X1200X15 MM ICON</x:t>
  </x:si>
  <x:si>
    <x:t xml:space="preserve">3418412000003046015</x:t>
  </x:si>
  <x:si>
    <x:t xml:space="preserve">STONE LUSH GRIP BLACK TRAVERTINO ANGLE 2800X1200X6MM ICON</x:t>
  </x:si>
  <x:si>
    <x:t xml:space="preserve">3418412000003046023</x:t>
  </x:si>
  <x:si>
    <x:t xml:space="preserve">STONE LUSH GRIP CLASSICO BIANCO GRADE SUPPER MATT 2400X1200X6MM ICON</x:t>
  </x:si>
  <x:si>
    <x:t xml:space="preserve">3418412000003046031</x:t>
  </x:si>
  <x:si>
    <x:t xml:space="preserve">STONE LUSH GRIP CLASSICO BIANCO GRADE SUPPER MATT 2800X1200X6MM ICON</x:t>
  </x:si>
  <x:si>
    <x:t xml:space="preserve">3418412000003046039</x:t>
  </x:si>
  <x:si>
    <x:t xml:space="preserve">STONE LUSH GRIP CLASSICO CHOCO 2800X1200X6MM ICON</x:t>
  </x:si>
  <x:si>
    <x:t xml:space="preserve">3418412000003046047</x:t>
  </x:si>
  <x:si>
    <x:t xml:space="preserve">STONE LUSH GRIP DRY VERDE ALPI 2400X1200X6MM ICON</x:t>
  </x:si>
  <x:si>
    <x:t xml:space="preserve">3418412000003046055</x:t>
  </x:si>
  <x:si>
    <x:t xml:space="preserve">STONE LUSH GRIP DRY VERDE ALPI 2800X1200X6MM ICON</x:t>
  </x:si>
  <x:si>
    <x:t xml:space="preserve">3418412000003046063</x:t>
  </x:si>
  <x:si>
    <x:t xml:space="preserve">STONE LUSH GRIP FLURRY BLACK GRADE 2800X1200X6MM ICON</x:t>
  </x:si>
  <x:si>
    <x:t xml:space="preserve">3418412000003046071</x:t>
  </x:si>
  <x:si>
    <x:t xml:space="preserve">STONE LUSH GRIP STATUARIO NUVOLATO 2400X1200X6MM ICON</x:t>
  </x:si>
  <x:si>
    <x:t xml:space="preserve">3418412000003046079</x:t>
  </x:si>
  <x:si>
    <x:t xml:space="preserve">STONE LUSH GRIP STATUARIO VENATINO 2800X1200X6MM ICON</x:t>
  </x:si>
  <x:si>
    <x:t xml:space="preserve">3418412000003046087</x:t>
  </x:si>
  <x:si>
    <x:t xml:space="preserve">STONE MATT 1200X600X16 WHITE MATT MLPL</x:t>
  </x:si>
  <x:si>
    <x:t xml:space="preserve">3418412000003046095</x:t>
  </x:si>
  <x:si>
    <x:t xml:space="preserve">STONE MATT 1200X600X5 ARLON PISTA SILON</x:t>
  </x:si>
  <x:si>
    <x:t xml:space="preserve">3418412000003046103</x:t>
  </x:si>
  <x:si>
    <x:t xml:space="preserve">STONE MATT 1200X600X5 DIAMONA BEIGE HYDRA ONERY</x:t>
  </x:si>
  <x:si>
    <x:t xml:space="preserve">Invogue Hub</x:t>
  </x:si>
  <x:si>
    <x:t xml:space="preserve">3418412000003046111</x:t>
  </x:si>
  <x:si>
    <x:t xml:space="preserve">STONE MATT 1200X600X5 DIAMONA BIANCO HYDRA ONERY</x:t>
  </x:si>
  <x:si>
    <x:t xml:space="preserve">3418412000003046119</x:t>
  </x:si>
  <x:si>
    <x:t xml:space="preserve">STONE MATT 1200X600X5 MYRA SAND ONRY</x:t>
  </x:si>
  <x:si>
    <x:t xml:space="preserve">3418412000003046127</x:t>
  </x:si>
  <x:si>
    <x:t xml:space="preserve">STONE MATT 1200X600X5 NEO DARK BROWN ONRY</x:t>
  </x:si>
  <x:si>
    <x:t xml:space="preserve">3418412000003046135</x:t>
  </x:si>
  <x:si>
    <x:t xml:space="preserve">STONE MATT 1200X600X5 SANDUNE BEIGE INV</x:t>
  </x:si>
  <x:si>
    <x:t xml:space="preserve">3418412000003046143</x:t>
  </x:si>
  <x:si>
    <x:t xml:space="preserve">STONE MATT 1800X900X12 GREY IVORY GAUN</x:t>
  </x:si>
  <x:si>
    <x:t xml:space="preserve">3418412000003046151</x:t>
  </x:si>
  <x:si>
    <x:t xml:space="preserve">STONE MATT 2400X1200X15 MAGPPIE OAK DIGI VET</x:t>
  </x:si>
  <x:si>
    <x:t xml:space="preserve">3418412000003046159</x:t>
  </x:si>
  <x:si>
    <x:t xml:space="preserve">STONE MATT 2400X800X15 CRYSTAL BLACK ATS</x:t>
  </x:si>
  <x:si>
    <x:t xml:space="preserve">3418412000003046167</x:t>
  </x:si>
  <x:si>
    <x:t xml:space="preserve">STONE MATT 2700X900X9 ATLANTIC GREY GAUN</x:t>
  </x:si>
  <x:si>
    <x:t xml:space="preserve">3418412000003046175</x:t>
  </x:si>
  <x:si>
    <x:t xml:space="preserve">STONE MATT 2700X900X9 BIANCO LILAC GAUN</x:t>
  </x:si>
  <x:si>
    <x:t xml:space="preserve">3418412000003046183</x:t>
  </x:si>
  <x:si>
    <x:t xml:space="preserve">STONE MATT 2800X1200X6 CAROL GAUN</x:t>
  </x:si>
  <x:si>
    <x:t xml:space="preserve">3418412000003046191</x:t>
  </x:si>
  <x:si>
    <x:t xml:space="preserve">STONE MATT 2800X1200X6 CREAM GAUN</x:t>
  </x:si>
  <x:si>
    <x:t xml:space="preserve">3418412000003046199</x:t>
  </x:si>
  <x:si>
    <x:t xml:space="preserve">STONE MATT 2800X1200X6 DIAMOND GREY GAUN</x:t>
  </x:si>
  <x:si>
    <x:t xml:space="preserve">3418412000003046207</x:t>
  </x:si>
  <x:si>
    <x:t xml:space="preserve">STONE MATT 2800X1200X6 DINAN DARK GREY GAUN</x:t>
  </x:si>
  <x:si>
    <x:t xml:space="preserve">3418412000003046215</x:t>
  </x:si>
  <x:si>
    <x:t xml:space="preserve">STONE MATT 2800X1200X6 DINAN LIGHT GREY GAUN</x:t>
  </x:si>
  <x:si>
    <x:t xml:space="preserve">3418412000003046223</x:t>
  </x:si>
  <x:si>
    <x:t xml:space="preserve">STONE MATT 2800X1200X6 FOREST GREEN STONE GAUN</x:t>
  </x:si>
  <x:si>
    <x:t xml:space="preserve">3418412000003046231</x:t>
  </x:si>
  <x:si>
    <x:t xml:space="preserve">STONE MATT 2800X1200X6 ICELAND WHITE GAUN</x:t>
  </x:si>
  <x:si>
    <x:t xml:space="preserve">3418412000003046239</x:t>
  </x:si>
  <x:si>
    <x:t xml:space="preserve">STONE MATT 2800X1200X6 INTERSTELLAR GAUN</x:t>
  </x:si>
  <x:si>
    <x:t xml:space="preserve">3418412000003046247</x:t>
  </x:si>
  <x:si>
    <x:t xml:space="preserve">STONE MATT 2800X1200X6 KHAKI BROWN GAUN</x:t>
  </x:si>
  <x:si>
    <x:t xml:space="preserve">3418412000003046255</x:t>
  </x:si>
  <x:si>
    <x:t xml:space="preserve">STONE MATT 2800X1200X6 KHAKI GREY GAUN</x:t>
  </x:si>
  <x:si>
    <x:t xml:space="preserve">3418412000003046263</x:t>
  </x:si>
  <x:si>
    <x:t xml:space="preserve">STONE MATT 2800X1200X6 MACALLAN GREY GAUN</x:t>
  </x:si>
  <x:si>
    <x:t xml:space="preserve">3418412000003046271</x:t>
  </x:si>
  <x:si>
    <x:t xml:space="preserve">STONE MATT 2800X1200X6 MACALLAN IVORY GAUN</x:t>
  </x:si>
  <x:si>
    <x:t xml:space="preserve">3418412000003046279</x:t>
  </x:si>
  <x:si>
    <x:t xml:space="preserve">STONE MATT 2800X1200X6 POLAR BIEGE SAND GAUN</x:t>
  </x:si>
  <x:si>
    <x:t xml:space="preserve">3418412000003046287</x:t>
  </x:si>
  <x:si>
    <x:t xml:space="preserve">STONE MATT 2800X1200X6 POLAR BLACK SAND GAUN</x:t>
  </x:si>
  <x:si>
    <x:t xml:space="preserve">3418412000003046295</x:t>
  </x:si>
  <x:si>
    <x:t xml:space="preserve">STONE MATT 2800X1200X6 RAND BEIGE GAUN</x:t>
  </x:si>
  <x:si>
    <x:t xml:space="preserve">3418412000003046303</x:t>
  </x:si>
  <x:si>
    <x:t xml:space="preserve">STONE MATT 2800X1200X6 RAND BLACK GAUN</x:t>
  </x:si>
  <x:si>
    <x:t xml:space="preserve">3418412000003046311</x:t>
  </x:si>
  <x:si>
    <x:t xml:space="preserve">STONE MATT 2800X1200X6 RAND IVORY GAUN</x:t>
  </x:si>
  <x:si>
    <x:t xml:space="preserve">3418412000003046319</x:t>
  </x:si>
  <x:si>
    <x:t xml:space="preserve">STONE MATT 2800X1200X6 ROMA LIGHT GREY GAUN</x:t>
  </x:si>
  <x:si>
    <x:t xml:space="preserve">3418412000003046327</x:t>
  </x:si>
  <x:si>
    <x:t xml:space="preserve">STONE MATT 2800X1200X6 ROMA TRAVENTINE GAUN</x:t>
  </x:si>
  <x:si>
    <x:t xml:space="preserve">3418412000003046335</x:t>
  </x:si>
  <x:si>
    <x:t xml:space="preserve">STONE MATT 2800X1200X6 WOOD WHITE GAUN</x:t>
  </x:si>
  <x:si>
    <x:t xml:space="preserve">3418412000003046343</x:t>
  </x:si>
  <x:si>
    <x:t xml:space="preserve">STONE MATT 3000X800X15 OCEAN BLACK IBIZA</x:t>
  </x:si>
  <x:si>
    <x:t xml:space="preserve">3418412000003046351</x:t>
  </x:si>
  <x:si>
    <x:t xml:space="preserve">STONE MATT 3000X800X15 WALNUT ROCK</x:t>
  </x:si>
  <x:si>
    <x:t xml:space="preserve">3418412000003046359</x:t>
  </x:si>
  <x:si>
    <x:t xml:space="preserve">STONE MATT 3200X1200X15 MIX DESIGN VET</x:t>
  </x:si>
  <x:si>
    <x:t xml:space="preserve">3418412000003046367</x:t>
  </x:si>
  <x:si>
    <x:t xml:space="preserve">STONE MATT 3200X1200X15 OLGA ASH DG VET</x:t>
  </x:si>
  <x:si>
    <x:t xml:space="preserve">3418412000003046375</x:t>
  </x:si>
  <x:si>
    <x:t xml:space="preserve">STONE MATT 3200X1200X15 OXIDE NERO DG VET</x:t>
  </x:si>
  <x:si>
    <x:t xml:space="preserve">3418412000003046383</x:t>
  </x:si>
  <x:si>
    <x:t xml:space="preserve">STONE MATT 3200X1200X15 TRAVERTINO SAND DG VET</x:t>
  </x:si>
  <x:si>
    <x:t xml:space="preserve">3418412000003046391</x:t>
  </x:si>
  <x:si>
    <x:t xml:space="preserve">STONE MATT 3200X1600X12 CAROL GAUN</x:t>
  </x:si>
  <x:si>
    <x:t xml:space="preserve">3418412000003046399</x:t>
  </x:si>
  <x:si>
    <x:t xml:space="preserve">STONE MATT 3200X1600X12 CYAN BLUE GAUN</x:t>
  </x:si>
  <x:si>
    <x:t xml:space="preserve">3418412000003046407</x:t>
  </x:si>
  <x:si>
    <x:t xml:space="preserve">STONE MATT 3200X1600X12 DIAMOND GREY GAUN</x:t>
  </x:si>
  <x:si>
    <x:t xml:space="preserve">3418412000003046415</x:t>
  </x:si>
  <x:si>
    <x:t xml:space="preserve">STONE MATT 3200X1600X12 EXTREME GREY GAUN</x:t>
  </x:si>
  <x:si>
    <x:t xml:space="preserve">3418412000003046423</x:t>
  </x:si>
  <x:si>
    <x:t xml:space="preserve">STONE MATT 3200X1600X12 FOREST GREEN GAUN</x:t>
  </x:si>
  <x:si>
    <x:t xml:space="preserve">3418412000003046431</x:t>
  </x:si>
  <x:si>
    <x:t xml:space="preserve">STONE MATT 3200X1600X12 KHAKI BROWN GAUN</x:t>
  </x:si>
  <x:si>
    <x:t xml:space="preserve">3418412000003046439</x:t>
  </x:si>
  <x:si>
    <x:t xml:space="preserve">STONE MATT 3200X1600X12 KHAKI GREY GAUN</x:t>
  </x:si>
  <x:si>
    <x:t xml:space="preserve">3418412000003046447</x:t>
  </x:si>
  <x:si>
    <x:t xml:space="preserve">STONE MATT 3200X1600X12 PEARL WHITE GAUN</x:t>
  </x:si>
  <x:si>
    <x:t xml:space="preserve">3418412000003046455</x:t>
  </x:si>
  <x:si>
    <x:t xml:space="preserve">STONE MATT 3200X1600X12 ROMA HOLIDAY GAUN</x:t>
  </x:si>
  <x:si>
    <x:t xml:space="preserve">3418412000003046463</x:t>
  </x:si>
  <x:si>
    <x:t xml:space="preserve">STONE MATT 3200X1600X12 ROMA LIGHT GREY GAUN</x:t>
  </x:si>
  <x:si>
    <x:t xml:space="preserve">3418412000003046471</x:t>
  </x:si>
  <x:si>
    <x:t xml:space="preserve">STONE MATT- TEXTURE 2800X1200X6 IRAN TRAVERTINE GAUN</x:t>
  </x:si>
  <x:si>
    <x:t xml:space="preserve">3418412000003046479</x:t>
  </x:si>
  <x:si>
    <x:t xml:space="preserve">STONE MATT- TEXTURE 2800X1200X6 MAGIC BLACK GAUN</x:t>
  </x:si>
  <x:si>
    <x:t xml:space="preserve">3418412000003046487</x:t>
  </x:si>
  <x:si>
    <x:t xml:space="preserve">STONE MATT - TEXTURE 2800X1200X6 MAGIC GREY GAUN</x:t>
  </x:si>
  <x:si>
    <x:t xml:space="preserve">3418412000003046495</x:t>
  </x:si>
  <x:si>
    <x:t xml:space="preserve">STONE MATT TEXTURE 3200X1600X12 IRAN TRAVERTINE GAUN</x:t>
  </x:si>
  <x:si>
    <x:t xml:space="preserve">3418412000003046503</x:t>
  </x:si>
  <x:si>
    <x:t xml:space="preserve">STONE MATT TEXTURE 3200X1600X12 SALT BLACK GAUN</x:t>
  </x:si>
  <x:si>
    <x:t xml:space="preserve">3418412000003046511</x:t>
  </x:si>
  <x:si>
    <x:t xml:space="preserve">STONE MATT TEXTURE 3200X1600X12 WHITE SALT GAUN</x:t>
  </x:si>
  <x:si>
    <x:t xml:space="preserve">3418412000003046519</x:t>
  </x:si>
  <x:si>
    <x:t xml:space="preserve">STONE PANNEL</x:t>
  </x:si>
  <x:si>
    <x:t xml:space="preserve">3418412000003046527</x:t>
  </x:si>
  <x:si>
    <x:t xml:space="preserve">STONE PIXEL SERIE EVEREST TAUPE 2400X1200X6MM ICON</x:t>
  </x:si>
  <x:si>
    <x:t xml:space="preserve">3418412000003046535</x:t>
  </x:si>
  <x:si>
    <x:t xml:space="preserve">STONE PIXEL SERIE EVEREST TAUPE 2800X1200X6MM ICON</x:t>
  </x:si>
  <x:si>
    <x:t xml:space="preserve">3418412000003046543</x:t>
  </x:si>
  <x:si>
    <x:t xml:space="preserve">STONE PIXEL SERIE EVEREST TAUPE 2800X1200X9MM ICON</x:t>
  </x:si>
  <x:si>
    <x:t xml:space="preserve">3418412000003046551</x:t>
  </x:si>
  <x:si>
    <x:t xml:space="preserve">STONE PIXEL SERIES CORALLO GREY 2400X1200X6MM ICON</x:t>
  </x:si>
  <x:si>
    <x:t xml:space="preserve">3418412000003046559</x:t>
  </x:si>
  <x:si>
    <x:t xml:space="preserve">STONE PIXEL SERIES CORALLO GREY 2800X1200X6MM ICON</x:t>
  </x:si>
  <x:si>
    <x:t xml:space="preserve">3418412000003046567</x:t>
  </x:si>
  <x:si>
    <x:t xml:space="preserve">STONE PIXEL SERIES CORALLO GREY 2800X1200X9MM ICON</x:t>
  </x:si>
  <x:si>
    <x:t xml:space="preserve">3418412000003046575</x:t>
  </x:si>
  <x:si>
    <x:t xml:space="preserve">STONE PIXEL SERIES EVEREST GREY 2400X1200X6MM ICON</x:t>
  </x:si>
  <x:si>
    <x:t xml:space="preserve">3418412000003046583</x:t>
  </x:si>
  <x:si>
    <x:t xml:space="preserve">STONE PIXEL SERIES EVEREST GREY 2800X1200X6MM ICON</x:t>
  </x:si>
  <x:si>
    <x:t xml:space="preserve">3418412000003046591</x:t>
  </x:si>
  <x:si>
    <x:t xml:space="preserve">STONE PIXEL SERIES EVEREST GREY 2800X1200X9MM ICON</x:t>
  </x:si>
  <x:si>
    <x:t xml:space="preserve">3418412000003046599</x:t>
  </x:si>
  <x:si>
    <x:t xml:space="preserve">STONE PIXEL SERIES EVEREST TAUPE 2800X1200MX15 MM ICON</x:t>
  </x:si>
  <x:si>
    <x:t xml:space="preserve">3418412000003046607</x:t>
  </x:si>
  <x:si>
    <x:t xml:space="preserve">STONE ROYAL POLISH BLACK CHECKER HIGH GLOSS 2800X1200X15MM ICON</x:t>
  </x:si>
  <x:si>
    <x:t xml:space="preserve">3418412000003046615</x:t>
  </x:si>
  <x:si>
    <x:t xml:space="preserve">STONE ROYAL POLISH GREEN CHECKER HIGH GLOSS 2800X1200X15MM ICON</x:t>
  </x:si>
  <x:si>
    <x:t xml:space="preserve">3418412000003046623</x:t>
  </x:si>
  <x:si>
    <x:t xml:space="preserve">STONE ROYAL POLISH MAGPPIE BLACK CHECKER BLOCK 2800X1200X9MM ICON</x:t>
  </x:si>
  <x:si>
    <x:t xml:space="preserve">3418412000003046631</x:t>
  </x:si>
  <x:si>
    <x:t xml:space="preserve">STONE ROYAL POLISH MAGPPIE GREEN 2800X1200X9MM ICON</x:t>
  </x:si>
  <x:si>
    <x:t xml:space="preserve">3418412000003046639</x:t>
  </x:si>
  <x:si>
    <x:t xml:space="preserve">STONE ROYAL POLISH ONXY GALAXY 2400X1200X6MM ICON</x:t>
  </x:si>
  <x:si>
    <x:t xml:space="preserve">3418412000003046647</x:t>
  </x:si>
  <x:si>
    <x:t xml:space="preserve">STONE ROYAL POLISH ONXY GALAXY 2800X1200X6MM ICON</x:t>
  </x:si>
  <x:si>
    <x:t xml:space="preserve">3418412000003046655</x:t>
  </x:si>
  <x:si>
    <x:t xml:space="preserve">STONE ROYAL POLISH ONXY GALAXY 2800X1200X9MM ICON</x:t>
  </x:si>
  <x:si>
    <x:t xml:space="preserve">3418412000003046663</x:t>
  </x:si>
  <x:si>
    <x:t xml:space="preserve">STONE ROYAL POLISH STATURIETTO 2800X1200X6MM ICON</x:t>
  </x:si>
  <x:si>
    <x:t xml:space="preserve">3418412000003046671</x:t>
  </x:si>
  <x:si>
    <x:t xml:space="preserve">STONE SHELF BRACKET 150X150MM SS LITE BRONZE LOC</x:t>
  </x:si>
  <x:si>
    <x:t xml:space="preserve">3418412000003046679</x:t>
  </x:si>
  <x:si>
    <x:t xml:space="preserve">STONE SP PLAIN MATT LIGHT BUTTER 1200X600X9MM ICON</x:t>
  </x:si>
  <x:si>
    <x:t xml:space="preserve">3418412000003046687</x:t>
  </x:si>
  <x:si>
    <x:t xml:space="preserve">STONE SP PLAIN MATT LIGHT CARBON 1200X600X9MM ICON</x:t>
  </x:si>
  <x:si>
    <x:t xml:space="preserve">3418412000003046695</x:t>
  </x:si>
  <x:si>
    <x:t xml:space="preserve">STONE STRAIGHT LINE EDGING MACHINE</x:t>
  </x:si>
  <x:si>
    <x:t xml:space="preserve">3418412000003046703</x:t>
  </x:si>
  <x:si>
    <x:t xml:space="preserve">STONE SUPER MATT 1200X600X5 CLOUDY OLIVE SILON</x:t>
  </x:si>
  <x:si>
    <x:t xml:space="preserve">3418412000003046711</x:t>
  </x:si>
  <x:si>
    <x:t xml:space="preserve">STONE SUPER MATT 1200X600X5 CLOUDY WHITE SILON</x:t>
  </x:si>
  <x:si>
    <x:t xml:space="preserve">3418412000003046719</x:t>
  </x:si>
  <x:si>
    <x:t xml:space="preserve">STONE SUPER MATT 1200X600X5 HONEY BEIGE SILON</x:t>
  </x:si>
  <x:si>
    <x:t xml:space="preserve">3418412000003046727</x:t>
  </x:si>
  <x:si>
    <x:t xml:space="preserve">STONE SUPER MATT 1200X600X5 IRON BEIGE SILON</x:t>
  </x:si>
  <x:si>
    <x:t xml:space="preserve">3418412000003046735</x:t>
  </x:si>
  <x:si>
    <x:t xml:space="preserve">STONE SUPER MATT 1200X600X5 VANILLA CREAM SILON</x:t>
  </x:si>
  <x:si>
    <x:t xml:space="preserve">3418412000003046743</x:t>
  </x:si>
  <x:si>
    <x:t xml:space="preserve">STONE SUPER MATT 1800X900X12 CLAROS GREY DARK GAUN</x:t>
  </x:si>
  <x:si>
    <x:t xml:space="preserve">3418412000003046751</x:t>
  </x:si>
  <x:si>
    <x:t xml:space="preserve">STONE SUPER MATT 2700X900X9 JAS TUFF GAUN</x:t>
  </x:si>
  <x:si>
    <x:t xml:space="preserve">3418412000003046759</x:t>
  </x:si>
  <x:si>
    <x:t xml:space="preserve">STONE SUPER MATT 2700X900X9 LOUIS GREY GAUN</x:t>
  </x:si>
  <x:si>
    <x:t xml:space="preserve">3418412000003046767</x:t>
  </x:si>
  <x:si>
    <x:t xml:space="preserve">STONE SUPER MATT 2700X900X9 MAUI GREY GAUN</x:t>
  </x:si>
  <x:si>
    <x:t xml:space="preserve">3418412000003046775</x:t>
  </x:si>
  <x:si>
    <x:t xml:space="preserve">STONE SUPER MATT 2700X900X9 ORO CARRARA GAUN</x:t>
  </x:si>
  <x:si>
    <x:t xml:space="preserve">3418412000003046783</x:t>
  </x:si>
  <x:si>
    <x:t xml:space="preserve">STONE SUPER MATT 2700X900X9 PEARL GREY GAUN</x:t>
  </x:si>
  <x:si>
    <x:t xml:space="preserve">3418412000003046791</x:t>
  </x:si>
  <x:si>
    <x:t xml:space="preserve">STONE SUPER MATT 2700X900X9 PULPIS GREY GAUN</x:t>
  </x:si>
  <x:si>
    <x:t xml:space="preserve">3418412000003046799</x:t>
  </x:si>
  <x:si>
    <x:t xml:space="preserve">STONE SUPER MATT 2700X900X9 VERDE CALACATTA GAUN</x:t>
  </x:si>
  <x:si>
    <x:t xml:space="preserve">3418412000003046807</x:t>
  </x:si>
  <x:si>
    <x:t xml:space="preserve">STONE SUPER MATT 2700X900X9 VERDE LAPPONIA GAUN</x:t>
  </x:si>
  <x:si>
    <x:t xml:space="preserve">3418412000003046815</x:t>
  </x:si>
  <x:si>
    <x:t xml:space="preserve">STONE SUPER MATT MONOCHROMA 2400X1200X9MM TILE</x:t>
  </x:si>
  <x:si>
    <x:t xml:space="preserve">3418412000003046823</x:t>
  </x:si>
  <x:si>
    <x:t xml:space="preserve">STORAGE BASKET DEEP FOR 900MM CAB 864X465X170 MOCHA KWA-1712 AST</x:t>
  </x:si>
  <x:si>
    <x:t xml:space="preserve">3418412000003046831</x:t>
  </x:si>
  <x:si>
    <x:t xml:space="preserve">STORAGE BASKET LEATHER 900MM 800X460X150 MOCHA CRY</x:t>
  </x:si>
  <x:si>
    <x:t xml:space="preserve">3418412000003046839</x:t>
  </x:si>
  <x:si>
    <x:t xml:space="preserve">STORAGE BOX SHELF FOR 900 864X473X200 GEM BROWN KWA-1902 AST</x:t>
  </x:si>
  <x:si>
    <x:t xml:space="preserve">3418412000003046847</x:t>
  </x:si>
  <x:si>
    <x:t xml:space="preserve">STORAGE BOX SHELF FOR 900 864X473X60 GEM BROWN KWA-1911 AST</x:t>
  </x:si>
  <x:si>
    <x:t xml:space="preserve">3418412000003046855</x:t>
  </x:si>
  <x:si>
    <x:t xml:space="preserve">STRETCH FILM FOR PACKING 18 INCH MICROWN 23 PER KG JAN</x:t>
  </x:si>
  <x:si>
    <x:t xml:space="preserve">3418412000003046863</x:t>
  </x:si>
  <x:si>
    <x:t xml:space="preserve">STRETCH FILM FOR PACKING 216XX TRANSPERENT JAN</x:t>
  </x:si>
  <x:si>
    <x:t xml:space="preserve">3418412000003046871</x:t>
  </x:si>
  <x:si>
    <x:t xml:space="preserve">SUIT LIFT - 770-1200 MM BLACK 805.20.055 HAF</x:t>
  </x:si>
  <x:si>
    <x:t xml:space="preserve">3418412000003046887</x:t>
  </x:si>
  <x:si>
    <x:t xml:space="preserve">TALL BROOM PULLOUT LH SIDE 490X150X1750 GREY K150 549.94.900 HAF</x:t>
  </x:si>
  <x:si>
    <x:t xml:space="preserve">3418412000003046895</x:t>
  </x:si>
  <x:si>
    <x:t xml:space="preserve">TANDEM PANTRY 450MM EBCO KPUSC1-45 EBC</x:t>
  </x:si>
  <x:si>
    <x:t xml:space="preserve">3418412000003046903</x:t>
  </x:si>
  <x:si>
    <x:t xml:space="preserve">TANDEM PANTRY 6 TIERS BASKET GLASS 555X500X GREY 2020186 NOUMI</x:t>
  </x:si>
  <x:si>
    <x:t xml:space="preserve">3418412000003046911</x:t>
  </x:si>
  <x:si>
    <x:t xml:space="preserve">TANDEM PANTRY 6 TIERS ROLL OUT FRAME GLASS 600 555X500X GREY 2020006B NOUMI</x:t>
  </x:si>
  <x:si>
    <x:t xml:space="preserve">3418412000003046919</x:t>
  </x:si>
  <x:si>
    <x:t xml:space="preserve">TANDEM PANTRY MINI 550X490X590 GREY 309041 HI GI</x:t>
  </x:si>
  <x:si>
    <x:t xml:space="preserve">3418412000003046927</x:t>
  </x:si>
  <x:si>
    <x:t xml:space="preserve">TANDEM PANTRY SOFT CLOSE 450MM 510X385X2210 GREY 202116 HI GOLD</x:t>
  </x:si>
  <x:si>
    <x:t xml:space="preserve">3418412000003046935</x:t>
  </x:si>
  <x:si>
    <x:t xml:space="preserve">TANDEM PANTRY SOFT CLOSE 600MM 510X485X2210 GREY 202117 HI GOLD</x:t>
  </x:si>
  <x:si>
    <x:t xml:space="preserve">3418412000003046943</x:t>
  </x:si>
  <x:si>
    <x:t xml:space="preserve">TANDEM PANTRY SOFT CLOSE 600MM 510X485X2210 GREY 202256 HI GOLD</x:t>
  </x:si>
  <x:si>
    <x:t xml:space="preserve">3418412000003046951</x:t>
  </x:si>
  <x:si>
    <x:t xml:space="preserve">TAPE FOR COVER CAP ADH 3M X20X 91031 3M</x:t>
  </x:si>
  <x:si>
    <x:t xml:space="preserve">3418412000003046959</x:t>
  </x:si>
  <x:si>
    <x:t xml:space="preserve">TAPE FOR PACKING 40 MIC 150 MTR X75X TRANSPERENT BAL</x:t>
  </x:si>
  <x:si>
    <x:t xml:space="preserve">Shri Balaji Industries</x:t>
  </x:si>
  <x:si>
    <x:t xml:space="preserve">3418412000003046967</x:t>
  </x:si>
  <x:si>
    <x:t xml:space="preserve">TAPE FOR PACKING 40MIC X50X12 BAL</x:t>
  </x:si>
  <x:si>
    <x:t xml:space="preserve">3418412000003046975</x:t>
  </x:si>
  <x:si>
    <x:t xml:space="preserve">TAPE FOR PACKING 40MIC X50X BLUE BAL</x:t>
  </x:si>
  <x:si>
    <x:t xml:space="preserve">3418412000003046983</x:t>
  </x:si>
  <x:si>
    <x:t xml:space="preserve">TAPE FOR PACKING 40MIC X50X GREEN BAL</x:t>
  </x:si>
  <x:si>
    <x:t xml:space="preserve">3418412000003046991</x:t>
  </x:si>
  <x:si>
    <x:t xml:space="preserve">TAPE FOR PACKING 40MIC X50X YELLOW BAL</x:t>
  </x:si>
  <x:si>
    <x:t xml:space="preserve">3418412000003046999</x:t>
  </x:si>
  <x:si>
    <x:t xml:space="preserve">TAPE MULTISTIC 10 MTR X10X0.5 3M</x:t>
  </x:si>
  <x:si>
    <x:t xml:space="preserve">3418412000003047007</x:t>
  </x:si>
  <x:si>
    <x:t xml:space="preserve">TAPE THERMAL 210 MIC 50 MTR X10X0.3 EURO</x:t>
  </x:si>
  <x:si>
    <x:t xml:space="preserve">3418412000003047015</x:t>
  </x:si>
  <x:si>
    <x:t xml:space="preserve">TAPE THERMAL 210 MIC 50 MTR X50X0.3 391990 EURO</x:t>
  </x:si>
  <x:si>
    <x:t xml:space="preserve">3418412000003047023</x:t>
  </x:si>
  <x:si>
    <x:t xml:space="preserve">TAPE THERMAL HEAT CONDUCTIVE 10MM X 0.5MM LENGTH 50MTR</x:t>
  </x:si>
  <x:si>
    <x:t xml:space="preserve">3418412000003047031</x:t>
  </x:si>
  <x:si>
    <x:t xml:space="preserve">TARK SYSTEM 721C ARTEX COVER 3000XX BLACK LI.721C.BL LIGNA</x:t>
  </x:si>
  <x:si>
    <x:t xml:space="preserve">3418412000003047039</x:t>
  </x:si>
  <x:si>
    <x:t xml:space="preserve">TARK SYSTEM 721V ARTEX VRTICAL 3000XX BLACK LI.721V.BL LIGNA</x:t>
  </x:si>
  <x:si>
    <x:t xml:space="preserve">3418412000003047047</x:t>
  </x:si>
  <x:si>
    <x:t xml:space="preserve">TARK SYSTEM 722C ARTEX CVER 3000XX BLACK LI.722C.BL LIGNA</x:t>
  </x:si>
  <x:si>
    <x:t xml:space="preserve">3418412000003047055</x:t>
  </x:si>
  <x:si>
    <x:t xml:space="preserve">TARK SYSTEM 722D ARTEX DIIVIDER 3000XX BLACK LI.722D.BL LIGNA</x:t>
  </x:si>
  <x:si>
    <x:t xml:space="preserve">3418412000003047063</x:t>
  </x:si>
  <x:si>
    <x:t xml:space="preserve">TARK SYSTEM 722H ARTEX HORIZONTAL 3000XX BLACK LI.722H.BL LIGNA</x:t>
  </x:si>
  <x:si>
    <x:t xml:space="preserve">3418412000003047071</x:t>
  </x:si>
  <x:si>
    <x:t xml:space="preserve">TARK SYSTEM 723H ARTEX GLASS HOLDER 3000XX BLACK LI.723HV.BL LIGNA</x:t>
  </x:si>
  <x:si>
    <x:t xml:space="preserve">3418412000003047079</x:t>
  </x:si>
  <x:si>
    <x:t xml:space="preserve">TARK SYSTEM 724R ARTEX ROD BLACK 3000XX BLACK LI.724R.BL LIGNA</x:t>
  </x:si>
  <x:si>
    <x:t xml:space="preserve">3418412000003047087</x:t>
  </x:si>
  <x:si>
    <x:t xml:space="preserve">TELESCOPIC 450MM WITHOUT SOFT CLOSE KA3532 HET</x:t>
  </x:si>
  <x:si>
    <x:t xml:space="preserve">3418412000003047095</x:t>
  </x:si>
  <x:si>
    <x:t xml:space="preserve">TELESCOPIC 500MM WITHOUT SOFT CLOSE 9304886 HET</x:t>
  </x:si>
  <x:si>
    <x:t xml:space="preserve">3418412000003047103</x:t>
  </x:si>
  <x:si>
    <x:t xml:space="preserve">TELESCOPIC CHANNEL SOFT CLOSE 400XX SS304 P-STDS-40-SC EBC</x:t>
  </x:si>
  <x:si>
    <x:t xml:space="preserve">3418412000003047111</x:t>
  </x:si>
  <x:si>
    <x:t xml:space="preserve">3418412000003047119</x:t>
  </x:si>
  <x:si>
    <x:t xml:space="preserve">TELESCOPIC CHANNEL SOFT CLOSE 500XX SS304 P-STDS-50-SC EBC</x:t>
  </x:si>
  <x:si>
    <x:t xml:space="preserve">3418412000003047127</x:t>
  </x:si>
  <x:si>
    <x:t xml:space="preserve">TELESCOPIC CHANNEL SOFT CLOSE 550XX SS304 P-STDS-55-SC-ZW EBC</x:t>
  </x:si>
  <x:si>
    <x:t xml:space="preserve">3418412000003047135</x:t>
  </x:si>
  <x:si>
    <x:t xml:space="preserve">TELESCOPIC CHANNEL W/OUT SOFT CLOSE 450XX SS304 P-STDS-45-SC EBC</x:t>
  </x:si>
  <x:si>
    <x:t xml:space="preserve">3418412000003047143</x:t>
  </x:si>
  <x:si>
    <x:t xml:space="preserve">TELESCOPIC CHANNEL W/OUT SOFT CLOSE 500XX SS304 SRDS50-I-35 EBC</x:t>
  </x:si>
  <x:si>
    <x:t xml:space="preserve">3418412000003047151</x:t>
  </x:si>
  <x:si>
    <x:t xml:space="preserve">THERMOCOL SHEET FOR PACKING 1000X500X25 LOC</x:t>
  </x:si>
  <x:si>
    <x:t xml:space="preserve">3418412000003047159</x:t>
  </x:si>
  <x:si>
    <x:t xml:space="preserve">THINNER FOR CLEANING</x:t>
  </x:si>
  <x:si>
    <x:t xml:space="preserve">Supreme Chemicals</x:t>
  </x:si>
  <x:si>
    <x:t xml:space="preserve">3418412000003047167</x:t>
  </x:si>
  <x:si>
    <x:t xml:space="preserve">TIE &amp; BELT PULLOUT IDEAL 74X455X118 004963 0005 KES</x:t>
  </x:si>
  <x:si>
    <x:t xml:space="preserve">3418412000003047175</x:t>
  </x:si>
  <x:si>
    <x:t xml:space="preserve">TIE CUFFLINK ORGANISER WRDACC XX LWAS-309 TT TOP</x:t>
  </x:si>
  <x:si>
    <x:t xml:space="preserve">3418412000003047183</x:t>
  </x:si>
  <x:si>
    <x:t xml:space="preserve">TIE PULLOUT 420X80X110 GREY AST</x:t>
  </x:si>
  <x:si>
    <x:t xml:space="preserve">3418412000003047191</x:t>
  </x:si>
  <x:si>
    <x:t xml:space="preserve">TIPON BLUMOTION SET FOR PULLOUT MERIVO BOX TYPE XX GREY 7544767 BLUM</x:t>
  </x:si>
  <x:si>
    <x:t xml:space="preserve">3418412000003047199</x:t>
  </x:si>
  <x:si>
    <x:t xml:space="preserve">TIPON BLUMOTION SYNCHRONIZATION ROD 1125XX GREY 2101757 BLUM</x:t>
  </x:si>
  <x:si>
    <x:t xml:space="preserve">3418412000003047207</x:t>
  </x:si>
  <x:si>
    <x:t xml:space="preserve">TIPON LONG VERSION 125XX GREY 3156257 BLUM</x:t>
  </x:si>
  <x:si>
    <x:t xml:space="preserve">3418412000003047215</x:t>
  </x:si>
  <x:si>
    <x:t xml:space="preserve">TIPON LONG VERSION W MAG LONG VERSION ADAPTER PLATE 80X20X15 GREY 1743112 BLUM</x:t>
  </x:si>
  <x:si>
    <x:t xml:space="preserve">3418412000003047223</x:t>
  </x:si>
  <x:si>
    <x:t xml:space="preserve">TONGS SS CHIMTA 345XX30 SATIN LOC</x:t>
  </x:si>
  <x:si>
    <x:t xml:space="preserve">3418412000003047231</x:t>
  </x:si>
  <x:si>
    <x:t xml:space="preserve">TOOL WALL FOR KITCHEN 880X430X1 IVORY LOC</x:t>
  </x:si>
  <x:si>
    <x:t xml:space="preserve">3418412000003047239</x:t>
  </x:si>
  <x:si>
    <x:t xml:space="preserve">TRACK SILVER LAKE 708824-060</x:t>
  </x:si>
  <x:si>
    <x:t xml:space="preserve">3418412000003047247</x:t>
  </x:si>
  <x:si>
    <x:t xml:space="preserve">TROUSER HANGER FOR WD PULLOUT SOFT CLOSE 864X470X56 BROWN WPTS-90-SC-BR EBC</x:t>
  </x:si>
  <x:si>
    <x:t xml:space="preserve">3418412000003047255</x:t>
  </x:si>
  <x:si>
    <x:t xml:space="preserve">TROUSER HANGER PULL OUT SOFT CLOSE 600MM 564X470X56 BROWN WPTS-60 EBC</x:t>
  </x:si>
  <x:si>
    <x:t xml:space="preserve">3418412000003047263</x:t>
  </x:si>
  <x:si>
    <x:t xml:space="preserve">TROUSER RACK FOR 900MM SOFT CLOSE 864X473X60 GEM BROWN KWA-1901 AST</x:t>
  </x:si>
  <x:si>
    <x:t xml:space="preserve">3418412000003047271</x:t>
  </x:si>
  <x:si>
    <x:t xml:space="preserve">TROUSER RACK FOR 900 SOFT CLOSE 864X465X76 MOCHA KWA-1701 AST</x:t>
  </x:si>
  <x:si>
    <x:t xml:space="preserve">3418412000003047279</x:t>
  </x:si>
  <x:si>
    <x:t xml:space="preserve">TURNMOTION WITH ARENA STYLE II 568X495X430 ANTHRACITE 2350000000 KES</x:t>
  </x:si>
  <x:si>
    <x:t xml:space="preserve">3418412000003047287</x:t>
  </x:si>
  <x:si>
    <x:t xml:space="preserve">U FRAME 1200X2400X750MM</x:t>
  </x:si>
  <x:si>
    <x:t xml:space="preserve">3418412000003047295</x:t>
  </x:si>
  <x:si>
    <x:t xml:space="preserve">VENTILATION GRILL 225X62X ALU. SILVER ASGM-22-AS EBC</x:t>
  </x:si>
  <x:si>
    <x:t xml:space="preserve">3418412000003047303</x:t>
  </x:si>
  <x:si>
    <x:t xml:space="preserve">VENTILATION GRILL ALU 300MM ASGS 30 AS EBC</x:t>
  </x:si>
  <x:si>
    <x:t xml:space="preserve">3418412000003047319</x:t>
  </x:si>
  <x:si>
    <x:t xml:space="preserve">WARMER DRAWER CAR</x:t>
  </x:si>
  <x:si>
    <x:t xml:space="preserve">3418412000003047327</x:t>
  </x:si>
  <x:si>
    <x:t xml:space="preserve">WARMER DRAWER ODW61BS0 533.54.831 ASKO</x:t>
  </x:si>
  <x:si>
    <x:t xml:space="preserve">3418412000003047335</x:t>
  </x:si>
  <x:si>
    <x:t xml:space="preserve">WASTE BIN PULLOUT DOUBLE GR 14X2 500X300X450 GREY APDWB-28 EBC</x:t>
  </x:si>
  <x:si>
    <x:t xml:space="preserve">3418412000003047343</x:t>
  </x:si>
  <x:si>
    <x:t xml:space="preserve">WASTE BIN PULLOUT EKA 30KG SS 575X440X230 GREY 2B RP</x:t>
  </x:si>
  <x:si>
    <x:t xml:space="preserve">Icon Power Solutions Pvt. Ltd.</x:t>
  </x:si>
  <x:si>
    <x:t xml:space="preserve">3418412000003047351</x:t>
  </x:si>
  <x:si>
    <x:t xml:space="preserve">WASTE BIN SLIDING PULLOUT 40LTR 490X342X430 ANTHRACITE CRY</x:t>
  </x:si>
  <x:si>
    <x:t xml:space="preserve">3418412000003047359</x:t>
  </x:si>
  <x:si>
    <x:t xml:space="preserve">3418412000003047367</x:t>
  </x:si>
  <x:si>
    <x:t xml:space="preserve">WASTE BIN SWING OUT RECTANGULAR 10X2 408X369X250 GREY SOWBR 20D EBC</x:t>
  </x:si>
  <x:si>
    <x:t xml:space="preserve">3418412000003047375</x:t>
  </x:si>
  <x:si>
    <x:t xml:space="preserve">WASTE BIN SWING OUT RECTANGULAR 7.5X2 408X285X250 GREY SOWBR 15D EBC</x:t>
  </x:si>
  <x:si>
    <x:t xml:space="preserve">3418412000003047383</x:t>
  </x:si>
  <x:si>
    <x:t xml:space="preserve">WASTE BIN SWING OUT X364X400 SOWB3-14EBC</x:t>
  </x:si>
  <x:si>
    <x:t xml:space="preserve">3418412000003047391</x:t>
  </x:si>
  <x:si>
    <x:t xml:space="preserve">WASTE BIN TERZETT S, 2 X14 LTR STONE 068.005.05191 UTA</x:t>
  </x:si>
  <x:si>
    <x:t xml:space="preserve">3418412000003047399</x:t>
  </x:si>
  <x:si>
    <x:t xml:space="preserve">WATCH ORGANISER WRDACC XX LWAS-306 TT TOP</x:t>
  </x:si>
  <x:si>
    <x:t xml:space="preserve">3418412000003047567</x:t>
  </x:si>
  <x:si>
    <x:t xml:space="preserve">WICKER BASKET FOR 450MM CAB 500X370X210 WOODEN 540.57.052 HAF</x:t>
  </x:si>
  <x:si>
    <x:t xml:space="preserve">3418412000003047575</x:t>
  </x:si>
  <x:si>
    <x:t xml:space="preserve">WICKER BASKET FOR 600MM CAB 517X496X210 WOODEN 540.57.045 HAF</x:t>
  </x:si>
  <x:si>
    <x:t xml:space="preserve">3418412000003047583</x:t>
  </x:si>
  <x:si>
    <x:t xml:space="preserve">WIRE CLIP XX TRANSPERENT FCC-A-DB JAISON</x:t>
  </x:si>
  <x:si>
    <x:t xml:space="preserve">3418412000003047591</x:t>
  </x:si>
  <x:si>
    <x:t xml:space="preserve">WOODEN BELAN 390XX36 WOODEN LOC</x:t>
  </x:si>
  <x:si>
    <x:t xml:space="preserve">3418412000003047599</x:t>
  </x:si>
  <x:si>
    <x:t xml:space="preserve">WOODEN CUTLERY TREY FOR 600MM CAB ADJUSTABLE 540X470X60 DOR</x:t>
  </x:si>
  <x:si>
    <x:t xml:space="preserve">3418412000003047607</x:t>
  </x:si>
  <x:si>
    <x:t xml:space="preserve">WOODEN CUTLERY TREY FOR 900MM CAB ADJUSTABLE 860X455X50 SHREEJI</x:t>
  </x:si>
  <x:si>
    <x:t xml:space="preserve">3418412000003047615</x:t>
  </x:si>
  <x:si>
    <x:t xml:space="preserve">WOODEN DOWEL 25XX6 DP625 EBC</x:t>
  </x:si>
  <x:si>
    <x:t xml:space="preserve">3418412000003103013</x:t>
  </x:si>
  <x:si>
    <x:t xml:space="preserve">WOODEN DOWEL 40XX8 DP840 EBC</x:t>
  </x:si>
  <x:si>
    <x:t xml:space="preserve">3418412000003103027</x:t>
  </x:si>
  <x:si>
    <x:t xml:space="preserve">WORKTOP EXTENSION TOP FLEX 810X500X 2310000000 KES</x:t>
  </x:si>
  <x:si>
    <x:t xml:space="preserve">SMART MIDWAY ALUMINIUM FOIL CUTTER 014.074.04238 UTA</x:t>
  </x:si>
  <x:si>
    <x:t xml:space="preserve">SMART MIDWAY ROLLING PIN AND BOARD HOLDER 014.074.04231 UTA</x:t>
  </x:si>
  <x:si>
    <x:t xml:space="preserve">SMART MIDWAY SPICE RACK WITH 6 CANISTERS 014.074.04244 UTA</x:t>
  </x:si>
  <x:si>
    <x:t xml:space="preserve">SMART MIDWAY PROFILE END CAP - LEFT 014.074.04415 UTA</x:t>
  </x:si>
  <x:si>
    <x:t xml:space="preserve">SMART MIDWAY PROFILE END CAP - RIGHT 014.074.04416 UTA</x:t>
  </x:si>
  <x:si>
    <x:t xml:space="preserve">SMART MIDWAY PROFILE HOLDER 014.074.04316 UTA</x:t>
  </x:si>
  <x:si>
    <x:t xml:space="preserve">SMART MIDWAT ALU PROFILE MU AN 041, 3.1 MTR 014.020.03866 UTA</x:t>
  </x:si>
  <x:si>
    <x:t xml:space="preserve">HDHMR 2440X1220X7.5 RAW PLAIN PIO</x:t>
  </x:si>
  <x:si>
    <x:t xml:space="preserve">HDHMR 2440X1220X16 RAW PLAIN PIO</x:t>
  </x:si>
  <x:si>
    <x:t xml:space="preserve">LAM SF 2440X1220X0.7 WHITE 1002 AMU</x:t>
  </x:si>
  <x:si>
    <x:t xml:space="preserve">PLY RAW/PLAIN CALIBRATED 2440X1220X6 FLO</x:t>
  </x:si>
  <x:si>
    <x:t xml:space="preserve">PLY 13MM RAW/PLAIN BWP CALIBRATED 8X4</x:t>
  </x:si>
  <x:si>
    <x:t xml:space="preserve">CARCASS POSTLAM BWP</x:t>
  </x:si>
  <x:si>
    <x:t xml:space="preserve">PARTICAL BOARD 17MM RAW PLAIN 8X4</x:t>
  </x:si>
  <x:si>
    <x:t xml:space="preserve">MDF 2440X1220X16 RAW PLAIN</x:t>
  </x:si>
  <x:si>
    <x:t xml:space="preserve">PARTICAL BOARD 09MM RAW PLAIN 8X4</x:t>
  </x:si>
</x:sst>
</file>

<file path=xl/styles.xml><?xml version="1.0" encoding="utf-8"?>
<x:styleSheet xmlns:x="http://schemas.openxmlformats.org/spreadsheetml/2006/main">
  <x:numFmts count="4">
    <x:numFmt numFmtId="164" formatCode="#,##0.0"/>
    <x:numFmt numFmtId="200" formatCode="0.0#"/>
    <x:numFmt numFmtId="201" formatCode="&quot;₹&quot;#,##0.00"/>
    <x:numFmt numFmtId="202" formatCode="0.0%"/>
  </x:numFmts>
  <x:fonts count="14">
    <x:font>
      <x:sz val="10"/>
      <x:color rgb="FF000000"/>
      <x:name val="Calibri"/>
    </x:font>
    <x:font>
      <x:b/>
      <x:sz val="10"/>
      <x:color theme="1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1"/>
      <x:color rgb="FF000000"/>
      <x:name val="Calibri"/>
    </x:font>
    <x:font>
      <x:sz val="9"/>
      <x:color theme="1"/>
      <x:name val="Times New Roman"/>
    </x:font>
    <x:font>
      <x:b/>
      <x:sz val="11"/>
      <x:color rgb="FF000000"/>
      <x:name val="&quot;Times New Roman&quot;"/>
    </x:font>
    <x:font>
      <x:sz val="10"/>
      <x:color theme="1"/>
      <x:name val="Times New Roman"/>
    </x:font>
    <x:font>
      <x:sz val="10"/>
      <x:color rgb="FF000000"/>
      <x:name val="Calibri"/>
    </x:font>
    <x:font>
      <x:sz val="11"/>
      <x:color rgb="FF000000"/>
      <x:name val="Arial"/>
    </x:font>
    <x:font>
      <x:sz val="10"/>
      <x:color rgb="FF000000"/>
      <x:name val="Arial"/>
    </x:font>
    <x:font>
      <x:sz val="10"/>
      <x:color theme="1"/>
      <x:name val="Bookman Old Style"/>
    </x:font>
    <x:font>
      <x:b/>
      <x:sz val="10"/>
      <x:color rgb="FF000000"/>
      <x:name val="Bookman Old Style"/>
    </x:font>
    <x:font>
      <x:sz val="10"/>
      <x:color rgb="FF000000"/>
      <x:name val="Bookman Old Style"/>
    </x:font>
  </x:fonts>
  <x:fills count="10">
    <x:fill>
      <x:patternFill patternType="none"/>
    </x:fill>
    <x:fill>
      <x:patternFill patternType="gray125"/>
    </x:fill>
    <x:fill>
      <x:patternFill patternType="solid">
        <x:fgColor rgb="FF99CCFF"/>
      </x:patternFill>
    </x:fill>
    <x:fill>
      <x:patternFill patternType="solid">
        <x:fgColor rgb="FFFFFF00"/>
      </x:patternFill>
    </x:fill>
    <x:fill>
      <x:patternFill patternType="solid">
        <x:fgColor rgb="FF92D050"/>
      </x:patternFill>
    </x:fill>
    <x:fill>
      <x:patternFill patternType="solid">
        <x:fgColor theme="0"/>
      </x:patternFill>
    </x:fill>
    <x:fill>
      <x:patternFill patternType="solid">
        <x:fgColor rgb="FFE9F0FE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99CC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2" borderId="1" xfId="0" applyFont="1" applyFill="1" applyBorder="1" applyAlignment="1">
      <x:alignment horizontal="left" vertical="center"/>
    </x:xf>
    <x:xf numFmtId="0" fontId="2" fillId="0" borderId="0" xfId="0" applyFont="1"/>
    <x:xf numFmtId="0" fontId="3" fillId="0" borderId="0" xfId="0" applyFont="1"/>
    <x:xf numFmtId="0" fontId="1" fillId="2" borderId="1" xfId="0" applyFont="1" applyFill="1" applyBorder="1" applyAlignment="1">
      <x:alignment horizontal="center" vertical="center"/>
    </x:xf>
    <x:xf numFmtId="0" fontId="2" fillId="3" borderId="0" xfId="0" applyFont="1" applyFill="1"/>
    <x:xf numFmtId="0" fontId="1" fillId="2" borderId="1" xfId="0" applyFont="1" applyFill="1" applyBorder="1" applyAlignment="1">
      <x:alignment horizontal="center" vertical="center" wrapText="1"/>
    </x:xf>
    <x:xf numFmtId="2" fontId="1" fillId="2" borderId="1" xfId="0" applyNumberFormat="1" applyFont="1" applyFill="1" applyBorder="1" applyAlignment="1">
      <x:alignment horizontal="center" vertical="center" wrapText="1"/>
    </x:xf>
    <x:xf numFmtId="0" fontId="4" fillId="4" borderId="0" xfId="0" applyFont="1" applyFill="1"/>
    <x:xf numFmtId="0" fontId="1" fillId="0" borderId="1" xfId="0" applyFont="1" applyBorder="1" applyAlignment="1">
      <x:alignment horizontal="center" vertical="center"/>
    </x:xf>
    <x:xf numFmtId="0" fontId="5" fillId="5" borderId="1" xfId="0" applyFont="1" applyFill="1" applyBorder="1" applyAlignment="1">
      <x:alignment horizontal="left" vertical="center"/>
    </x:xf>
    <x:xf numFmtId="0" fontId="6" fillId="6" borderId="1" xfId="0" applyFont="1" applyFill="1" applyBorder="1"/>
    <x:xf numFmtId="0" fontId="7" fillId="5" borderId="1" xfId="0" applyFont="1" applyFill="1" applyBorder="1" applyAlignment="1">
      <x:alignment horizontal="left" vertical="center"/>
    </x:xf>
    <x:xf numFmtId="0" fontId="6" fillId="4" borderId="1" xfId="0" applyFont="1" applyFill="1" applyBorder="1"/>
    <x:xf numFmtId="0" fontId="5" fillId="0" borderId="1" xfId="0" applyFont="1" applyBorder="1" applyAlignment="1">
      <x:alignment horizontal="left" vertical="center"/>
    </x:xf>
    <x:xf numFmtId="164" fontId="5" fillId="0" borderId="1" xfId="0" applyNumberFormat="1" applyFont="1" applyBorder="1" applyAlignment="1">
      <x:alignment horizontal="left" vertical="center"/>
    </x:xf>
    <x:xf numFmtId="0" fontId="6" fillId="3" borderId="1" xfId="0" applyFont="1" applyFill="1" applyBorder="1"/>
    <x:xf numFmtId="0" fontId="8" fillId="0" borderId="1" xfId="0" applyFont="1" applyBorder="1" applyAlignment="1">
      <x:alignment horizontal="center" vertical="center"/>
    </x:xf>
    <x:xf numFmtId="0" fontId="9" fillId="0" borderId="1" xfId="0" applyFont="1" applyBorder="1"/>
    <x:xf numFmtId="0" fontId="10" fillId="4" borderId="1" xfId="0" applyFont="1" applyFill="1" applyBorder="1" applyAlignment="1">
      <x:alignment vertical="top"/>
    </x:xf>
    <x:xf numFmtId="0" fontId="9" fillId="3" borderId="1" xfId="0" applyFont="1" applyFill="1" applyBorder="1" applyAlignment="1">
      <x:alignment horizontal="right"/>
    </x:xf>
    <x:xf numFmtId="0" fontId="9" fillId="3" borderId="1" xfId="0" applyFont="1" applyFill="1" applyBorder="1"/>
    <x:xf numFmtId="0" fontId="9" fillId="7" borderId="1" xfId="0" applyFont="1" applyFill="1" applyBorder="1" applyAlignment="1">
      <x:alignment horizontal="right"/>
    </x:xf>
    <x:xf numFmtId="0" fontId="9" fillId="4" borderId="1" xfId="0" applyFont="1" applyFill="1" applyBorder="1" applyAlignment="1">
      <x:alignment horizontal="right"/>
    </x:xf>
    <x:xf numFmtId="0" fontId="3" fillId="0" borderId="1" xfId="0" applyFont="1" applyBorder="1"/>
    <x:xf numFmtId="2" fontId="3" fillId="0" borderId="1" xfId="0" applyNumberFormat="1" applyFont="1" applyBorder="1"/>
    <x:xf numFmtId="0" fontId="9" fillId="4" borderId="1" xfId="0" applyFont="1" applyFill="1" applyBorder="1"/>
    <x:xf numFmtId="164" fontId="5" fillId="0" borderId="0" xfId="0" applyNumberFormat="1" applyFont="1" applyAlignment="1">
      <x:alignment horizontal="left" vertical="center"/>
    </x:xf>
    <x:xf numFmtId="2" fontId="4" fillId="8" borderId="1" xfId="0" applyNumberFormat="1" applyFont="1" applyFill="1" applyBorder="1" applyAlignment="1">
      <x:alignment horizontal="right"/>
    </x:xf>
    <x:xf numFmtId="0" fontId="8" fillId="0" borderId="1" xfId="0" applyFont="1" applyBorder="1"/>
    <x:xf numFmtId="0" fontId="7" fillId="0" borderId="1" xfId="0" applyFont="1" applyBorder="1" applyAlignment="1">
      <x:alignment horizontal="left" vertical="center"/>
    </x:xf>
    <x:xf numFmtId="0" fontId="7" fillId="8" borderId="1" xfId="0" applyFont="1" applyFill="1" applyBorder="1" applyAlignment="1">
      <x:alignment horizontal="left" vertical="center"/>
    </x:xf>
    <x:xf numFmtId="0" fontId="5" fillId="8" borderId="1" xfId="0" applyFont="1" applyFill="1" applyBorder="1" applyAlignment="1">
      <x:alignment horizontal="left" vertical="center"/>
    </x:xf>
    <x:xf numFmtId="0" fontId="5" fillId="5" borderId="2" xfId="0" applyFont="1" applyFill="1" applyBorder="1" applyAlignment="1">
      <x:alignment horizontal="left" vertical="center"/>
    </x:xf>
    <x:xf numFmtId="0" fontId="5" fillId="0" borderId="1" xfId="0" applyFont="1" applyBorder="1" applyAlignment="1">
      <x:alignment horizontal="left" vertical="top" wrapText="1"/>
    </x:xf>
    <x:xf numFmtId="0" fontId="5" fillId="8" borderId="1" xfId="0" applyFont="1" applyFill="1" applyBorder="1"/>
    <x:xf numFmtId="0" fontId="11" fillId="0" borderId="0" xfId="0" applyFont="1" applyAlignment="1">
      <x:alignment horizontal="left" vertical="center"/>
    </x:xf>
    <x:xf numFmtId="2" fontId="3" fillId="0" borderId="0" xfId="0" applyNumberFormat="1" applyFont="1"/>
    <x:xf numFmtId="0" fontId="9" fillId="7" borderId="1" xfId="0" applyFont="1" applyFill="1" applyBorder="1" applyAlignment="1">
      <x:alignment horizontal="center"/>
    </x:xf>
    <x:xf numFmtId="0" fontId="10" fillId="0" borderId="1" xfId="0" applyFont="1" applyBorder="1" applyAlignment="1">
      <x:alignment vertical="top"/>
    </x:xf>
    <x:xf numFmtId="0" fontId="9" fillId="0" borderId="1" xfId="0" applyFont="1" applyBorder="1" applyAlignment="1">
      <x:alignment horizontal="right"/>
    </x:xf>
    <x:xf numFmtId="0" fontId="2" fillId="0" borderId="1" xfId="0" applyFont="1" applyBorder="1"/>
    <x:xf numFmtId="0" fontId="9" fillId="0" borderId="1" xfId="0" applyFont="1" applyBorder="1" applyAlignment="1">
      <x:alignment horizontal="center"/>
    </x:xf>
    <x:xf numFmtId="0" fontId="9" fillId="4" borderId="1" xfId="0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1" xfId="0" applyNumberFormat="1" applyFont="1" applyFill="1" applyBorder="1"/>
    <x:xf numFmtId="0" fontId="12" fillId="9" borderId="1" xfId="0" applyNumberFormat="1" applyFont="1" applyFill="1" applyBorder="1" applyAlignment="1">
      <x:alignment wrapText="1"/>
    </x:xf>
    <x:xf numFmtId="0" fontId="12" fillId="9" borderId="1" xfId="0" applyNumberFormat="1" applyFont="1" applyFill="1" applyBorder="1" applyAlignment="1">
      <x:alignment horizontal="center" wrapText="1"/>
    </x:xf>
    <x:xf numFmtId="0" fontId="12" fillId="9" borderId="1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horizontal="left" vertical="center"/>
    </x:xf>
    <x:xf numFmtId="0" fontId="13" fillId="0" borderId="1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 applyAlignment="1">
      <x:alignment horizontal="right" vertical="center"/>
    </x:xf>
    <x:xf numFmtId="200" fontId="13" fillId="0" borderId="1" xfId="0" applyNumberFormat="1" applyFont="1" applyFill="1" applyBorder="1" applyAlignment="1">
      <x:alignment horizontal="center" vertical="center"/>
    </x:xf>
    <x:xf numFmtId="201" fontId="13" fillId="0" borderId="1" xfId="0" applyNumberFormat="1" applyFont="1" applyFill="1" applyBorder="1" applyAlignment="1">
      <x:alignment horizontal="right" vertical="center"/>
    </x:xf>
    <x:xf numFmtId="202" fontId="13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color rgb="FFA61B1B"/>
      </x:font>
      <x:fill>
        <x:patternFill patternType="solid">
          <x:bgColor rgb="FFFDECEC"/>
        </x:patternFill>
      </x:fill>
    </x:dxf>
    <x:dxf>
      <x:font>
        <x:color rgb="FF1E6A2E"/>
      </x:font>
      <x:fill>
        <x:patternFill patternType="solid">
          <x:bgColor rgb="FFE7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d439bc46d4b3f" /><Relationship Type="http://schemas.openxmlformats.org/officeDocument/2006/relationships/theme" Target="/xl/theme/theme1.xml" Id="R17a6647ce1c14b8b" /><Relationship Type="http://schemas.openxmlformats.org/officeDocument/2006/relationships/sharedStrings" Target="/xl/sharedStrings.xml" Id="R5aafa1c3613b4ae2" /><Relationship Type="http://schemas.openxmlformats.org/officeDocument/2006/relationships/worksheet" Target="/xl/worksheets/sheet1.xml" Id="Ref6df94f6a47492c" /><Relationship Type="http://schemas.openxmlformats.org/officeDocument/2006/relationships/worksheet" Target="/xl/worksheets/sheet2.xml" Id="R0ebf1e427d894381" /><Relationship Type="http://schemas.openxmlformats.org/officeDocument/2006/relationships/worksheet" Target="/xl/worksheets/sheet3.xml" Id="Rc8f7e0c33fb1408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4.3984375" defaultRowHeight="15"/>
  <x:cols>
    <x:col min="1" max="1" width="5.796875" customWidth="1"/>
    <x:col min="2" max="2" width="29.796875" customWidth="1"/>
    <x:col min="3" max="3" width="18.796875" customWidth="1"/>
    <x:col min="4" max="4" width="86.796875" customWidth="1"/>
    <x:col min="5" max="5" width="10.3984375" customWidth="1"/>
    <x:col min="6" max="6" width="7.796875" customWidth="1"/>
    <x:col min="7" max="7" width="7.3984375" customWidth="1"/>
    <x:col min="8" max="8" width="8.3984375" customWidth="1"/>
    <x:col min="9" max="9" width="10.19921875" customWidth="1"/>
    <x:col min="10" max="10" width="7.796875" customWidth="1"/>
    <x:col min="11" max="11" width="20" hidden="0" customWidth="1"/>
    <x:col min="12" max="12" width="24" hidden="0" customWidth="1"/>
    <x:col min="13" max="13" width="30" hidden="0" customWidth="1"/>
    <x:col min="14" max="14" width="14" hidden="0" customWidth="1"/>
    <x:col min="15" max="15" width="14" hidden="0" customWidth="1"/>
    <x:col min="16" max="16" width="13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30" customHeight="1">
      <x:c r="A1" s="1" t="s">
        <x:v>0</x:v>
      </x:c>
      <x:c r="B1" s="1" t="s">
        <x:v>1</x:v>
      </x:c>
      <x:c r="C1" s="1"/>
      <x:c r="D1" s="1" t="s">
        <x:v>2</x:v>
      </x:c>
      <x:c r="E1" s="4" t="s">
        <x:v>3</x:v>
      </x:c>
      <x:c r="F1" s="6" t="s">
        <x:v>4</x:v>
      </x:c>
      <x:c r="G1" s="6" t="s">
        <x:v>5</x:v>
      </x:c>
      <x:c r="H1" s="6" t="s">
        <x:v>6</x:v>
      </x:c>
      <x:c r="I1" s="6" t="s">
        <x:v>7</x:v>
      </x:c>
      <x:c r="J1" s="7" t="s">
        <x:v>8</x:v>
      </x:c>
      <x:c r="K1" s="49" t="str">
        <x:v>Group</x:v>
      </x:c>
      <x:c r="L1" s="49" t="str">
        <x:v>Subgroup</x:v>
      </x:c>
      <x:c r="M1" s="49" t="str">
        <x:v>Type</x:v>
      </x:c>
      <x:c r="N1" s="49" t="str">
        <x:v>Brand</x:v>
      </x:c>
      <x:c r="O1" s="49" t="str">
        <x:v>Thickness (mm)</x:v>
      </x:c>
      <x:c r="P1" s="49" t="str">
        <x:v>Rate Basis</x:v>
      </x:c>
      <x:c r="Q1" s="49" t="str">
        <x:v>Previous Rate</x:v>
      </x:c>
      <x:c r="R1" s="49" t="str">
        <x:v>Current Rate</x:v>
      </x:c>
      <x:c r="S1" s="49" t="str">
        <x:v>Rate Change (₹)</x:v>
      </x:c>
      <x:c r="T1" s="49" t="str">
        <x:v>Rate Change (%)</x:v>
      </x:c>
    </x:row>
    <x:row r="2" ht="18" customHeight="1">
      <x:c r="A2" s="9">
        <x:v>1</x:v>
      </x:c>
      <x:c r="B2" s="10" t="s">
        <x:v>9</x:v>
      </x:c>
      <x:c r="C2" s="10"/>
      <x:c r="D2" s="12" t="s">
        <x:v>10</x:v>
      </x:c>
      <x:c r="E2" s="14"/>
      <x:c r="F2" s="15">
        <x:v>2404</x:v>
      </x:c>
      <x:c r="G2" s="14" t="s">
        <x:v>11</x:v>
      </x:c>
      <x:c r="H2" s="17">
        <x:v>32</x:v>
      </x:c>
      <x:c r="I2" s="24" t="n">
        <x:f t="shared" ref="I2:I10" si="0">J2*32.04</x:f>
        <x:v>2306.88</x:v>
      </x:c>
      <x:c r="J2" s="25">
        <x:v>72</x:v>
      </x:c>
      <x:c r="K2" s="53" t="str">
        <x:v>Board</x:v>
      </x:c>
      <x:c r="L2" s="53" t="str">
        <x:v>HDHMR BSL</x:v>
      </x:c>
      <x:c r="M2" s="53" t="str">
        <x:v>Carcass Prelam</x:v>
      </x:c>
      <x:c r="N2" s="53" t="str"/>
      <x:c r="O2" s="56" t="n">
        <x:v>18</x:v>
      </x:c>
      <x:c r="P2" s="54" t="str">
        <x:v>SQFT</x:v>
      </x:c>
      <x:c r="Q2" s="57" t="str"/>
      <x:c r="R2" s="57" t="n">
        <x:f>IF(J2="","",J2)</x:f>
        <x:v>72</x:v>
      </x:c>
      <x:c r="S2" s="57" t="str">
        <x:f>IF(OR(Q2="",R2=""),"",R2-Q2)</x:f>
      </x:c>
      <x:c r="T2" s="58" t="str">
        <x:f>IF(OR(Q2="",R2="",Q2=0),"",S2/Q2)</x:f>
      </x:c>
    </x:row>
    <x:row r="3" ht="18" customHeight="1">
      <x:c r="A3" s="9" t="n">
        <x:f t="shared" ref="A3:A123" si="1">A2+1</x:f>
        <x:v>2</x:v>
      </x:c>
      <x:c r="B3" s="10" t="s">
        <x:v>9</x:v>
      </x:c>
      <x:c r="C3" s="10"/>
      <x:c r="D3" s="12" t="s">
        <x:v>12</x:v>
      </x:c>
      <x:c r="E3" s="14"/>
      <x:c r="F3" s="15">
        <x:v>2203</x:v>
      </x:c>
      <x:c r="G3" s="14" t="s">
        <x:v>11</x:v>
      </x:c>
      <x:c r="H3" s="17">
        <x:v>32</x:v>
      </x:c>
      <x:c r="I3" s="24">
        <x:f t="shared" si="0"/>
        <x:v>2114.64</x:v>
      </x:c>
      <x:c r="J3" s="25">
        <x:v>66</x:v>
      </x:c>
      <x:c r="K3" s="53" t="str">
        <x:v>Board</x:v>
      </x:c>
      <x:c r="L3" s="53" t="str">
        <x:v>HDHMR SF BSL</x:v>
      </x:c>
      <x:c r="M3" s="53" t="str">
        <x:v>Carcass Prelam</x:v>
      </x:c>
      <x:c r="N3" s="53" t="str"/>
      <x:c r="O3" s="56" t="n">
        <x:v>16</x:v>
      </x:c>
      <x:c r="P3" s="54" t="str">
        <x:v>SQFT</x:v>
      </x:c>
      <x:c r="Q3" s="57" t="str"/>
      <x:c r="R3" s="57" t="n">
        <x:f>IF(J3="","",J3)</x:f>
        <x:v>66</x:v>
      </x:c>
      <x:c r="S3" s="57" t="str">
        <x:f>IF(OR(Q3="",R3=""),"",R3-Q3)</x:f>
      </x:c>
      <x:c r="T3" s="58" t="str">
        <x:f>IF(OR(Q3="",R3="",Q3=0),"",S3/Q3)</x:f>
      </x:c>
    </x:row>
    <x:row r="4" ht="18" customHeight="1">
      <x:c r="A4" s="9">
        <x:f t="shared" si="1"/>
        <x:v>3</x:v>
      </x:c>
      <x:c r="B4" s="10" t="s">
        <x:v>9</x:v>
      </x:c>
      <x:c r="C4" s="10"/>
      <x:c r="D4" s="12" t="s">
        <x:v>13</x:v>
      </x:c>
      <x:c r="E4" s="14"/>
      <x:c r="F4" s="15">
        <x:v>1436.67</x:v>
      </x:c>
      <x:c r="G4" s="14" t="s">
        <x:v>11</x:v>
      </x:c>
      <x:c r="H4" s="17">
        <x:v>32</x:v>
      </x:c>
      <x:c r="I4" s="24">
        <x:f t="shared" si="0"/>
        <x:v>1122.6815999999999</x:v>
      </x:c>
      <x:c r="J4" s="25">
        <x:v>35.04</x:v>
      </x:c>
      <x:c r="K4" s="53" t="str">
        <x:v>Board</x:v>
      </x:c>
      <x:c r="L4" s="53" t="str">
        <x:v>HDHMR SF BSL</x:v>
      </x:c>
      <x:c r="M4" s="53" t="str">
        <x:v>Carcass Prelam</x:v>
      </x:c>
      <x:c r="N4" s="53" t="str"/>
      <x:c r="O4" s="56" t="n">
        <x:v>8</x:v>
      </x:c>
      <x:c r="P4" s="54" t="str">
        <x:v>SQFT</x:v>
      </x:c>
      <x:c r="Q4" s="57" t="str"/>
      <x:c r="R4" s="57" t="n">
        <x:f>IF(J4="","",J4)</x:f>
        <x:v>35.04</x:v>
      </x:c>
      <x:c r="S4" s="57" t="str">
        <x:f>IF(OR(Q4="",R4=""),"",R4-Q4)</x:f>
      </x:c>
      <x:c r="T4" s="58" t="str">
        <x:f>IF(OR(Q4="",R4="",Q4=0),"",S4/Q4)</x:f>
      </x:c>
    </x:row>
    <x:row r="5" ht="18" customHeight="1">
      <x:c r="A5" s="9">
        <x:f t="shared" si="1"/>
        <x:v>4</x:v>
      </x:c>
      <x:c r="B5" s="10" t="s">
        <x:v>14</x:v>
      </x:c>
      <x:c r="C5" s="10"/>
      <x:c r="D5" s="12" t="s">
        <x:v>15</x:v>
      </x:c>
      <x:c r="E5" s="14"/>
      <x:c r="F5" s="15">
        <x:v>1202</x:v>
      </x:c>
      <x:c r="G5" s="14" t="s">
        <x:v>11</x:v>
      </x:c>
      <x:c r="H5" s="17">
        <x:v>32</x:v>
      </x:c>
      <x:c r="I5" s="24">
        <x:f t="shared" si="0"/>
        <x:v>1153.44</x:v>
      </x:c>
      <x:c r="J5" s="25">
        <x:v>36</x:v>
      </x:c>
      <x:c r="K5" s="53" t="str">
        <x:v>Board</x:v>
      </x:c>
      <x:c r="L5" s="53" t="str">
        <x:v>Particle Board BSL</x:v>
      </x:c>
      <x:c r="M5" s="53" t="str">
        <x:v>Carcass Prelam</x:v>
      </x:c>
      <x:c r="N5" s="53" t="str"/>
      <x:c r="O5" s="56" t="n">
        <x:v>18</x:v>
      </x:c>
      <x:c r="P5" s="54" t="str">
        <x:v>SQFT</x:v>
      </x:c>
      <x:c r="Q5" s="57" t="str"/>
      <x:c r="R5" s="57" t="n">
        <x:f>IF(J5="","",J5)</x:f>
        <x:v>36</x:v>
      </x:c>
      <x:c r="S5" s="57" t="str">
        <x:f>IF(OR(Q5="",R5=""),"",R5-Q5)</x:f>
      </x:c>
      <x:c r="T5" s="58" t="str">
        <x:f>IF(OR(Q5="",R5="",Q5=0),"",S5/Q5)</x:f>
      </x:c>
    </x:row>
    <x:row r="6" ht="18" customHeight="1">
      <x:c r="A6" s="9">
        <x:f t="shared" si="1"/>
        <x:v>5</x:v>
      </x:c>
      <x:c r="B6" s="10" t="s">
        <x:v>14</x:v>
      </x:c>
      <x:c r="C6" s="10"/>
      <x:c r="D6" s="12" t="s">
        <x:v>16</x:v>
      </x:c>
      <x:c r="E6" s="14"/>
      <x:c r="F6" s="15">
        <x:v>943</x:v>
      </x:c>
      <x:c r="G6" s="14" t="s">
        <x:v>11</x:v>
      </x:c>
      <x:c r="H6" s="17">
        <x:v>32</x:v>
      </x:c>
      <x:c r="I6" s="24">
        <x:f t="shared" si="0"/>
        <x:v>1062.126</x:v>
      </x:c>
      <x:c r="J6" s="25">
        <x:v>33.15</x:v>
      </x:c>
      <x:c r="K6" s="53" t="str">
        <x:v>Board</x:v>
      </x:c>
      <x:c r="L6" s="53" t="str">
        <x:v>Particle Board BSL</x:v>
      </x:c>
      <x:c r="M6" s="53" t="str">
        <x:v>Carcass Prelam</x:v>
      </x:c>
      <x:c r="N6" s="53" t="str"/>
      <x:c r="O6" s="56" t="n">
        <x:v>16</x:v>
      </x:c>
      <x:c r="P6" s="54" t="str">
        <x:v>SQFT</x:v>
      </x:c>
      <x:c r="Q6" s="57" t="str"/>
      <x:c r="R6" s="57" t="n">
        <x:f>IF(J6="","",J6)</x:f>
        <x:v>33.15</x:v>
      </x:c>
      <x:c r="S6" s="57" t="str">
        <x:f>IF(OR(Q6="",R6=""),"",R6-Q6)</x:f>
      </x:c>
      <x:c r="T6" s="58" t="str">
        <x:f>IF(OR(Q6="",R6="",Q6=0),"",S6/Q6)</x:f>
      </x:c>
    </x:row>
    <x:row r="7" ht="18" customHeight="1">
      <x:c r="A7" s="9">
        <x:f t="shared" si="1"/>
        <x:v>6</x:v>
      </x:c>
      <x:c r="B7" s="10" t="s">
        <x:v>14</x:v>
      </x:c>
      <x:c r="C7" s="10"/>
      <x:c r="D7" s="12" t="s">
        <x:v>17</x:v>
      </x:c>
      <x:c r="E7" s="14"/>
      <x:c r="F7" s="15">
        <x:v>857</x:v>
      </x:c>
      <x:c r="G7" s="14" t="s">
        <x:v>11</x:v>
      </x:c>
      <x:c r="H7" s="17">
        <x:v>32</x:v>
      </x:c>
      <x:c r="I7" s="24">
        <x:f t="shared" si="0"/>
        <x:v>825.03</x:v>
      </x:c>
      <x:c r="J7" s="25">
        <x:v>25.75</x:v>
      </x:c>
      <x:c r="K7" s="53" t="str">
        <x:v>Board</x:v>
      </x:c>
      <x:c r="L7" s="53" t="str">
        <x:v>Particle Board BSL</x:v>
      </x:c>
      <x:c r="M7" s="53" t="str">
        <x:v>Carcass Prelam</x:v>
      </x:c>
      <x:c r="N7" s="53" t="str"/>
      <x:c r="O7" s="56" t="n">
        <x:v>8</x:v>
      </x:c>
      <x:c r="P7" s="54" t="str">
        <x:v>SQFT</x:v>
      </x:c>
      <x:c r="Q7" s="57" t="str"/>
      <x:c r="R7" s="57" t="n">
        <x:f>IF(J7="","",J7)</x:f>
        <x:v>25.75</x:v>
      </x:c>
      <x:c r="S7" s="57" t="str">
        <x:f>IF(OR(Q7="",R7=""),"",R7-Q7)</x:f>
      </x:c>
      <x:c r="T7" s="58" t="str">
        <x:f>IF(OR(Q7="",R7="",Q7=0),"",S7/Q7)</x:f>
      </x:c>
    </x:row>
    <x:row r="8" ht="18" customHeight="1">
      <x:c r="A8" s="9">
        <x:f t="shared" si="1"/>
        <x:v>7</x:v>
      </x:c>
      <x:c r="B8" s="10" t="s">
        <x:v>18</x:v>
      </x:c>
      <x:c r="C8" s="10"/>
      <x:c r="D8" s="12" t="s">
        <x:v>19</x:v>
      </x:c>
      <x:c r="E8" s="14"/>
      <x:c r="F8" s="15"/>
      <x:c r="G8" s="14" t="s">
        <x:v>11</x:v>
      </x:c>
      <x:c r="H8" s="17">
        <x:v>32</x:v>
      </x:c>
      <x:c r="I8" s="24">
        <x:f t="shared" si="0"/>
        <x:v>1784.6280000000002</x:v>
      </x:c>
      <x:c r="J8" s="28">
        <x:v>55.7</x:v>
      </x:c>
      <x:c r="K8" s="53" t="str">
        <x:v>Board</x:v>
      </x:c>
      <x:c r="L8" s="53" t="str">
        <x:v>MDF BSL</x:v>
      </x:c>
      <x:c r="M8" s="53" t="str">
        <x:v>Carcass Prelam</x:v>
      </x:c>
      <x:c r="N8" s="53" t="str"/>
      <x:c r="O8" s="56" t="n">
        <x:v>18</x:v>
      </x:c>
      <x:c r="P8" s="54" t="str">
        <x:v>SQFT</x:v>
      </x:c>
      <x:c r="Q8" s="57" t="str"/>
      <x:c r="R8" s="57" t="n">
        <x:f>IF(J8="","",J8)</x:f>
        <x:v>55.7</x:v>
      </x:c>
      <x:c r="S8" s="57" t="str">
        <x:f>IF(OR(Q8="",R8=""),"",R8-Q8)</x:f>
      </x:c>
      <x:c r="T8" s="58" t="str">
        <x:f>IF(OR(Q8="",R8="",Q8=0),"",S8/Q8)</x:f>
      </x:c>
    </x:row>
    <x:row r="9" ht="18" customHeight="1">
      <x:c r="A9" s="9">
        <x:f t="shared" si="1"/>
        <x:v>8</x:v>
      </x:c>
      <x:c r="B9" s="10" t="s">
        <x:v>18</x:v>
      </x:c>
      <x:c r="C9" s="10"/>
      <x:c r="D9" s="12" t="s">
        <x:v>20</x:v>
      </x:c>
      <x:c r="E9" s="14"/>
      <x:c r="F9" s="15"/>
      <x:c r="G9" s="14" t="s">
        <x:v>11</x:v>
      </x:c>
      <x:c r="H9" s="17">
        <x:v>32</x:v>
      </x:c>
      <x:c r="I9" s="24">
        <x:f t="shared" si="0"/>
        <x:v>1666.08</x:v>
      </x:c>
      <x:c r="J9" s="25">
        <x:v>52</x:v>
      </x:c>
      <x:c r="K9" s="53" t="str">
        <x:v>Board</x:v>
      </x:c>
      <x:c r="L9" s="53" t="str">
        <x:v>MDF SF BSL</x:v>
      </x:c>
      <x:c r="M9" s="53" t="str">
        <x:v>Carcass Prelam</x:v>
      </x:c>
      <x:c r="N9" s="53" t="str"/>
      <x:c r="O9" s="56" t="n">
        <x:v>16</x:v>
      </x:c>
      <x:c r="P9" s="54" t="str">
        <x:v>SQFT</x:v>
      </x:c>
      <x:c r="Q9" s="57" t="str"/>
      <x:c r="R9" s="57" t="n">
        <x:f>IF(J9="","",J9)</x:f>
        <x:v>52</x:v>
      </x:c>
      <x:c r="S9" s="57" t="str">
        <x:f>IF(OR(Q9="",R9=""),"",R9-Q9)</x:f>
      </x:c>
      <x:c r="T9" s="58" t="str">
        <x:f>IF(OR(Q9="",R9="",Q9=0),"",S9/Q9)</x:f>
      </x:c>
    </x:row>
    <x:row r="10" ht="18" customHeight="1">
      <x:c r="A10" s="9">
        <x:f t="shared" si="1"/>
        <x:v>9</x:v>
      </x:c>
      <x:c r="B10" s="10" t="s">
        <x:v>18</x:v>
      </x:c>
      <x:c r="C10" s="10"/>
      <x:c r="D10" s="12" t="s">
        <x:v>21</x:v>
      </x:c>
      <x:c r="E10" s="14"/>
      <x:c r="F10" s="15"/>
      <x:c r="G10" s="14" t="s">
        <x:v>11</x:v>
      </x:c>
      <x:c r="H10" s="17">
        <x:v>32</x:v>
      </x:c>
      <x:c r="I10" s="24">
        <x:f t="shared" si="0"/>
        <x:v>961.19999999999993</x:v>
      </x:c>
      <x:c r="J10" s="25">
        <x:v>30</x:v>
      </x:c>
      <x:c r="K10" s="53" t="str">
        <x:v>Board</x:v>
      </x:c>
      <x:c r="L10" s="53" t="str">
        <x:v>MDF SF BSL</x:v>
      </x:c>
      <x:c r="M10" s="53" t="str">
        <x:v>Carcass Prelam</x:v>
      </x:c>
      <x:c r="N10" s="53" t="str"/>
      <x:c r="O10" s="56" t="n">
        <x:v>8</x:v>
      </x:c>
      <x:c r="P10" s="54" t="str">
        <x:v>SQFT</x:v>
      </x:c>
      <x:c r="Q10" s="57" t="str"/>
      <x:c r="R10" s="57" t="n">
        <x:f>IF(J10="","",J10)</x:f>
        <x:v>30</x:v>
      </x:c>
      <x:c r="S10" s="57" t="str">
        <x:f>IF(OR(Q10="",R10=""),"",R10-Q10)</x:f>
      </x:c>
      <x:c r="T10" s="58" t="str">
        <x:f>IF(OR(Q10="",R10="",Q10=0),"",S10/Q10)</x:f>
      </x:c>
    </x:row>
    <x:row r="11" ht="18" customHeight="1">
      <x:c r="A11" s="9">
        <x:f t="shared" si="1"/>
        <x:v>10</x:v>
      </x:c>
      <x:c r="B11" s="10" t="s">
        <x:v>22</x:v>
      </x:c>
      <x:c r="C11" s="10"/>
      <x:c r="D11" s="12" t="s">
        <x:v>23</x:v>
      </x:c>
      <x:c r="E11" s="14" t="s">
        <x:v>24</x:v>
      </x:c>
      <x:c r="F11" s="15">
        <x:v>3096</x:v>
      </x:c>
      <x:c r="G11" s="14" t="s">
        <x:v>11</x:v>
      </x:c>
      <x:c r="H11" s="17">
        <x:v>32</x:v>
      </x:c>
      <x:c r="I11" s="24" t="n">
        <x:f>2083.91+490+490</x:f>
        <x:v>3063.91</x:v>
      </x:c>
      <x:c r="J11" s="25" t="n">
        <x:f t="shared" ref="J11:J22" si="2">I11/32.04</x:f>
        <x:v>95.6276529338327</x:v>
      </x:c>
      <x:c r="K11" s="53" t="str">
        <x:v>Board</x:v>
      </x:c>
      <x:c r="L11" s="53" t="str">
        <x:v>HDHMR BSL</x:v>
      </x:c>
      <x:c r="M11" s="53" t="str">
        <x:v>Carcass Postlam</x:v>
      </x:c>
      <x:c r="N11" s="53" t="str"/>
      <x:c r="O11" s="56" t="n">
        <x:v>18</x:v>
      </x:c>
      <x:c r="P11" s="54" t="str">
        <x:v>SQFT</x:v>
      </x:c>
      <x:c r="Q11" s="57" t="str"/>
      <x:c r="R11" s="57" t="n">
        <x:f>IF(J11="","",J11)</x:f>
        <x:v>95.6276529338327</x:v>
      </x:c>
      <x:c r="S11" s="57" t="str">
        <x:f>IF(OR(Q11="",R11=""),"",R11-Q11)</x:f>
      </x:c>
      <x:c r="T11" s="58" t="str">
        <x:f>IF(OR(Q11="",R11="",Q11=0),"",S11/Q11)</x:f>
      </x:c>
    </x:row>
    <x:row r="12" ht="18" customHeight="1">
      <x:c r="A12" s="9">
        <x:f t="shared" si="1"/>
        <x:v>11</x:v>
      </x:c>
      <x:c r="B12" s="10" t="s">
        <x:v>22</x:v>
      </x:c>
      <x:c r="C12" s="10"/>
      <x:c r="D12" s="12" t="s">
        <x:v>25</x:v>
      </x:c>
      <x:c r="E12" s="14" t="s">
        <x:v>24</x:v>
      </x:c>
      <x:c r="F12" s="15"/>
      <x:c r="G12" s="14" t="s">
        <x:v>11</x:v>
      </x:c>
      <x:c r="H12" s="17">
        <x:v>32</x:v>
      </x:c>
      <x:c r="I12" s="24" t="n">
        <x:f>2084+490+490</x:f>
        <x:v>3064</x:v>
      </x:c>
      <x:c r="J12" s="25">
        <x:f t="shared" si="2"/>
        <x:v>95.630461922596751</x:v>
      </x:c>
      <x:c r="K12" s="53" t="str">
        <x:v>Board</x:v>
      </x:c>
      <x:c r="L12" s="53" t="str">
        <x:v>HDHMR BSL</x:v>
      </x:c>
      <x:c r="M12" s="53" t="str">
        <x:v>Carcass Postlam</x:v>
      </x:c>
      <x:c r="N12" s="53" t="str"/>
      <x:c r="O12" s="56" t="n">
        <x:v>16</x:v>
      </x:c>
      <x:c r="P12" s="54" t="str">
        <x:v>SQFT</x:v>
      </x:c>
      <x:c r="Q12" s="57" t="str"/>
      <x:c r="R12" s="57" t="n">
        <x:f>IF(J12="","",J12)</x:f>
        <x:v>95.63046192259675</x:v>
      </x:c>
      <x:c r="S12" s="57" t="str">
        <x:f>IF(OR(Q12="",R12=""),"",R12-Q12)</x:f>
      </x:c>
      <x:c r="T12" s="58" t="str">
        <x:f>IF(OR(Q12="",R12="",Q12=0),"",S12/Q12)</x:f>
      </x:c>
    </x:row>
    <x:row r="13" ht="18" customHeight="1">
      <x:c r="A13" s="9">
        <x:f t="shared" si="1"/>
        <x:v>12</x:v>
      </x:c>
      <x:c r="B13" s="10" t="s">
        <x:v>22</x:v>
      </x:c>
      <x:c r="C13" s="10"/>
      <x:c r="D13" s="12" t="s">
        <x:v>26</x:v>
      </x:c>
      <x:c r="E13" s="14" t="s">
        <x:v>24</x:v>
      </x:c>
      <x:c r="F13" s="15">
        <x:v>1885</x:v>
      </x:c>
      <x:c r="G13" s="14" t="s">
        <x:v>11</x:v>
      </x:c>
      <x:c r="H13" s="17">
        <x:v>32</x:v>
      </x:c>
      <x:c r="I13" s="24" t="n">
        <x:f>998+490+490</x:f>
        <x:v>1978</x:v>
      </x:c>
      <x:c r="J13" s="25">
        <x:f t="shared" si="2"/>
        <x:v>61.73533083645443</x:v>
      </x:c>
      <x:c r="K13" s="53" t="str">
        <x:v>Board</x:v>
      </x:c>
      <x:c r="L13" s="53" t="str">
        <x:v>HDHMR BSL</x:v>
      </x:c>
      <x:c r="M13" s="53" t="str">
        <x:v>Carcass Postlam</x:v>
      </x:c>
      <x:c r="N13" s="53" t="str"/>
      <x:c r="O13" s="56" t="n">
        <x:v>9</x:v>
      </x:c>
      <x:c r="P13" s="54" t="str">
        <x:v>SQFT</x:v>
      </x:c>
      <x:c r="Q13" s="57" t="str"/>
      <x:c r="R13" s="57" t="n">
        <x:f>IF(J13="","",J13)</x:f>
        <x:v>61.73533083645443</x:v>
      </x:c>
      <x:c r="S13" s="57" t="str">
        <x:f>IF(OR(Q13="",R13=""),"",R13-Q13)</x:f>
      </x:c>
      <x:c r="T13" s="58" t="str">
        <x:f>IF(OR(Q13="",R13="",Q13=0),"",S13/Q13)</x:f>
      </x:c>
    </x:row>
    <x:row r="14" ht="18" customHeight="1">
      <x:c r="A14" s="9">
        <x:f t="shared" si="1"/>
        <x:v>13</x:v>
      </x:c>
      <x:c r="B14" s="10" t="s">
        <x:v>27</x:v>
      </x:c>
      <x:c r="C14" s="10"/>
      <x:c r="D14" s="12" t="s">
        <x:v>28</x:v>
      </x:c>
      <x:c r="E14" s="14" t="s">
        <x:v>24</x:v>
      </x:c>
      <x:c r="F14" s="15">
        <x:v>1780</x:v>
      </x:c>
      <x:c r="G14" s="14" t="s">
        <x:v>11</x:v>
      </x:c>
      <x:c r="H14" s="17">
        <x:v>32</x:v>
      </x:c>
      <x:c r="I14" s="24" t="n">
        <x:f t="shared" ref="I14:I15" si="3">898+490+1800</x:f>
        <x:v>3188</x:v>
      </x:c>
      <x:c r="J14" s="25">
        <x:f t="shared" si="2"/>
        <x:v>99.500624219725353</x:v>
      </x:c>
      <x:c r="K14" s="53" t="str">
        <x:v>Board</x:v>
      </x:c>
      <x:c r="L14" s="53" t="str">
        <x:v>Particle Board BSL</x:v>
      </x:c>
      <x:c r="M14" s="53" t="str">
        <x:v>Carcass Postlam</x:v>
      </x:c>
      <x:c r="N14" s="53" t="str"/>
      <x:c r="O14" s="56" t="n">
        <x:v>18</x:v>
      </x:c>
      <x:c r="P14" s="54" t="str">
        <x:v>SQFT</x:v>
      </x:c>
      <x:c r="Q14" s="57" t="str"/>
      <x:c r="R14" s="57" t="n">
        <x:f>IF(J14="","",J14)</x:f>
        <x:v>99.50062421972535</x:v>
      </x:c>
      <x:c r="S14" s="57" t="str">
        <x:f>IF(OR(Q14="",R14=""),"",R14-Q14)</x:f>
      </x:c>
      <x:c r="T14" s="58" t="str">
        <x:f>IF(OR(Q14="",R14="",Q14=0),"",S14/Q14)</x:f>
      </x:c>
    </x:row>
    <x:row r="15" ht="18" customHeight="1">
      <x:c r="A15" s="9">
        <x:f t="shared" si="1"/>
        <x:v>14</x:v>
      </x:c>
      <x:c r="B15" s="10" t="s">
        <x:v>27</x:v>
      </x:c>
      <x:c r="C15" s="10"/>
      <x:c r="D15" s="12" t="s">
        <x:v>29</x:v>
      </x:c>
      <x:c r="E15" s="14" t="s">
        <x:v>24</x:v>
      </x:c>
      <x:c r="F15" s="15"/>
      <x:c r="G15" s="14" t="s">
        <x:v>11</x:v>
      </x:c>
      <x:c r="H15" s="17">
        <x:v>32</x:v>
      </x:c>
      <x:c r="I15" s="24">
        <x:f t="shared" si="3"/>
        <x:v>3188</x:v>
      </x:c>
      <x:c r="J15" s="25">
        <x:f t="shared" si="2"/>
        <x:v>99.500624219725353</x:v>
      </x:c>
      <x:c r="K15" s="53" t="str">
        <x:v>Board</x:v>
      </x:c>
      <x:c r="L15" s="53" t="str">
        <x:v>Particle Board BSL</x:v>
      </x:c>
      <x:c r="M15" s="53" t="str">
        <x:v>Carcass Postlam</x:v>
      </x:c>
      <x:c r="N15" s="53" t="str"/>
      <x:c r="O15" s="56" t="n">
        <x:v>16</x:v>
      </x:c>
      <x:c r="P15" s="54" t="str">
        <x:v>SQFT</x:v>
      </x:c>
      <x:c r="Q15" s="57" t="str"/>
      <x:c r="R15" s="57" t="n">
        <x:f>IF(J15="","",J15)</x:f>
        <x:v>99.50062421972535</x:v>
      </x:c>
      <x:c r="S15" s="57" t="str">
        <x:f>IF(OR(Q15="",R15=""),"",R15-Q15)</x:f>
      </x:c>
      <x:c r="T15" s="58" t="str">
        <x:f>IF(OR(Q15="",R15="",Q15=0),"",S15/Q15)</x:f>
      </x:c>
    </x:row>
    <x:row r="16" ht="18" customHeight="1">
      <x:c r="A16" s="9">
        <x:f t="shared" si="1"/>
        <x:v>15</x:v>
      </x:c>
      <x:c r="B16" s="10" t="s">
        <x:v>27</x:v>
      </x:c>
      <x:c r="C16" s="10"/>
      <x:c r="D16" s="12" t="s">
        <x:v>30</x:v>
      </x:c>
      <x:c r="E16" s="14" t="s">
        <x:v>24</x:v>
      </x:c>
      <x:c r="F16" s="15">
        <x:v>1524</x:v>
      </x:c>
      <x:c r="G16" s="14" t="s">
        <x:v>11</x:v>
      </x:c>
      <x:c r="H16" s="17">
        <x:v>32</x:v>
      </x:c>
      <x:c r="I16" s="24" t="n">
        <x:f>672</x:f>
        <x:v>672</x:v>
      </x:c>
      <x:c r="J16" s="25">
        <x:f t="shared" si="2"/>
        <x:v>20.973782771535582</x:v>
      </x:c>
      <x:c r="K16" s="53" t="str">
        <x:v>Board</x:v>
      </x:c>
      <x:c r="L16" s="53" t="str">
        <x:v>Particle Board BSL</x:v>
      </x:c>
      <x:c r="M16" s="53" t="str">
        <x:v>Carcass Postlam</x:v>
      </x:c>
      <x:c r="N16" s="53" t="str"/>
      <x:c r="O16" s="56" t="n">
        <x:v>10</x:v>
      </x:c>
      <x:c r="P16" s="54" t="str">
        <x:v>SQFT</x:v>
      </x:c>
      <x:c r="Q16" s="57" t="str"/>
      <x:c r="R16" s="57" t="n">
        <x:f>IF(J16="","",J16)</x:f>
        <x:v>20.973782771535582</x:v>
      </x:c>
      <x:c r="S16" s="57" t="str">
        <x:f>IF(OR(Q16="",R16=""),"",R16-Q16)</x:f>
      </x:c>
      <x:c r="T16" s="58" t="str">
        <x:f>IF(OR(Q16="",R16="",Q16=0),"",S16/Q16)</x:f>
      </x:c>
    </x:row>
    <x:row r="17" ht="18" customHeight="1">
      <x:c r="A17" s="9">
        <x:f t="shared" si="1"/>
        <x:v>16</x:v>
      </x:c>
      <x:c r="B17" s="10" t="s">
        <x:v>31</x:v>
      </x:c>
      <x:c r="C17" s="10"/>
      <x:c r="D17" s="12" t="s">
        <x:v>32</x:v>
      </x:c>
      <x:c r="E17" s="14" t="s">
        <x:v>24</x:v>
      </x:c>
      <x:c r="F17" s="15">
        <x:v>2340</x:v>
      </x:c>
      <x:c r="G17" s="14" t="s">
        <x:v>11</x:v>
      </x:c>
      <x:c r="H17" s="17">
        <x:v>32</x:v>
      </x:c>
      <x:c r="I17" s="24" t="n">
        <x:f t="shared" ref="I17:I18" si="4">1299+490+490</x:f>
        <x:v>2279</x:v>
      </x:c>
      <x:c r="J17" s="25">
        <x:f t="shared" si="2"/>
        <x:v>71.129837702871413</x:v>
      </x:c>
      <x:c r="K17" s="53" t="str">
        <x:v>Board</x:v>
      </x:c>
      <x:c r="L17" s="53" t="str">
        <x:v>MDF BSL</x:v>
      </x:c>
      <x:c r="M17" s="53" t="str">
        <x:v>Carcass Postlam</x:v>
      </x:c>
      <x:c r="N17" s="53" t="str"/>
      <x:c r="O17" s="56" t="n">
        <x:v>18</x:v>
      </x:c>
      <x:c r="P17" s="54" t="str">
        <x:v>SQFT</x:v>
      </x:c>
      <x:c r="Q17" s="57" t="str"/>
      <x:c r="R17" s="57" t="n">
        <x:f>IF(J17="","",J17)</x:f>
        <x:v>71.12983770287141</x:v>
      </x:c>
      <x:c r="S17" s="57" t="str">
        <x:f>IF(OR(Q17="",R17=""),"",R17-Q17)</x:f>
      </x:c>
      <x:c r="T17" s="58" t="str">
        <x:f>IF(OR(Q17="",R17="",Q17=0),"",S17/Q17)</x:f>
      </x:c>
    </x:row>
    <x:row r="18" ht="18" customHeight="1">
      <x:c r="A18" s="9">
        <x:f t="shared" si="1"/>
        <x:v>17</x:v>
      </x:c>
      <x:c r="B18" s="10" t="s">
        <x:v>31</x:v>
      </x:c>
      <x:c r="C18" s="10"/>
      <x:c r="D18" s="12" t="s">
        <x:v>33</x:v>
      </x:c>
      <x:c r="E18" s="14" t="s">
        <x:v>24</x:v>
      </x:c>
      <x:c r="F18" s="15"/>
      <x:c r="G18" s="14" t="s">
        <x:v>11</x:v>
      </x:c>
      <x:c r="H18" s="17">
        <x:v>32</x:v>
      </x:c>
      <x:c r="I18" s="24">
        <x:f t="shared" si="4"/>
        <x:v>2279</x:v>
      </x:c>
      <x:c r="J18" s="25">
        <x:f t="shared" si="2"/>
        <x:v>71.129837702871413</x:v>
      </x:c>
      <x:c r="K18" s="53" t="str">
        <x:v>Board</x:v>
      </x:c>
      <x:c r="L18" s="53" t="str">
        <x:v>MDF BSL</x:v>
      </x:c>
      <x:c r="M18" s="53" t="str">
        <x:v>Carcass Postlam</x:v>
      </x:c>
      <x:c r="N18" s="53" t="str"/>
      <x:c r="O18" s="56" t="n">
        <x:v>16</x:v>
      </x:c>
      <x:c r="P18" s="54" t="str">
        <x:v>SQFT</x:v>
      </x:c>
      <x:c r="Q18" s="57" t="str"/>
      <x:c r="R18" s="57" t="n">
        <x:f>IF(J18="","",J18)</x:f>
        <x:v>71.12983770287141</x:v>
      </x:c>
      <x:c r="S18" s="57" t="str">
        <x:f>IF(OR(Q18="",R18=""),"",R18-Q18)</x:f>
      </x:c>
      <x:c r="T18" s="58" t="str">
        <x:f>IF(OR(Q18="",R18="",Q18=0),"",S18/Q18)</x:f>
      </x:c>
    </x:row>
    <x:row r="19" ht="18" customHeight="1">
      <x:c r="A19" s="9">
        <x:f t="shared" si="1"/>
        <x:v>18</x:v>
      </x:c>
      <x:c r="B19" s="10" t="s">
        <x:v>31</x:v>
      </x:c>
      <x:c r="C19" s="10"/>
      <x:c r="D19" s="12" t="s">
        <x:v>34</x:v>
      </x:c>
      <x:c r="E19" s="14" t="s">
        <x:v>24</x:v>
      </x:c>
      <x:c r="F19" s="15"/>
      <x:c r="G19" s="14" t="s">
        <x:v>11</x:v>
      </x:c>
      <x:c r="H19" s="17">
        <x:v>32</x:v>
      </x:c>
      <x:c r="I19" s="24" t="n">
        <x:f>598+490+490</x:f>
        <x:v>1578</x:v>
      </x:c>
      <x:c r="J19" s="25">
        <x:f t="shared" si="2"/>
        <x:v>49.250936329588015</x:v>
      </x:c>
      <x:c r="K19" s="53" t="str">
        <x:v>Board</x:v>
      </x:c>
      <x:c r="L19" s="53" t="str">
        <x:v>MDF BSL</x:v>
      </x:c>
      <x:c r="M19" s="53" t="str">
        <x:v>Carcass Postlam</x:v>
      </x:c>
      <x:c r="N19" s="53" t="str"/>
      <x:c r="O19" s="56" t="n">
        <x:v>8</x:v>
      </x:c>
      <x:c r="P19" s="54" t="str">
        <x:v>SQFT</x:v>
      </x:c>
      <x:c r="Q19" s="57" t="str"/>
      <x:c r="R19" s="57" t="n">
        <x:f>IF(J19="","",J19)</x:f>
        <x:v>49.250936329588015</x:v>
      </x:c>
      <x:c r="S19" s="57" t="str">
        <x:f>IF(OR(Q19="",R19=""),"",R19-Q19)</x:f>
      </x:c>
      <x:c r="T19" s="58" t="str">
        <x:f>IF(OR(Q19="",R19="",Q19=0),"",S19/Q19)</x:f>
      </x:c>
    </x:row>
    <x:row r="20" ht="18" customHeight="1">
      <x:c r="A20" s="9">
        <x:f t="shared" si="1"/>
        <x:v>19</x:v>
      </x:c>
      <x:c r="B20" s="10" t="s">
        <x:v>35</x:v>
      </x:c>
      <x:c r="C20" s="10"/>
      <x:c r="D20" s="12" t="s">
        <x:v>36</x:v>
      </x:c>
      <x:c r="E20" s="14" t="s">
        <x:v>24</x:v>
      </x:c>
      <x:c r="F20" s="15">
        <x:v>3528</x:v>
      </x:c>
      <x:c r="G20" s="14" t="s">
        <x:v>11</x:v>
      </x:c>
      <x:c r="H20" s="17">
        <x:v>32</x:v>
      </x:c>
      <x:c r="I20" s="24" t="n">
        <x:f>2548+490+490</x:f>
        <x:v>3528</x:v>
      </x:c>
      <x:c r="J20" s="25">
        <x:f t="shared" si="2"/>
        <x:v>110.11235955056181</x:v>
      </x:c>
      <x:c r="K20" s="53" t="str">
        <x:v>Board</x:v>
      </x:c>
      <x:c r="L20" s="53" t="str">
        <x:v>BWP Ply BSL</x:v>
      </x:c>
      <x:c r="M20" s="53" t="str">
        <x:v>Carcass Postlam</x:v>
      </x:c>
      <x:c r="N20" s="53" t="str"/>
      <x:c r="O20" s="56" t="n">
        <x:v>18</x:v>
      </x:c>
      <x:c r="P20" s="54" t="str">
        <x:v>SQFT</x:v>
      </x:c>
      <x:c r="Q20" s="57" t="str"/>
      <x:c r="R20" s="57" t="n">
        <x:f>IF(J20="","",J20)</x:f>
        <x:v>110.1123595505618</x:v>
      </x:c>
      <x:c r="S20" s="57" t="str">
        <x:f>IF(OR(Q20="",R20=""),"",R20-Q20)</x:f>
      </x:c>
      <x:c r="T20" s="58" t="str">
        <x:f>IF(OR(Q20="",R20="",Q20=0),"",S20/Q20)</x:f>
      </x:c>
    </x:row>
    <x:row r="21" ht="18" customHeight="1">
      <x:c r="A21" s="9">
        <x:f t="shared" si="1"/>
        <x:v>20</x:v>
      </x:c>
      <x:c r="B21" s="10" t="s">
        <x:v>35</x:v>
      </x:c>
      <x:c r="C21" s="10"/>
      <x:c r="D21" s="12" t="s">
        <x:v>37</x:v>
      </x:c>
      <x:c r="E21" s="14" t="s">
        <x:v>24</x:v>
      </x:c>
      <x:c r="F21" s="15">
        <x:v>3335</x:v>
      </x:c>
      <x:c r="G21" s="14" t="s">
        <x:v>11</x:v>
      </x:c>
      <x:c r="H21" s="17">
        <x:v>32</x:v>
      </x:c>
      <x:c r="I21" s="24" t="n">
        <x:f>2069.58+490+490</x:f>
        <x:v>3049.58</x:v>
      </x:c>
      <x:c r="J21" s="25">
        <x:f t="shared" si="2"/>
        <x:v>95.180399500624219</x:v>
      </x:c>
      <x:c r="K21" s="53" t="str">
        <x:v>Board</x:v>
      </x:c>
      <x:c r="L21" s="53" t="str">
        <x:v>BWP Ply BSL</x:v>
      </x:c>
      <x:c r="M21" s="53" t="str">
        <x:v>Carcass Postlam</x:v>
      </x:c>
      <x:c r="N21" s="53" t="str"/>
      <x:c r="O21" s="56" t="n">
        <x:v>15</x:v>
      </x:c>
      <x:c r="P21" s="54" t="str">
        <x:v>SQFT</x:v>
      </x:c>
      <x:c r="Q21" s="57" t="str"/>
      <x:c r="R21" s="57" t="n">
        <x:f>IF(J21="","",J21)</x:f>
        <x:v>95.18039950062422</x:v>
      </x:c>
      <x:c r="S21" s="57" t="str">
        <x:f>IF(OR(Q21="",R21=""),"",R21-Q21)</x:f>
      </x:c>
      <x:c r="T21" s="58" t="str">
        <x:f>IF(OR(Q21="",R21="",Q21=0),"",S21/Q21)</x:f>
      </x:c>
    </x:row>
    <x:row r="22" ht="18" customHeight="1">
      <x:c r="A22" s="9">
        <x:f t="shared" si="1"/>
        <x:v>21</x:v>
      </x:c>
      <x:c r="B22" s="10" t="s">
        <x:v>35</x:v>
      </x:c>
      <x:c r="C22" s="10"/>
      <x:c r="D22" s="12" t="s">
        <x:v>38</x:v>
      </x:c>
      <x:c r="E22" s="14" t="s">
        <x:v>24</x:v>
      </x:c>
      <x:c r="F22" s="15">
        <x:v>2132</x:v>
      </x:c>
      <x:c r="G22" s="14" t="s">
        <x:v>11</x:v>
      </x:c>
      <x:c r="H22" s="17">
        <x:v>32</x:v>
      </x:c>
      <x:c r="I22" s="24" t="n">
        <x:f>1350+490+490</x:f>
        <x:v>2330</x:v>
      </x:c>
      <x:c r="J22" s="25">
        <x:f t="shared" si="2"/>
        <x:v>72.721598002496876</x:v>
      </x:c>
      <x:c r="K22" s="53" t="str">
        <x:v>Board</x:v>
      </x:c>
      <x:c r="L22" s="53" t="str">
        <x:v>Plywood BSL</x:v>
      </x:c>
      <x:c r="M22" s="53" t="str">
        <x:v>Carcass Postlam</x:v>
      </x:c>
      <x:c r="N22" s="53" t="str"/>
      <x:c r="O22" s="56" t="n">
        <x:v>8</x:v>
      </x:c>
      <x:c r="P22" s="54" t="str">
        <x:v>SQFT</x:v>
      </x:c>
      <x:c r="Q22" s="57" t="str"/>
      <x:c r="R22" s="57" t="n">
        <x:f>IF(J22="","",J22)</x:f>
        <x:v>72.72159800249688</x:v>
      </x:c>
      <x:c r="S22" s="57" t="str">
        <x:f>IF(OR(Q22="",R22=""),"",R22-Q22)</x:f>
      </x:c>
      <x:c r="T22" s="58" t="str">
        <x:f>IF(OR(Q22="",R22="",Q22=0),"",S22/Q22)</x:f>
      </x:c>
    </x:row>
    <x:row r="23" ht="18" customHeight="1">
      <x:c r="A23" s="9">
        <x:f t="shared" si="1"/>
        <x:v>22</x:v>
      </x:c>
      <x:c r="B23" s="10" t="s">
        <x:v>39</x:v>
      </x:c>
      <x:c r="C23" s="10"/>
      <x:c r="D23" s="12" t="s">
        <x:v>40</x:v>
      </x:c>
      <x:c r="E23" s="14"/>
      <x:c r="F23" s="15">
        <x:v>6</x:v>
      </x:c>
      <x:c r="G23" s="14" t="s">
        <x:v>41</x:v>
      </x:c>
      <x:c r="H23" s="29"/>
      <x:c r="I23" s="24">
        <x:v>6</x:v>
      </x:c>
      <x:c r="J23" s="25"/>
      <x:c r="K23" s="53" t="str">
        <x:v>Edge Band</x:v>
      </x:c>
      <x:c r="L23" s="53" t="str">
        <x:v>Carcass</x:v>
      </x:c>
      <x:c r="M23" s="53" t="str">
        <x:v>Matt</x:v>
      </x:c>
      <x:c r="N23" s="53" t="str"/>
      <x:c r="O23" s="56" t="n">
        <x:v>0.8</x:v>
      </x:c>
      <x:c r="P23" s="54" t="str">
        <x:v>MTR</x:v>
      </x:c>
      <x:c r="Q23" s="57" t="str"/>
      <x:c r="R23" s="57" t="n">
        <x:f>IF(I23="","",I23)</x:f>
        <x:v>6</x:v>
      </x:c>
      <x:c r="S23" s="57" t="str">
        <x:f>IF(OR(Q23="",R23=""),"",R23-Q23)</x:f>
      </x:c>
      <x:c r="T23" s="58" t="str">
        <x:f>IF(OR(Q23="",R23="",Q23=0),"",S23/Q23)</x:f>
      </x:c>
    </x:row>
    <x:row r="24" ht="18" customHeight="1">
      <x:c r="A24" s="9">
        <x:f t="shared" si="1"/>
        <x:v>23</x:v>
      </x:c>
      <x:c r="B24" s="10" t="s">
        <x:v>42</x:v>
      </x:c>
      <x:c r="C24" s="10"/>
      <x:c r="D24" s="12" t="s">
        <x:v>43</x:v>
      </x:c>
      <x:c r="E24" s="14"/>
      <x:c r="F24" s="15"/>
      <x:c r="G24" s="14" t="s">
        <x:v>11</x:v>
      </x:c>
      <x:c r="H24" s="17">
        <x:v>32</x:v>
      </x:c>
      <x:c r="I24" s="24" t="n">
        <x:f>2404+1800</x:f>
        <x:v>4204</x:v>
      </x:c>
      <x:c r="J24" s="25" t="n">
        <x:f t="shared" ref="J24:J30" si="5">I24/32.04</x:f>
        <x:v>131.21098626716605</x:v>
      </x:c>
      <x:c r="K24" s="53" t="str">
        <x:v>Board</x:v>
      </x:c>
      <x:c r="L24" s="53" t="str">
        <x:v>HDHMR OSL</x:v>
      </x:c>
      <x:c r="M24" s="53" t="str">
        <x:v>Visible Side Prelam</x:v>
      </x:c>
      <x:c r="N24" s="53" t="str"/>
      <x:c r="O24" s="56" t="n">
        <x:v>18</x:v>
      </x:c>
      <x:c r="P24" s="54" t="str">
        <x:v>SQFT</x:v>
      </x:c>
      <x:c r="Q24" s="57" t="str"/>
      <x:c r="R24" s="57" t="n">
        <x:f>IF(J24="","",J24)</x:f>
        <x:v>131.21098626716605</x:v>
      </x:c>
      <x:c r="S24" s="57" t="str">
        <x:f>IF(OR(Q24="",R24=""),"",R24-Q24)</x:f>
      </x:c>
      <x:c r="T24" s="58" t="str">
        <x:f>IF(OR(Q24="",R24="",Q24=0),"",S24/Q24)</x:f>
      </x:c>
    </x:row>
    <x:row r="25" ht="18" customHeight="1">
      <x:c r="A25" s="9">
        <x:f t="shared" si="1"/>
        <x:v>24</x:v>
      </x:c>
      <x:c r="B25" s="10" t="s">
        <x:v>44</x:v>
      </x:c>
      <x:c r="C25" s="10"/>
      <x:c r="D25" s="12" t="s">
        <x:v>45</x:v>
      </x:c>
      <x:c r="E25" s="14"/>
      <x:c r="F25" s="15"/>
      <x:c r="G25" s="14" t="s">
        <x:v>11</x:v>
      </x:c>
      <x:c r="H25" s="17">
        <x:v>32</x:v>
      </x:c>
      <x:c r="I25" s="24" t="n">
        <x:f>1153+1800</x:f>
        <x:v>2953</x:v>
      </x:c>
      <x:c r="J25" s="25">
        <x:f t="shared" si="5"/>
        <x:v>92.166042446941333</x:v>
      </x:c>
      <x:c r="K25" s="53" t="str">
        <x:v>Board</x:v>
      </x:c>
      <x:c r="L25" s="53" t="str">
        <x:v>Particle Board OSL</x:v>
      </x:c>
      <x:c r="M25" s="53" t="str">
        <x:v>Visible Side Prelam</x:v>
      </x:c>
      <x:c r="N25" s="53" t="str"/>
      <x:c r="O25" s="56" t="n">
        <x:v>18</x:v>
      </x:c>
      <x:c r="P25" s="54" t="str">
        <x:v>SQFT</x:v>
      </x:c>
      <x:c r="Q25" s="57" t="str"/>
      <x:c r="R25" s="57" t="n">
        <x:f>IF(J25="","",J25)</x:f>
        <x:v>92.16604244694133</x:v>
      </x:c>
      <x:c r="S25" s="57" t="str">
        <x:f>IF(OR(Q25="",R25=""),"",R25-Q25)</x:f>
      </x:c>
      <x:c r="T25" s="58" t="str">
        <x:f>IF(OR(Q25="",R25="",Q25=0),"",S25/Q25)</x:f>
      </x:c>
    </x:row>
    <x:row r="26" ht="18" customHeight="1">
      <x:c r="A26" s="9">
        <x:f t="shared" si="1"/>
        <x:v>25</x:v>
      </x:c>
      <x:c r="B26" s="10" t="s">
        <x:v>46</x:v>
      </x:c>
      <x:c r="C26" s="10"/>
      <x:c r="D26" s="12" t="s">
        <x:v>47</x:v>
      </x:c>
      <x:c r="E26" s="14"/>
      <x:c r="F26" s="15"/>
      <x:c r="G26" s="14" t="s">
        <x:v>11</x:v>
      </x:c>
      <x:c r="H26" s="17">
        <x:v>32</x:v>
      </x:c>
      <x:c r="I26" s="24" t="n">
        <x:f>1785+1800</x:f>
        <x:v>3585</x:v>
      </x:c>
      <x:c r="J26" s="25">
        <x:f t="shared" si="5"/>
        <x:v>111.89138576779027</x:v>
      </x:c>
      <x:c r="K26" s="53" t="str">
        <x:v>Board</x:v>
      </x:c>
      <x:c r="L26" s="53" t="str">
        <x:v>MDF OSL</x:v>
      </x:c>
      <x:c r="M26" s="53" t="str">
        <x:v>Visible Side Prelam</x:v>
      </x:c>
      <x:c r="N26" s="53" t="str"/>
      <x:c r="O26" s="56" t="n">
        <x:v>18</x:v>
      </x:c>
      <x:c r="P26" s="54" t="str">
        <x:v>SQFT</x:v>
      </x:c>
      <x:c r="Q26" s="57" t="str"/>
      <x:c r="R26" s="57" t="n">
        <x:f>IF(J26="","",J26)</x:f>
        <x:v>111.89138576779027</x:v>
      </x:c>
      <x:c r="S26" s="57" t="str">
        <x:f>IF(OR(Q26="",R26=""),"",R26-Q26)</x:f>
      </x:c>
      <x:c r="T26" s="58" t="str">
        <x:f>IF(OR(Q26="",R26="",Q26=0),"",S26/Q26)</x:f>
      </x:c>
    </x:row>
    <x:row r="27" ht="18" customHeight="1">
      <x:c r="A27" s="9">
        <x:f t="shared" si="1"/>
        <x:v>26</x:v>
      </x:c>
      <x:c r="B27" s="10" t="s">
        <x:v>48</x:v>
      </x:c>
      <x:c r="C27" s="10"/>
      <x:c r="D27" s="12" t="s">
        <x:v>49</x:v>
      </x:c>
      <x:c r="E27" s="14" t="s">
        <x:v>50</x:v>
      </x:c>
      <x:c r="F27" s="15"/>
      <x:c r="G27" s="14" t="s">
        <x:v>11</x:v>
      </x:c>
      <x:c r="H27" s="17">
        <x:v>32</x:v>
      </x:c>
      <x:c r="I27" s="24" t="n">
        <x:f t="shared" ref="I27:I29" si="6">2084+990+1800</x:f>
        <x:v>4874</x:v>
      </x:c>
      <x:c r="J27" s="25">
        <x:f t="shared" si="5"/>
        <x:v>152.12234706616729</x:v>
      </x:c>
      <x:c r="K27" s="53" t="str">
        <x:v>Board</x:v>
      </x:c>
      <x:c r="L27" s="53" t="str">
        <x:v>HDHMR OSL</x:v>
      </x:c>
      <x:c r="M27" s="53" t="str">
        <x:v>Visible Side Postlam</x:v>
      </x:c>
      <x:c r="N27" s="53" t="str"/>
      <x:c r="O27" s="56" t="n">
        <x:v>18</x:v>
      </x:c>
      <x:c r="P27" s="54" t="str">
        <x:v>SQFT</x:v>
      </x:c>
      <x:c r="Q27" s="57" t="str"/>
      <x:c r="R27" s="57" t="n">
        <x:f>IF(J27="","",J27)</x:f>
        <x:v>152.1223470661673</x:v>
      </x:c>
      <x:c r="S27" s="57" t="str">
        <x:f>IF(OR(Q27="",R27=""),"",R27-Q27)</x:f>
      </x:c>
      <x:c r="T27" s="58" t="str">
        <x:f>IF(OR(Q27="",R27="",Q27=0),"",S27/Q27)</x:f>
      </x:c>
    </x:row>
    <x:row r="28" ht="18" customHeight="1">
      <x:c r="A28" s="9">
        <x:f t="shared" si="1"/>
        <x:v>27</x:v>
      </x:c>
      <x:c r="B28" s="10" t="s">
        <x:v>51</x:v>
      </x:c>
      <x:c r="C28" s="10"/>
      <x:c r="D28" s="12" t="s">
        <x:v>52</x:v>
      </x:c>
      <x:c r="E28" s="14" t="s">
        <x:v>50</x:v>
      </x:c>
      <x:c r="F28" s="15"/>
      <x:c r="G28" s="14" t="s">
        <x:v>11</x:v>
      </x:c>
      <x:c r="H28" s="17">
        <x:v>32</x:v>
      </x:c>
      <x:c r="I28" s="24">
        <x:f t="shared" si="6"/>
        <x:v>4874</x:v>
      </x:c>
      <x:c r="J28" s="25">
        <x:f t="shared" si="5"/>
        <x:v>152.12234706616729</x:v>
      </x:c>
      <x:c r="K28" s="53" t="str">
        <x:v>Board</x:v>
      </x:c>
      <x:c r="L28" s="53" t="str">
        <x:v>Particle Board OSL</x:v>
      </x:c>
      <x:c r="M28" s="53" t="str">
        <x:v>Visible Side Postlam</x:v>
      </x:c>
      <x:c r="N28" s="53" t="str"/>
      <x:c r="O28" s="56" t="n">
        <x:v>18</x:v>
      </x:c>
      <x:c r="P28" s="54" t="str">
        <x:v>SQFT</x:v>
      </x:c>
      <x:c r="Q28" s="57" t="str"/>
      <x:c r="R28" s="57" t="n">
        <x:f>IF(J28="","",J28)</x:f>
        <x:v>152.1223470661673</x:v>
      </x:c>
      <x:c r="S28" s="57" t="str">
        <x:f>IF(OR(Q28="",R28=""),"",R28-Q28)</x:f>
      </x:c>
      <x:c r="T28" s="58" t="str">
        <x:f>IF(OR(Q28="",R28="",Q28=0),"",S28/Q28)</x:f>
      </x:c>
    </x:row>
    <x:row r="29" ht="18" customHeight="1">
      <x:c r="A29" s="9">
        <x:f t="shared" si="1"/>
        <x:v>28</x:v>
      </x:c>
      <x:c r="B29" s="10" t="s">
        <x:v>53</x:v>
      </x:c>
      <x:c r="C29" s="10"/>
      <x:c r="D29" s="12" t="s">
        <x:v>54</x:v>
      </x:c>
      <x:c r="E29" s="14" t="s">
        <x:v>50</x:v>
      </x:c>
      <x:c r="F29" s="15"/>
      <x:c r="G29" s="14" t="s">
        <x:v>11</x:v>
      </x:c>
      <x:c r="H29" s="17">
        <x:v>32</x:v>
      </x:c>
      <x:c r="I29" s="24">
        <x:f t="shared" si="6"/>
        <x:v>4874</x:v>
      </x:c>
      <x:c r="J29" s="25">
        <x:f t="shared" si="5"/>
        <x:v>152.12234706616729</x:v>
      </x:c>
      <x:c r="K29" s="53" t="str">
        <x:v>Board</x:v>
      </x:c>
      <x:c r="L29" s="53" t="str">
        <x:v>MDF OSL</x:v>
      </x:c>
      <x:c r="M29" s="53" t="str">
        <x:v>Visible Side Postlam</x:v>
      </x:c>
      <x:c r="N29" s="53" t="str"/>
      <x:c r="O29" s="56" t="n">
        <x:v>18</x:v>
      </x:c>
      <x:c r="P29" s="54" t="str">
        <x:v>SQFT</x:v>
      </x:c>
      <x:c r="Q29" s="57" t="str"/>
      <x:c r="R29" s="57" t="n">
        <x:f>IF(J29="","",J29)</x:f>
        <x:v>152.1223470661673</x:v>
      </x:c>
      <x:c r="S29" s="57" t="str">
        <x:f>IF(OR(Q29="",R29=""),"",R29-Q29)</x:f>
      </x:c>
      <x:c r="T29" s="58" t="str">
        <x:f>IF(OR(Q29="",R29="",Q29=0),"",S29/Q29)</x:f>
      </x:c>
    </x:row>
    <x:row r="30" ht="18" customHeight="1">
      <x:c r="A30" s="9">
        <x:f t="shared" si="1"/>
        <x:v>29</x:v>
      </x:c>
      <x:c r="B30" s="10" t="s">
        <x:v>55</x:v>
      </x:c>
      <x:c r="C30" s="10"/>
      <x:c r="D30" s="12" t="s">
        <x:v>56</x:v>
      </x:c>
      <x:c r="E30" s="14" t="s">
        <x:v>50</x:v>
      </x:c>
      <x:c r="F30" s="15"/>
      <x:c r="G30" s="14" t="s">
        <x:v>11</x:v>
      </x:c>
      <x:c r="H30" s="17">
        <x:v>32</x:v>
      </x:c>
      <x:c r="I30" s="24" t="n">
        <x:f>2546.48+990+1800</x:f>
        <x:v>5336.48</x:v>
      </x:c>
      <x:c r="J30" s="25">
        <x:f t="shared" si="5"/>
        <x:v>166.55680399500622</x:v>
      </x:c>
      <x:c r="K30" s="53" t="str">
        <x:v>Board</x:v>
      </x:c>
      <x:c r="L30" s="53" t="str">
        <x:v>BWP Ply OSL</x:v>
      </x:c>
      <x:c r="M30" s="53" t="str">
        <x:v>Visible Side Postlam</x:v>
      </x:c>
      <x:c r="N30" s="53" t="str"/>
      <x:c r="O30" s="56" t="n">
        <x:v>18</x:v>
      </x:c>
      <x:c r="P30" s="54" t="str">
        <x:v>SQFT</x:v>
      </x:c>
      <x:c r="Q30" s="57" t="str"/>
      <x:c r="R30" s="57" t="n">
        <x:f>IF(J30="","",J30)</x:f>
        <x:v>166.55680399500622</x:v>
      </x:c>
      <x:c r="S30" s="57" t="str">
        <x:f>IF(OR(Q30="",R30=""),"",R30-Q30)</x:f>
      </x:c>
      <x:c r="T30" s="58" t="str">
        <x:f>IF(OR(Q30="",R30="",Q30=0),"",S30/Q30)</x:f>
      </x:c>
    </x:row>
    <x:row r="31" ht="18" customHeight="1">
      <x:c r="A31" s="9">
        <x:f t="shared" si="1"/>
        <x:v>30</x:v>
      </x:c>
      <x:c r="B31" s="10" t="s">
        <x:v>57</x:v>
      </x:c>
      <x:c r="C31" s="10"/>
      <x:c r="D31" s="12" t="s">
        <x:v>58</x:v>
      </x:c>
      <x:c r="E31" s="14"/>
      <x:c r="F31" s="15">
        <x:v>10.31</x:v>
      </x:c>
      <x:c r="G31" s="14" t="s">
        <x:v>41</x:v>
      </x:c>
      <x:c r="H31" s="17"/>
      <x:c r="I31" s="24">
        <x:v>10.3</x:v>
      </x:c>
      <x:c r="J31" s="25"/>
      <x:c r="K31" s="53" t="str">
        <x:v>Edge Band</x:v>
      </x:c>
      <x:c r="L31" s="53" t="str">
        <x:v>Visible Side</x:v>
      </x:c>
      <x:c r="M31" s="53" t="str">
        <x:v>Shutter Matching</x:v>
      </x:c>
      <x:c r="N31" s="53" t="str"/>
      <x:c r="O31" s="56" t="n">
        <x:v>0.8</x:v>
      </x:c>
      <x:c r="P31" s="54" t="str">
        <x:v>MTR</x:v>
      </x:c>
      <x:c r="Q31" s="57" t="str"/>
      <x:c r="R31" s="57" t="n">
        <x:f>IF(I31="","",I31)</x:f>
        <x:v>10.3</x:v>
      </x:c>
      <x:c r="S31" s="57" t="str">
        <x:f>IF(OR(Q31="",R31=""),"",R31-Q31)</x:f>
      </x:c>
      <x:c r="T31" s="58" t="str">
        <x:f>IF(OR(Q31="",R31="",Q31=0),"",S31/Q31)</x:f>
      </x:c>
    </x:row>
    <x:row r="32" ht="18" customHeight="1">
      <x:c r="A32" s="9">
        <x:f t="shared" si="1"/>
        <x:v>31</x:v>
      </x:c>
      <x:c r="B32" s="10" t="s">
        <x:v>59</x:v>
      </x:c>
      <x:c r="C32" s="10"/>
      <x:c r="D32" s="12" t="s">
        <x:v>60</x:v>
      </x:c>
      <x:c r="E32" s="14" t="s">
        <x:v>61</x:v>
      </x:c>
      <x:c r="F32" s="15">
        <x:v>2162.85</x:v>
      </x:c>
      <x:c r="G32" s="14" t="s">
        <x:v>62</x:v>
      </x:c>
      <x:c r="H32" s="17">
        <x:v>32</x:v>
      </x:c>
      <x:c r="I32" s="24" t="n">
        <x:f>J32*32.04</x:f>
        <x:v>2162.7</x:v>
      </x:c>
      <x:c r="J32" s="25">
        <x:v>67.5</x:v>
      </x:c>
      <x:c r="K32" s="53" t="str">
        <x:v>Board</x:v>
      </x:c>
      <x:c r="L32" s="53" t="str">
        <x:v>BWR Ply Raw</x:v>
      </x:c>
      <x:c r="M32" s="53" t="str">
        <x:v>Counter Raw</x:v>
      </x:c>
      <x:c r="N32" s="53" t="str"/>
      <x:c r="O32" s="56" t="n">
        <x:v>16</x:v>
      </x:c>
      <x:c r="P32" s="54" t="str">
        <x:v>SQFT</x:v>
      </x:c>
      <x:c r="Q32" s="57" t="str"/>
      <x:c r="R32" s="57" t="n">
        <x:f>IF(J32="","",J32)</x:f>
        <x:v>67.5</x:v>
      </x:c>
      <x:c r="S32" s="57" t="str">
        <x:f>IF(OR(Q32="",R32=""),"",R32-Q32)</x:f>
      </x:c>
      <x:c r="T32" s="58" t="str">
        <x:f>IF(OR(Q32="",R32="",Q32=0),"",S32/Q32)</x:f>
      </x:c>
    </x:row>
    <x:row r="33" ht="18" customHeight="1">
      <x:c r="A33" s="9">
        <x:f t="shared" si="1"/>
        <x:v>32</x:v>
      </x:c>
      <x:c r="B33" s="10" t="s">
        <x:v>63</x:v>
      </x:c>
      <x:c r="C33" s="10"/>
      <x:c r="D33" s="12" t="s">
        <x:v>43</x:v>
      </x:c>
      <x:c r="E33" s="14"/>
      <x:c r="F33" s="15"/>
      <x:c r="G33" s="14" t="s">
        <x:v>11</x:v>
      </x:c>
      <x:c r="H33" s="17">
        <x:v>32</x:v>
      </x:c>
      <x:c r="I33" s="24" t="n">
        <x:f>2404+1800</x:f>
        <x:v>4204</x:v>
      </x:c>
      <x:c r="J33" s="25" t="n">
        <x:f t="shared" ref="J33:J39" si="7">I33/32.04</x:f>
        <x:v>131.21098626716605</x:v>
      </x:c>
      <x:c r="K33" s="53" t="str">
        <x:v>Board</x:v>
      </x:c>
      <x:c r="L33" s="53" t="str">
        <x:v>HDHMR OSL</x:v>
      </x:c>
      <x:c r="M33" s="53" t="str">
        <x:v>Shutter Prelam</x:v>
      </x:c>
      <x:c r="N33" s="53" t="str"/>
      <x:c r="O33" s="56" t="n">
        <x:v>18</x:v>
      </x:c>
      <x:c r="P33" s="54" t="str">
        <x:v>SQFT</x:v>
      </x:c>
      <x:c r="Q33" s="57" t="str"/>
      <x:c r="R33" s="57" t="n">
        <x:f>IF(J33="","",J33)</x:f>
        <x:v>131.21098626716605</x:v>
      </x:c>
      <x:c r="S33" s="57" t="str">
        <x:f>IF(OR(Q33="",R33=""),"",R33-Q33)</x:f>
      </x:c>
      <x:c r="T33" s="58" t="str">
        <x:f>IF(OR(Q33="",R33="",Q33=0),"",S33/Q33)</x:f>
      </x:c>
    </x:row>
    <x:row r="34" ht="18" customHeight="1">
      <x:c r="A34" s="9">
        <x:f t="shared" si="1"/>
        <x:v>33</x:v>
      </x:c>
      <x:c r="B34" s="10" t="s">
        <x:v>64</x:v>
      </x:c>
      <x:c r="C34" s="10"/>
      <x:c r="D34" s="12" t="s">
        <x:v>45</x:v>
      </x:c>
      <x:c r="E34" s="14"/>
      <x:c r="F34" s="15"/>
      <x:c r="G34" s="14" t="s">
        <x:v>11</x:v>
      </x:c>
      <x:c r="H34" s="17">
        <x:v>32</x:v>
      </x:c>
      <x:c r="I34" s="24" t="n">
        <x:f>1154+1800</x:f>
        <x:v>2954</x:v>
      </x:c>
      <x:c r="J34" s="25">
        <x:f t="shared" si="7"/>
        <x:v>92.197253433208488</x:v>
      </x:c>
      <x:c r="K34" s="53" t="str">
        <x:v>Board</x:v>
      </x:c>
      <x:c r="L34" s="53" t="str">
        <x:v>Particle Board OSL</x:v>
      </x:c>
      <x:c r="M34" s="53" t="str">
        <x:v>Shutter Prelam</x:v>
      </x:c>
      <x:c r="N34" s="53" t="str"/>
      <x:c r="O34" s="56" t="n">
        <x:v>18</x:v>
      </x:c>
      <x:c r="P34" s="54" t="str">
        <x:v>SQFT</x:v>
      </x:c>
      <x:c r="Q34" s="57" t="str"/>
      <x:c r="R34" s="57" t="n">
        <x:f>IF(J34="","",J34)</x:f>
        <x:v>92.19725343320849</x:v>
      </x:c>
      <x:c r="S34" s="57" t="str">
        <x:f>IF(OR(Q34="",R34=""),"",R34-Q34)</x:f>
      </x:c>
      <x:c r="T34" s="58" t="str">
        <x:f>IF(OR(Q34="",R34="",Q34=0),"",S34/Q34)</x:f>
      </x:c>
    </x:row>
    <x:row r="35" ht="18" customHeight="1">
      <x:c r="A35" s="9">
        <x:f t="shared" si="1"/>
        <x:v>34</x:v>
      </x:c>
      <x:c r="B35" s="10" t="s">
        <x:v>65</x:v>
      </x:c>
      <x:c r="C35" s="10"/>
      <x:c r="D35" s="12" t="s">
        <x:v>47</x:v>
      </x:c>
      <x:c r="E35" s="14"/>
      <x:c r="F35" s="15"/>
      <x:c r="G35" s="14" t="s">
        <x:v>11</x:v>
      </x:c>
      <x:c r="H35" s="17">
        <x:v>32</x:v>
      </x:c>
      <x:c r="I35" s="24" t="n">
        <x:f>1784+1800</x:f>
        <x:v>3584</x:v>
      </x:c>
      <x:c r="J35" s="25">
        <x:f t="shared" si="7"/>
        <x:v>111.8601747815231</x:v>
      </x:c>
      <x:c r="K35" s="53" t="str">
        <x:v>Board</x:v>
      </x:c>
      <x:c r="L35" s="53" t="str">
        <x:v>MDF OSL</x:v>
      </x:c>
      <x:c r="M35" s="53" t="str">
        <x:v>Shutter Prelam</x:v>
      </x:c>
      <x:c r="N35" s="53" t="str"/>
      <x:c r="O35" s="56" t="n">
        <x:v>18</x:v>
      </x:c>
      <x:c r="P35" s="54" t="str">
        <x:v>SQFT</x:v>
      </x:c>
      <x:c r="Q35" s="57" t="str"/>
      <x:c r="R35" s="57" t="n">
        <x:f>IF(J35="","",J35)</x:f>
        <x:v>111.8601747815231</x:v>
      </x:c>
      <x:c r="S35" s="57" t="str">
        <x:f>IF(OR(Q35="",R35=""),"",R35-Q35)</x:f>
      </x:c>
      <x:c r="T35" s="58" t="str">
        <x:f>IF(OR(Q35="",R35="",Q35=0),"",S35/Q35)</x:f>
      </x:c>
    </x:row>
    <x:row r="36" ht="18" customHeight="1">
      <x:c r="A36" s="9">
        <x:f t="shared" si="1"/>
        <x:v>35</x:v>
      </x:c>
      <x:c r="B36" s="10" t="s">
        <x:v>66</x:v>
      </x:c>
      <x:c r="C36" s="10"/>
      <x:c r="D36" s="12" t="s">
        <x:v>49</x:v>
      </x:c>
      <x:c r="E36" s="14" t="s">
        <x:v>50</x:v>
      </x:c>
      <x:c r="F36" s="15"/>
      <x:c r="G36" s="14" t="s">
        <x:v>11</x:v>
      </x:c>
      <x:c r="H36" s="17">
        <x:v>32</x:v>
      </x:c>
      <x:c r="I36" s="24" t="n">
        <x:f>2084+990+1800</x:f>
        <x:v>4874</x:v>
      </x:c>
      <x:c r="J36" s="25">
        <x:f t="shared" si="7"/>
        <x:v>152.12234706616729</x:v>
      </x:c>
      <x:c r="K36" s="53" t="str">
        <x:v>Board</x:v>
      </x:c>
      <x:c r="L36" s="53" t="str">
        <x:v>HDHMR OSL</x:v>
      </x:c>
      <x:c r="M36" s="53" t="str">
        <x:v>Shutter Postlam</x:v>
      </x:c>
      <x:c r="N36" s="53" t="str"/>
      <x:c r="O36" s="56" t="n">
        <x:v>18</x:v>
      </x:c>
      <x:c r="P36" s="54" t="str">
        <x:v>SQFT</x:v>
      </x:c>
      <x:c r="Q36" s="57" t="str"/>
      <x:c r="R36" s="57" t="n">
        <x:f>IF(J36="","",J36)</x:f>
        <x:v>152.1223470661673</x:v>
      </x:c>
      <x:c r="S36" s="57" t="str">
        <x:f>IF(OR(Q36="",R36=""),"",R36-Q36)</x:f>
      </x:c>
      <x:c r="T36" s="58" t="str">
        <x:f>IF(OR(Q36="",R36="",Q36=0),"",S36/Q36)</x:f>
      </x:c>
    </x:row>
    <x:row r="37" ht="18" customHeight="1">
      <x:c r="A37" s="9">
        <x:f t="shared" si="1"/>
        <x:v>36</x:v>
      </x:c>
      <x:c r="B37" s="10" t="s">
        <x:v>67</x:v>
      </x:c>
      <x:c r="C37" s="10"/>
      <x:c r="D37" s="12" t="s">
        <x:v>52</x:v>
      </x:c>
      <x:c r="E37" s="14" t="s">
        <x:v>50</x:v>
      </x:c>
      <x:c r="F37" s="15"/>
      <x:c r="G37" s="14" t="s">
        <x:v>11</x:v>
      </x:c>
      <x:c r="H37" s="17">
        <x:v>32</x:v>
      </x:c>
      <x:c r="I37" s="24" t="n">
        <x:f>898+990+1800</x:f>
        <x:v>3688</x:v>
      </x:c>
      <x:c r="J37" s="25">
        <x:f t="shared" si="7"/>
        <x:v>115.10611735330836</x:v>
      </x:c>
      <x:c r="K37" s="53" t="str">
        <x:v>Board</x:v>
      </x:c>
      <x:c r="L37" s="53" t="str">
        <x:v>Particle Board OSL</x:v>
      </x:c>
      <x:c r="M37" s="53" t="str">
        <x:v>Shutter Postlam</x:v>
      </x:c>
      <x:c r="N37" s="53" t="str"/>
      <x:c r="O37" s="56" t="n">
        <x:v>18</x:v>
      </x:c>
      <x:c r="P37" s="54" t="str">
        <x:v>SQFT</x:v>
      </x:c>
      <x:c r="Q37" s="57" t="str"/>
      <x:c r="R37" s="57" t="n">
        <x:f>IF(J37="","",J37)</x:f>
        <x:v>115.10611735330836</x:v>
      </x:c>
      <x:c r="S37" s="57" t="str">
        <x:f>IF(OR(Q37="",R37=""),"",R37-Q37)</x:f>
      </x:c>
      <x:c r="T37" s="58" t="str">
        <x:f>IF(OR(Q37="",R37="",Q37=0),"",S37/Q37)</x:f>
      </x:c>
    </x:row>
    <x:row r="38" ht="18" customHeight="1">
      <x:c r="A38" s="9">
        <x:f t="shared" si="1"/>
        <x:v>37</x:v>
      </x:c>
      <x:c r="B38" s="10" t="s">
        <x:v>68</x:v>
      </x:c>
      <x:c r="C38" s="10"/>
      <x:c r="D38" s="12" t="s">
        <x:v>54</x:v>
      </x:c>
      <x:c r="E38" s="14" t="s">
        <x:v>50</x:v>
      </x:c>
      <x:c r="F38" s="15"/>
      <x:c r="G38" s="14" t="s">
        <x:v>11</x:v>
      </x:c>
      <x:c r="H38" s="17">
        <x:v>32</x:v>
      </x:c>
      <x:c r="I38" s="24" t="n">
        <x:f>1299+990+1800</x:f>
        <x:v>4089</x:v>
      </x:c>
      <x:c r="J38" s="25">
        <x:f t="shared" si="7"/>
        <x:v>127.62172284644195</x:v>
      </x:c>
      <x:c r="K38" s="53" t="str">
        <x:v>Board</x:v>
      </x:c>
      <x:c r="L38" s="53" t="str">
        <x:v>MDF OSL</x:v>
      </x:c>
      <x:c r="M38" s="53" t="str">
        <x:v>Shutter Postlam</x:v>
      </x:c>
      <x:c r="N38" s="53" t="str"/>
      <x:c r="O38" s="56" t="n">
        <x:v>18</x:v>
      </x:c>
      <x:c r="P38" s="54" t="str">
        <x:v>SQFT</x:v>
      </x:c>
      <x:c r="Q38" s="57" t="str"/>
      <x:c r="R38" s="57" t="n">
        <x:f>IF(J38="","",J38)</x:f>
        <x:v>127.62172284644195</x:v>
      </x:c>
      <x:c r="S38" s="57" t="str">
        <x:f>IF(OR(Q38="",R38=""),"",R38-Q38)</x:f>
      </x:c>
      <x:c r="T38" s="58" t="str">
        <x:f>IF(OR(Q38="",R38="",Q38=0),"",S38/Q38)</x:f>
      </x:c>
    </x:row>
    <x:row r="39" ht="18" customHeight="1">
      <x:c r="A39" s="9">
        <x:f t="shared" si="1"/>
        <x:v>38</x:v>
      </x:c>
      <x:c r="B39" s="10" t="s">
        <x:v>69</x:v>
      </x:c>
      <x:c r="C39" s="10"/>
      <x:c r="D39" s="12" t="s">
        <x:v>56</x:v>
      </x:c>
      <x:c r="E39" s="14" t="s">
        <x:v>50</x:v>
      </x:c>
      <x:c r="F39" s="15"/>
      <x:c r="G39" s="14" t="s">
        <x:v>11</x:v>
      </x:c>
      <x:c r="H39" s="17">
        <x:v>32</x:v>
      </x:c>
      <x:c r="I39" s="24" t="n">
        <x:f>2548+990+1800</x:f>
        <x:v>5338</x:v>
      </x:c>
      <x:c r="J39" s="25">
        <x:f t="shared" si="7"/>
        <x:v>166.60424469413235</x:v>
      </x:c>
      <x:c r="K39" s="53" t="str">
        <x:v>Board</x:v>
      </x:c>
      <x:c r="L39" s="53" t="str">
        <x:v>BWP Ply OSL</x:v>
      </x:c>
      <x:c r="M39" s="53" t="str">
        <x:v>Shutter Postlam</x:v>
      </x:c>
      <x:c r="N39" s="53" t="str"/>
      <x:c r="O39" s="56" t="n">
        <x:v>18</x:v>
      </x:c>
      <x:c r="P39" s="54" t="str">
        <x:v>SQFT</x:v>
      </x:c>
      <x:c r="Q39" s="57" t="str"/>
      <x:c r="R39" s="57" t="n">
        <x:f>IF(J39="","",J39)</x:f>
        <x:v>166.60424469413235</x:v>
      </x:c>
      <x:c r="S39" s="57" t="str">
        <x:f>IF(OR(Q39="",R39=""),"",R39-Q39)</x:f>
      </x:c>
      <x:c r="T39" s="58" t="str">
        <x:f>IF(OR(Q39="",R39="",Q39=0),"",S39/Q39)</x:f>
      </x:c>
    </x:row>
    <x:row r="40" ht="18" customHeight="1">
      <x:c r="A40" s="9">
        <x:f t="shared" si="1"/>
        <x:v>39</x:v>
      </x:c>
      <x:c r="B40" s="10" t="s">
        <x:v>70</x:v>
      </x:c>
      <x:c r="C40" s="10"/>
      <x:c r="D40" s="12" t="s">
        <x:v>58</x:v>
      </x:c>
      <x:c r="E40" s="14"/>
      <x:c r="F40" s="15">
        <x:v>10.31</x:v>
      </x:c>
      <x:c r="G40" s="14" t="s">
        <x:v>41</x:v>
      </x:c>
      <x:c r="H40" s="17"/>
      <x:c r="I40" s="24">
        <x:v>10.3</x:v>
      </x:c>
      <x:c r="J40" s="25"/>
      <x:c r="K40" s="53" t="str">
        <x:v>Edge Band</x:v>
      </x:c>
      <x:c r="L40" s="53" t="str">
        <x:v>Shutter</x:v>
      </x:c>
      <x:c r="M40" s="53" t="str">
        <x:v>Shutter Matching</x:v>
      </x:c>
      <x:c r="N40" s="53" t="str"/>
      <x:c r="O40" s="56" t="n">
        <x:v>0.8</x:v>
      </x:c>
      <x:c r="P40" s="54" t="str">
        <x:v>MTR</x:v>
      </x:c>
      <x:c r="Q40" s="57" t="str"/>
      <x:c r="R40" s="57" t="n">
        <x:f>IF(I40="","",I40)</x:f>
        <x:v>10.3</x:v>
      </x:c>
      <x:c r="S40" s="57" t="str">
        <x:f>IF(OR(Q40="",R40=""),"",R40-Q40)</x:f>
      </x:c>
      <x:c r="T40" s="58" t="str">
        <x:f>IF(OR(Q40="",R40="",Q40=0),"",S40/Q40)</x:f>
      </x:c>
    </x:row>
    <x:row r="41" ht="18" customHeight="1">
      <x:c r="A41" s="9">
        <x:f t="shared" si="1"/>
        <x:v>40</x:v>
      </x:c>
      <x:c r="B41" s="10" t="s">
        <x:v>71</x:v>
      </x:c>
      <x:c r="C41" s="10"/>
      <x:c r="D41" s="12" t="s">
        <x:v>72</x:v>
      </x:c>
      <x:c r="E41" s="30" t="s">
        <x:v>73</x:v>
      </x:c>
      <x:c r="F41" s="15">
        <x:v>450</x:v>
      </x:c>
      <x:c r="G41" s="14" t="s">
        <x:v>74</x:v>
      </x:c>
      <x:c r="H41" s="17"/>
      <x:c r="I41" s="24">
        <x:v>400</x:v>
      </x:c>
      <x:c r="J41" s="25"/>
      <x:c r="K41" s="53" t="str">
        <x:v>Adhesive / Consumable</x:v>
      </x:c>
      <x:c r="L41" s="53" t="str">
        <x:v>Edge Band Adhesive</x:v>
      </x:c>
      <x:c r="M41" s="53" t="str">
        <x:v>Transparent Glue</x:v>
      </x:c>
      <x:c r="N41" s="53" t="str"/>
      <x:c r="O41" s="56" t="str"/>
      <x:c r="P41" s="54" t="str">
        <x:v>KG</x:v>
      </x:c>
      <x:c r="Q41" s="57" t="str"/>
      <x:c r="R41" s="57" t="n">
        <x:f>IF(I41="","",I41)</x:f>
        <x:v>400</x:v>
      </x:c>
      <x:c r="S41" s="57" t="str">
        <x:f>IF(OR(Q41="",R41=""),"",R41-Q41)</x:f>
      </x:c>
      <x:c r="T41" s="58" t="str">
        <x:f>IF(OR(Q41="",R41="",Q41=0),"",S41/Q41)</x:f>
      </x:c>
    </x:row>
    <x:row r="42" ht="18" customHeight="1">
      <x:c r="A42" s="9">
        <x:f t="shared" si="1"/>
        <x:v>41</x:v>
      </x:c>
      <x:c r="B42" s="10" t="s">
        <x:v>75</x:v>
      </x:c>
      <x:c r="C42" s="10" t="s">
        <x:v>70</x:v>
      </x:c>
      <x:c r="D42" s="12" t="s">
        <x:v>76</x:v>
      </x:c>
      <x:c r="E42" s="14" t="s">
        <x:v>77</x:v>
      </x:c>
      <x:c r="F42" s="15">
        <x:v>325</x:v>
      </x:c>
      <x:c r="G42" s="14" t="s">
        <x:v>41</x:v>
      </x:c>
      <x:c r="H42" s="17"/>
      <x:c r="I42" s="24">
        <x:v>375</x:v>
      </x:c>
      <x:c r="J42" s="25"/>
      <x:c r="K42" s="53" t="str">
        <x:v>Profile</x:v>
      </x:c>
      <x:c r="L42" s="53" t="str">
        <x:v>Glass Shutter Profile</x:v>
      </x:c>
      <x:c r="M42" s="53" t="str">
        <x:v>Neon 50 Shutter Profile</x:v>
      </x:c>
      <x:c r="N42" s="53" t="str"/>
      <x:c r="O42" s="56" t="str"/>
      <x:c r="P42" s="54" t="str">
        <x:v>MTR</x:v>
      </x:c>
      <x:c r="Q42" s="57" t="str"/>
      <x:c r="R42" s="57" t="n">
        <x:f>IF(I42="","",I42)</x:f>
        <x:v>375</x:v>
      </x:c>
      <x:c r="S42" s="57" t="str">
        <x:f>IF(OR(Q42="",R42=""),"",R42-Q42)</x:f>
      </x:c>
      <x:c r="T42" s="58" t="str">
        <x:f>IF(OR(Q42="",R42="",Q42=0),"",S42/Q42)</x:f>
      </x:c>
    </x:row>
    <x:row r="43" ht="18" customHeight="1">
      <x:c r="A43" s="9">
        <x:f t="shared" si="1"/>
        <x:v>42</x:v>
      </x:c>
      <x:c r="B43" s="10" t="s">
        <x:v>75</x:v>
      </x:c>
      <x:c r="C43" s="10" t="s">
        <x:v>78</x:v>
      </x:c>
      <x:c r="D43" s="12" t="s">
        <x:v>79</x:v>
      </x:c>
      <x:c r="E43" s="14" t="s">
        <x:v>77</x:v>
      </x:c>
      <x:c r="F43" s="15">
        <x:v>375</x:v>
      </x:c>
      <x:c r="G43" s="14" t="s">
        <x:v>41</x:v>
      </x:c>
      <x:c r="H43" s="17"/>
      <x:c r="I43" s="24">
        <x:v>415</x:v>
      </x:c>
      <x:c r="J43" s="25"/>
      <x:c r="K43" s="53" t="str">
        <x:v>Profile</x:v>
      </x:c>
      <x:c r="L43" s="53" t="str">
        <x:v>Glass Shutter Profile</x:v>
      </x:c>
      <x:c r="M43" s="53" t="str">
        <x:v>Neon 50 Handle Profile</x:v>
      </x:c>
      <x:c r="N43" s="53" t="str"/>
      <x:c r="O43" s="56" t="str"/>
      <x:c r="P43" s="54" t="str">
        <x:v>MTR</x:v>
      </x:c>
      <x:c r="Q43" s="57" t="str"/>
      <x:c r="R43" s="57" t="n">
        <x:f>IF(I43="","",I43)</x:f>
        <x:v>415</x:v>
      </x:c>
      <x:c r="S43" s="57" t="str">
        <x:f>IF(OR(Q43="",R43=""),"",R43-Q43)</x:f>
      </x:c>
      <x:c r="T43" s="58" t="str">
        <x:f>IF(OR(Q43="",R43="",Q43=0),"",S43/Q43)</x:f>
      </x:c>
    </x:row>
    <x:row r="44" ht="18" customHeight="1">
      <x:c r="A44" s="9">
        <x:f t="shared" si="1"/>
        <x:v>43</x:v>
      </x:c>
      <x:c r="B44" s="10" t="s">
        <x:v>75</x:v>
      </x:c>
      <x:c r="C44" s="10" t="s">
        <x:v>80</x:v>
      </x:c>
      <x:c r="D44" s="12" t="s">
        <x:v>81</x:v>
      </x:c>
      <x:c r="E44" s="14" t="s">
        <x:v>77</x:v>
      </x:c>
      <x:c r="F44" s="15">
        <x:v>68</x:v>
      </x:c>
      <x:c r="G44" s="14" t="s">
        <x:v>82</x:v>
      </x:c>
      <x:c r="H44" s="29"/>
      <x:c r="I44" s="24">
        <x:v>69</x:v>
      </x:c>
      <x:c r="J44" s="25"/>
      <x:c r="K44" s="53" t="str">
        <x:v>Profile Hardware</x:v>
      </x:c>
      <x:c r="L44" s="53" t="str">
        <x:v>Glass Shutter</x:v>
      </x:c>
      <x:c r="M44" s="53" t="str">
        <x:v>Neon 50 Corner Bracket</x:v>
      </x:c>
      <x:c r="N44" s="53" t="str"/>
      <x:c r="O44" s="56" t="str"/>
      <x:c r="P44" s="54" t="str">
        <x:v>SET</x:v>
      </x:c>
      <x:c r="Q44" s="57" t="str"/>
      <x:c r="R44" s="57" t="n">
        <x:f>IF(I44="","",I44)</x:f>
        <x:v>69</x:v>
      </x:c>
      <x:c r="S44" s="57" t="str">
        <x:f>IF(OR(Q44="",R44=""),"",R44-Q44)</x:f>
      </x:c>
      <x:c r="T44" s="58" t="str">
        <x:f>IF(OR(Q44="",R44="",Q44=0),"",S44/Q44)</x:f>
      </x:c>
    </x:row>
    <x:row r="45" ht="18" customHeight="1">
      <x:c r="A45" s="9">
        <x:f t="shared" si="1"/>
        <x:v>44</x:v>
      </x:c>
      <x:c r="B45" s="10" t="s">
        <x:v>75</x:v>
      </x:c>
      <x:c r="C45" s="10" t="s">
        <x:v>70</x:v>
      </x:c>
      <x:c r="D45" s="12" t="s">
        <x:v>83</x:v>
      </x:c>
      <x:c r="E45" s="14" t="s">
        <x:v>84</x:v>
      </x:c>
      <x:c r="F45" s="15">
        <x:v>207</x:v>
      </x:c>
      <x:c r="G45" s="14" t="s">
        <x:v>41</x:v>
      </x:c>
      <x:c r="H45" s="17"/>
      <x:c r="I45" s="24">
        <x:v>225</x:v>
      </x:c>
      <x:c r="J45" s="25"/>
      <x:c r="K45" s="53" t="str">
        <x:v>Profile</x:v>
      </x:c>
      <x:c r="L45" s="53" t="str">
        <x:v>Glass Shutter Profile</x:v>
      </x:c>
      <x:c r="M45" s="53" t="str">
        <x:v>Neon 20 Shutter Profile</x:v>
      </x:c>
      <x:c r="N45" s="53" t="str"/>
      <x:c r="O45" s="56" t="str"/>
      <x:c r="P45" s="54" t="str">
        <x:v>MTR</x:v>
      </x:c>
      <x:c r="Q45" s="57" t="str"/>
      <x:c r="R45" s="57" t="n">
        <x:f>IF(I45="","",I45)</x:f>
        <x:v>225</x:v>
      </x:c>
      <x:c r="S45" s="57" t="str">
        <x:f>IF(OR(Q45="",R45=""),"",R45-Q45)</x:f>
      </x:c>
      <x:c r="T45" s="58" t="str">
        <x:f>IF(OR(Q45="",R45="",Q45=0),"",S45/Q45)</x:f>
      </x:c>
    </x:row>
    <x:row r="46" ht="18" customHeight="1">
      <x:c r="A46" s="9">
        <x:f t="shared" si="1"/>
        <x:v>45</x:v>
      </x:c>
      <x:c r="B46" s="10" t="s">
        <x:v>75</x:v>
      </x:c>
      <x:c r="C46" s="10" t="s">
        <x:v>78</x:v>
      </x:c>
      <x:c r="D46" s="12" t="s">
        <x:v>85</x:v>
      </x:c>
      <x:c r="E46" s="14" t="s">
        <x:v>84</x:v>
      </x:c>
      <x:c r="F46" s="15">
        <x:v>208</x:v>
      </x:c>
      <x:c r="G46" s="14" t="s">
        <x:v>41</x:v>
      </x:c>
      <x:c r="H46" s="17"/>
      <x:c r="I46" s="24">
        <x:v>250</x:v>
      </x:c>
      <x:c r="J46" s="25"/>
      <x:c r="K46" s="53" t="str">
        <x:v>Profile</x:v>
      </x:c>
      <x:c r="L46" s="53" t="str">
        <x:v>Glass Shutter Profile</x:v>
      </x:c>
      <x:c r="M46" s="53" t="str">
        <x:v>Neon 20 Handle Profile</x:v>
      </x:c>
      <x:c r="N46" s="53" t="str"/>
      <x:c r="O46" s="56" t="str"/>
      <x:c r="P46" s="54" t="str">
        <x:v>MTR</x:v>
      </x:c>
      <x:c r="Q46" s="57" t="str"/>
      <x:c r="R46" s="57" t="n">
        <x:f>IF(I46="","",I46)</x:f>
        <x:v>250</x:v>
      </x:c>
      <x:c r="S46" s="57" t="str">
        <x:f>IF(OR(Q46="",R46=""),"",R46-Q46)</x:f>
      </x:c>
      <x:c r="T46" s="58" t="str">
        <x:f>IF(OR(Q46="",R46="",Q46=0),"",S46/Q46)</x:f>
      </x:c>
    </x:row>
    <x:row r="47" ht="18" customHeight="1">
      <x:c r="A47" s="9">
        <x:f t="shared" si="1"/>
        <x:v>46</x:v>
      </x:c>
      <x:c r="B47" s="10" t="s">
        <x:v>75</x:v>
      </x:c>
      <x:c r="C47" s="10" t="s">
        <x:v>80</x:v>
      </x:c>
      <x:c r="D47" s="12" t="s">
        <x:v>81</x:v>
      </x:c>
      <x:c r="E47" s="14" t="s">
        <x:v>84</x:v>
      </x:c>
      <x:c r="F47" s="15">
        <x:v>68</x:v>
      </x:c>
      <x:c r="G47" s="14" t="s">
        <x:v>82</x:v>
      </x:c>
      <x:c r="H47" s="29"/>
      <x:c r="I47" s="24">
        <x:v>69</x:v>
      </x:c>
      <x:c r="J47" s="25"/>
      <x:c r="K47" s="53" t="str">
        <x:v>Profile Hardware</x:v>
      </x:c>
      <x:c r="L47" s="53" t="str">
        <x:v>Glass Shutter</x:v>
      </x:c>
      <x:c r="M47" s="53" t="str">
        <x:v>Neon 20 Corner Bracket</x:v>
      </x:c>
      <x:c r="N47" s="53" t="str"/>
      <x:c r="O47" s="56" t="str"/>
      <x:c r="P47" s="54" t="str">
        <x:v>SET</x:v>
      </x:c>
      <x:c r="Q47" s="57" t="str"/>
      <x:c r="R47" s="57" t="n">
        <x:f>IF(I47="","",I47)</x:f>
        <x:v>69</x:v>
      </x:c>
      <x:c r="S47" s="57" t="str">
        <x:f>IF(OR(Q47="",R47=""),"",R47-Q47)</x:f>
      </x:c>
      <x:c r="T47" s="58" t="str">
        <x:f>IF(OR(Q47="",R47="",Q47=0),"",S47/Q47)</x:f>
      </x:c>
    </x:row>
    <x:row r="48" ht="18" customHeight="1">
      <x:c r="A48" s="9">
        <x:f t="shared" si="1"/>
        <x:v>47</x:v>
      </x:c>
      <x:c r="B48" s="10" t="s">
        <x:v>75</x:v>
      </x:c>
      <x:c r="C48" s="10"/>
      <x:c r="D48" s="12" t="s">
        <x:v>86</x:v>
      </x:c>
      <x:c r="E48" s="14"/>
      <x:c r="F48" s="15">
        <x:v>496</x:v>
      </x:c>
      <x:c r="G48" s="14" t="s">
        <x:v>87</x:v>
      </x:c>
      <x:c r="H48" s="29"/>
      <x:c r="I48" s="24" t="n">
        <x:f>3.414*150</x:f>
        <x:v>512.1</x:v>
      </x:c>
      <x:c r="J48" s="25"/>
      <x:c r="K48" s="53" t="str">
        <x:v>Glass</x:v>
      </x:c>
      <x:c r="L48" s="53" t="str">
        <x:v>Black Tinted Toughened</x:v>
      </x:c>
      <x:c r="M48" s="53" t="str">
        <x:v>Shutter Panel</x:v>
      </x:c>
      <x:c r="N48" s="53" t="str"/>
      <x:c r="O48" s="56" t="n">
        <x:v>5</x:v>
      </x:c>
      <x:c r="P48" s="54" t="str">
        <x:v>PCS</x:v>
      </x:c>
      <x:c r="Q48" s="57" t="str"/>
      <x:c r="R48" s="57" t="n">
        <x:f>IF(I48="","",I48)</x:f>
        <x:v>512.1</x:v>
      </x:c>
      <x:c r="S48" s="57" t="str">
        <x:f>IF(OR(Q48="",R48=""),"",R48-Q48)</x:f>
      </x:c>
      <x:c r="T48" s="58" t="str">
        <x:f>IF(OR(Q48="",R48="",Q48=0),"",S48/Q48)</x:f>
      </x:c>
    </x:row>
    <x:row r="49" ht="18" customHeight="1">
      <x:c r="A49" s="9">
        <x:f t="shared" si="1"/>
        <x:v>48</x:v>
      </x:c>
      <x:c r="B49" s="10" t="s">
        <x:v>75</x:v>
      </x:c>
      <x:c r="C49" s="10"/>
      <x:c r="D49" s="12" t="s">
        <x:v>88</x:v>
      </x:c>
      <x:c r="E49" s="14"/>
      <x:c r="F49" s="15">
        <x:v>376</x:v>
      </x:c>
      <x:c r="G49" s="14" t="s">
        <x:v>11</x:v>
      </x:c>
      <x:c r="H49" s="29"/>
      <x:c r="I49" s="24" t="n">
        <x:f>2.588*150</x:f>
        <x:v>388.2</x:v>
      </x:c>
      <x:c r="J49" s="25"/>
      <x:c r="K49" s="53" t="str">
        <x:v>Glass</x:v>
      </x:c>
      <x:c r="L49" s="53" t="str">
        <x:v>Black Tinted Toughened</x:v>
      </x:c>
      <x:c r="M49" s="53" t="str">
        <x:v>Shutter Panel</x:v>
      </x:c>
      <x:c r="N49" s="53" t="str"/>
      <x:c r="O49" s="56" t="n">
        <x:v>5</x:v>
      </x:c>
      <x:c r="P49" s="54" t="str">
        <x:v>PCS</x:v>
      </x:c>
      <x:c r="Q49" s="57" t="str"/>
      <x:c r="R49" s="57" t="n">
        <x:f>IF(I49="","",I49)</x:f>
        <x:v>388.2</x:v>
      </x:c>
      <x:c r="S49" s="57" t="str">
        <x:f>IF(OR(Q49="",R49=""),"",R49-Q49)</x:f>
      </x:c>
      <x:c r="T49" s="58" t="str">
        <x:f>IF(OR(Q49="",R49="",Q49=0),"",S49/Q49)</x:f>
      </x:c>
    </x:row>
    <x:row r="50" ht="18" customHeight="1">
      <x:c r="A50" s="9">
        <x:f t="shared" si="1"/>
        <x:v>49</x:v>
      </x:c>
      <x:c r="B50" s="10" t="s">
        <x:v>75</x:v>
      </x:c>
      <x:c r="C50" s="10"/>
      <x:c r="D50" s="12" t="s">
        <x:v>89</x:v>
      </x:c>
      <x:c r="E50" s="14"/>
      <x:c r="F50" s="15">
        <x:v>359</x:v>
      </x:c>
      <x:c r="G50" s="14" t="s">
        <x:v>11</x:v>
      </x:c>
      <x:c r="H50" s="29"/>
      <x:c r="I50" s="24" t="n">
        <x:f>2.658*135</x:f>
        <x:v>358.83</x:v>
      </x:c>
      <x:c r="J50" s="25"/>
      <x:c r="K50" s="53" t="str">
        <x:v>Glass</x:v>
      </x:c>
      <x:c r="L50" s="53" t="str">
        <x:v>Clear Toughened</x:v>
      </x:c>
      <x:c r="M50" s="53" t="str">
        <x:v>Shutter Panel</x:v>
      </x:c>
      <x:c r="N50" s="53" t="str"/>
      <x:c r="O50" s="56" t="n">
        <x:v>6</x:v>
      </x:c>
      <x:c r="P50" s="54" t="str">
        <x:v>PCS</x:v>
      </x:c>
      <x:c r="Q50" s="57" t="str"/>
      <x:c r="R50" s="57" t="n">
        <x:f>IF(I50="","",I50)</x:f>
        <x:v>358.83</x:v>
      </x:c>
      <x:c r="S50" s="57" t="str">
        <x:f>IF(OR(Q50="",R50=""),"",R50-Q50)</x:f>
      </x:c>
      <x:c r="T50" s="58" t="str">
        <x:f>IF(OR(Q50="",R50="",Q50=0),"",S50/Q50)</x:f>
      </x:c>
    </x:row>
    <x:row r="51" ht="18" customHeight="1">
      <x:c r="A51" s="9">
        <x:f t="shared" si="1"/>
        <x:v>50</x:v>
      </x:c>
      <x:c r="B51" s="10" t="s">
        <x:v>75</x:v>
      </x:c>
      <x:c r="C51" s="10"/>
      <x:c r="D51" s="12" t="s">
        <x:v>90</x:v>
      </x:c>
      <x:c r="E51" s="14"/>
      <x:c r="F51" s="15">
        <x:v>270</x:v>
      </x:c>
      <x:c r="G51" s="14" t="s">
        <x:v>87</x:v>
      </x:c>
      <x:c r="H51" s="29"/>
      <x:c r="I51" s="24" t="n">
        <x:f>1.995*135</x:f>
        <x:v>269.325</x:v>
      </x:c>
      <x:c r="J51" s="25"/>
      <x:c r="K51" s="53" t="str">
        <x:v>Glass</x:v>
      </x:c>
      <x:c r="L51" s="53" t="str">
        <x:v>Clear Toughened</x:v>
      </x:c>
      <x:c r="M51" s="53" t="str">
        <x:v>Shutter Panel</x:v>
      </x:c>
      <x:c r="N51" s="53" t="str"/>
      <x:c r="O51" s="56" t="n">
        <x:v>6</x:v>
      </x:c>
      <x:c r="P51" s="54" t="str">
        <x:v>PCS</x:v>
      </x:c>
      <x:c r="Q51" s="57" t="str"/>
      <x:c r="R51" s="57" t="n">
        <x:f>IF(I51="","",I51)</x:f>
        <x:v>269.325</x:v>
      </x:c>
      <x:c r="S51" s="57" t="str">
        <x:f>IF(OR(Q51="",R51=""),"",R51-Q51)</x:f>
      </x:c>
      <x:c r="T51" s="58" t="str">
        <x:f>IF(OR(Q51="",R51="",Q51=0),"",S51/Q51)</x:f>
      </x:c>
    </x:row>
    <x:row r="52" ht="18" customHeight="1">
      <x:c r="A52" s="9">
        <x:f t="shared" si="1"/>
        <x:v>51</x:v>
      </x:c>
      <x:c r="B52" s="10" t="s">
        <x:v>75</x:v>
      </x:c>
      <x:c r="C52" s="10"/>
      <x:c r="D52" s="12" t="s">
        <x:v>91</x:v>
      </x:c>
      <x:c r="E52" s="14" t="s">
        <x:v>92</x:v>
      </x:c>
      <x:c r="F52" s="15">
        <x:v>5.47</x:v>
      </x:c>
      <x:c r="G52" s="14" t="s">
        <x:v>87</x:v>
      </x:c>
      <x:c r="H52" s="29"/>
      <x:c r="I52" s="24">
        <x:v>6.2249999999999996</x:v>
      </x:c>
      <x:c r="J52" s="25"/>
      <x:c r="K52" s="53" t="str">
        <x:v>Glass</x:v>
      </x:c>
      <x:c r="L52" s="53" t="str">
        <x:v>Clear Toughened</x:v>
      </x:c>
      <x:c r="M52" s="53" t="str">
        <x:v>Shutter Panel</x:v>
      </x:c>
      <x:c r="N52" s="53" t="str">
        <x:v>Ebco</x:v>
      </x:c>
      <x:c r="O52" s="56" t="str"/>
      <x:c r="P52" s="54" t="str">
        <x:v>PCS</x:v>
      </x:c>
      <x:c r="Q52" s="57" t="str"/>
      <x:c r="R52" s="57" t="n">
        <x:f>IF(I52="","",I52)</x:f>
        <x:v>6.225</x:v>
      </x:c>
      <x:c r="S52" s="57" t="str">
        <x:f>IF(OR(Q52="",R52=""),"",R52-Q52)</x:f>
      </x:c>
      <x:c r="T52" s="58" t="str">
        <x:f>IF(OR(Q52="",R52="",Q52=0),"",S52/Q52)</x:f>
      </x:c>
    </x:row>
    <x:row r="53" ht="15.75" customHeight="1">
      <x:c r="A53" s="9">
        <x:f t="shared" si="1"/>
        <x:v>52</x:v>
      </x:c>
      <x:c r="B53" s="10" t="s">
        <x:v>93</x:v>
      </x:c>
      <x:c r="C53" s="10"/>
      <x:c r="D53" s="12" t="s">
        <x:v>94</x:v>
      </x:c>
      <x:c r="E53" s="14"/>
      <x:c r="F53" s="15">
        <x:v>5.67</x:v>
      </x:c>
      <x:c r="G53" s="14" t="s">
        <x:v>82</x:v>
      </x:c>
      <x:c r="H53" s="29"/>
      <x:c r="I53" s="24">
        <x:v>4.5</x:v>
      </x:c>
      <x:c r="J53" s="25"/>
      <x:c r="K53" s="53" t="str">
        <x:v>Assembly Hardware</x:v>
      </x:c>
      <x:c r="L53" s="53" t="str">
        <x:v>Mini Fix</x:v>
      </x:c>
      <x:c r="M53" s="53" t="str">
        <x:v>Standard</x:v>
      </x:c>
      <x:c r="N53" s="53" t="str"/>
      <x:c r="O53" s="56" t="str"/>
      <x:c r="P53" s="54" t="str">
        <x:v>SET</x:v>
      </x:c>
      <x:c r="Q53" s="57" t="str"/>
      <x:c r="R53" s="57" t="n">
        <x:f>IF(I53="","",I53)</x:f>
        <x:v>4.5</x:v>
      </x:c>
      <x:c r="S53" s="57" t="str">
        <x:f>IF(OR(Q53="",R53=""),"",R53-Q53)</x:f>
      </x:c>
      <x:c r="T53" s="58" t="str">
        <x:f>IF(OR(Q53="",R53="",Q53=0),"",S53/Q53)</x:f>
      </x:c>
    </x:row>
    <x:row r="54" ht="15.75" customHeight="1">
      <x:c r="A54" s="9">
        <x:f t="shared" si="1"/>
        <x:v>53</x:v>
      </x:c>
      <x:c r="B54" s="10" t="s">
        <x:v>93</x:v>
      </x:c>
      <x:c r="C54" s="10"/>
      <x:c r="D54" s="12" t="s">
        <x:v>95</x:v>
      </x:c>
      <x:c r="E54" s="14" t="s">
        <x:v>92</x:v>
      </x:c>
      <x:c r="F54" s="15">
        <x:v>0.56999999999999995</x:v>
      </x:c>
      <x:c r="G54" s="14" t="s">
        <x:v>87</x:v>
      </x:c>
      <x:c r="H54" s="29"/>
      <x:c r="I54" s="24">
        <x:v>0.3</x:v>
      </x:c>
      <x:c r="J54" s="25"/>
      <x:c r="K54" s="53" t="str">
        <x:v>Assembly Hardware</x:v>
      </x:c>
      <x:c r="L54" s="53" t="str">
        <x:v>Dowel</x:v>
      </x:c>
      <x:c r="M54" s="53" t="str">
        <x:v>8 × 40 mm</x:v>
      </x:c>
      <x:c r="N54" s="53" t="str">
        <x:v>Ebco</x:v>
      </x:c>
      <x:c r="O54" s="56" t="str"/>
      <x:c r="P54" s="54" t="str">
        <x:v>PCS</x:v>
      </x:c>
      <x:c r="Q54" s="57" t="str"/>
      <x:c r="R54" s="57" t="n">
        <x:f>IF(I54="","",I54)</x:f>
        <x:v>0.3</x:v>
      </x:c>
      <x:c r="S54" s="57" t="str">
        <x:f>IF(OR(Q54="",R54=""),"",R54-Q54)</x:f>
      </x:c>
      <x:c r="T54" s="58" t="str">
        <x:f>IF(OR(Q54="",R54="",Q54=0),"",S54/Q54)</x:f>
      </x:c>
    </x:row>
    <x:row r="55" ht="15.75" customHeight="1">
      <x:c r="A55" s="9">
        <x:f t="shared" si="1"/>
        <x:v>54</x:v>
      </x:c>
      <x:c r="B55" s="10" t="s">
        <x:v>93</x:v>
      </x:c>
      <x:c r="C55" s="10"/>
      <x:c r="D55" s="12" t="s">
        <x:v>96</x:v>
      </x:c>
      <x:c r="E55" s="14"/>
      <x:c r="F55" s="15">
        <x:v>0.4</x:v>
      </x:c>
      <x:c r="G55" s="14" t="s">
        <x:v>87</x:v>
      </x:c>
      <x:c r="H55" s="29"/>
      <x:c r="I55" s="24">
        <x:v>0.4</x:v>
      </x:c>
      <x:c r="J55" s="25"/>
      <x:c r="K55" s="53" t="str">
        <x:v>Assembly Hardware</x:v>
      </x:c>
      <x:c r="L55" s="53" t="str">
        <x:v>Screw</x:v>
      </x:c>
      <x:c r="M55" s="53" t="str">
        <x:v>16 mm</x:v>
      </x:c>
      <x:c r="N55" s="53" t="str"/>
      <x:c r="O55" s="56" t="str"/>
      <x:c r="P55" s="54" t="str">
        <x:v>PCS</x:v>
      </x:c>
      <x:c r="Q55" s="57" t="str"/>
      <x:c r="R55" s="57" t="n">
        <x:f>IF(I55="","",I55)</x:f>
        <x:v>0.4</x:v>
      </x:c>
      <x:c r="S55" s="57" t="str">
        <x:f>IF(OR(Q55="",R55=""),"",R55-Q55)</x:f>
      </x:c>
      <x:c r="T55" s="58" t="str">
        <x:f>IF(OR(Q55="",R55="",Q55=0),"",S55/Q55)</x:f>
      </x:c>
    </x:row>
    <x:row r="56" ht="15.75" customHeight="1">
      <x:c r="A56" s="9">
        <x:f t="shared" si="1"/>
        <x:v>55</x:v>
      </x:c>
      <x:c r="B56" s="10" t="s">
        <x:v>93</x:v>
      </x:c>
      <x:c r="C56" s="10"/>
      <x:c r="D56" s="12" t="s">
        <x:v>97</x:v>
      </x:c>
      <x:c r="E56" s="14"/>
      <x:c r="F56" s="15">
        <x:v>0.72</x:v>
      </x:c>
      <x:c r="G56" s="14" t="s">
        <x:v>87</x:v>
      </x:c>
      <x:c r="H56" s="29"/>
      <x:c r="I56" s="24" t="n">
        <x:f>VLOOKUP(D56,Sheet2!B57:D1896,3,0)</x:f>
        <x:v>0.72</x:v>
      </x:c>
      <x:c r="J56" s="25"/>
      <x:c r="K56" s="53" t="str">
        <x:v>Assembly Hardware</x:v>
      </x:c>
      <x:c r="L56" s="53" t="str">
        <x:v>Screw</x:v>
      </x:c>
      <x:c r="M56" s="53" t="str">
        <x:v>30 mm</x:v>
      </x:c>
      <x:c r="N56" s="53" t="str"/>
      <x:c r="O56" s="56" t="str"/>
      <x:c r="P56" s="54" t="str">
        <x:v>PCS</x:v>
      </x:c>
      <x:c r="Q56" s="57" t="str"/>
      <x:c r="R56" s="57" t="n">
        <x:f>IF(I56="","",I56)</x:f>
        <x:v>0.72</x:v>
      </x:c>
      <x:c r="S56" s="57" t="str">
        <x:f>IF(OR(Q56="",R56=""),"",R56-Q56)</x:f>
      </x:c>
      <x:c r="T56" s="58" t="str">
        <x:f>IF(OR(Q56="",R56="",Q56=0),"",S56/Q56)</x:f>
      </x:c>
    </x:row>
    <x:row r="57" ht="15.75" customHeight="1">
      <x:c r="A57" s="9">
        <x:f t="shared" si="1"/>
        <x:v>56</x:v>
      </x:c>
      <x:c r="B57" s="10" t="s">
        <x:v>93</x:v>
      </x:c>
      <x:c r="C57" s="10"/>
      <x:c r="D57" s="12" t="s">
        <x:v>98</x:v>
      </x:c>
      <x:c r="E57" s="14"/>
      <x:c r="F57" s="15">
        <x:v>0.62</x:v>
      </x:c>
      <x:c r="G57" s="14" t="s">
        <x:v>87</x:v>
      </x:c>
      <x:c r="H57" s="29"/>
      <x:c r="I57" s="24" t="n">
        <x:f>VLOOKUP(D57,Sheet2!B58:D1897,3,0)</x:f>
        <x:v>0.62</x:v>
      </x:c>
      <x:c r="J57" s="25"/>
      <x:c r="K57" s="53" t="str">
        <x:v>Assembly Hardware</x:v>
      </x:c>
      <x:c r="L57" s="53" t="str">
        <x:v>Screw</x:v>
      </x:c>
      <x:c r="M57" s="53" t="str">
        <x:v>25 mm</x:v>
      </x:c>
      <x:c r="N57" s="53" t="str"/>
      <x:c r="O57" s="56" t="str"/>
      <x:c r="P57" s="54" t="str">
        <x:v>PCS</x:v>
      </x:c>
      <x:c r="Q57" s="57" t="str"/>
      <x:c r="R57" s="57" t="n">
        <x:f>IF(I57="","",I57)</x:f>
        <x:v>0.62</x:v>
      </x:c>
      <x:c r="S57" s="57" t="str">
        <x:f>IF(OR(Q57="",R57=""),"",R57-Q57)</x:f>
      </x:c>
      <x:c r="T57" s="58" t="str">
        <x:f>IF(OR(Q57="",R57="",Q57=0),"",S57/Q57)</x:f>
      </x:c>
    </x:row>
    <x:row r="58" ht="15.75" customHeight="1">
      <x:c r="A58" s="9">
        <x:f t="shared" si="1"/>
        <x:v>57</x:v>
      </x:c>
      <x:c r="B58" s="10" t="s">
        <x:v>93</x:v>
      </x:c>
      <x:c r="C58" s="10"/>
      <x:c r="D58" s="12" t="s">
        <x:v>99</x:v>
      </x:c>
      <x:c r="E58" s="14" t="s">
        <x:v>92</x:v>
      </x:c>
      <x:c r="F58" s="15">
        <x:v>0.55000000000000004</x:v>
      </x:c>
      <x:c r="G58" s="14" t="s">
        <x:v>87</x:v>
      </x:c>
      <x:c r="H58" s="29"/>
      <x:c r="I58" s="24">
        <x:v>0.4</x:v>
      </x:c>
      <x:c r="J58" s="25"/>
      <x:c r="K58" s="53" t="str">
        <x:v>Assembly Hardware</x:v>
      </x:c>
      <x:c r="L58" s="53" t="str">
        <x:v>PVC Insert</x:v>
      </x:c>
      <x:c r="M58" s="53" t="str">
        <x:v>13 mm</x:v>
      </x:c>
      <x:c r="N58" s="53" t="str">
        <x:v>Ebco</x:v>
      </x:c>
      <x:c r="O58" s="56" t="str"/>
      <x:c r="P58" s="54" t="str">
        <x:v>PCS</x:v>
      </x:c>
      <x:c r="Q58" s="57" t="str"/>
      <x:c r="R58" s="57" t="n">
        <x:f>IF(I58="","",I58)</x:f>
        <x:v>0.4</x:v>
      </x:c>
      <x:c r="S58" s="57" t="str">
        <x:f>IF(OR(Q58="",R58=""),"",R58-Q58)</x:f>
      </x:c>
      <x:c r="T58" s="58" t="str">
        <x:f>IF(OR(Q58="",R58="",Q58=0),"",S58/Q58)</x:f>
      </x:c>
    </x:row>
    <x:row r="59" ht="15.75" customHeight="1">
      <x:c r="A59" s="9">
        <x:f t="shared" si="1"/>
        <x:v>58</x:v>
      </x:c>
      <x:c r="B59" s="10" t="s">
        <x:v>93</x:v>
      </x:c>
      <x:c r="C59" s="10"/>
      <x:c r="D59" s="12" t="s">
        <x:v>100</x:v>
      </x:c>
      <x:c r="E59" s="14"/>
      <x:c r="F59" s="15">
        <x:v>4</x:v>
      </x:c>
      <x:c r="G59" s="14" t="s">
        <x:v>87</x:v>
      </x:c>
      <x:c r="H59" s="29"/>
      <x:c r="I59" s="24">
        <x:v>1.98</x:v>
      </x:c>
      <x:c r="J59" s="25"/>
      <x:c r="K59" s="53" t="str">
        <x:v>Assembly Hardware</x:v>
      </x:c>
      <x:c r="L59" s="53" t="str">
        <x:v>Shelf Support</x:v>
      </x:c>
      <x:c r="M59" s="53" t="str">
        <x:v>14 mm</x:v>
      </x:c>
      <x:c r="N59" s="53" t="str"/>
      <x:c r="O59" s="56" t="str"/>
      <x:c r="P59" s="54" t="str">
        <x:v>PCS</x:v>
      </x:c>
      <x:c r="Q59" s="57" t="str"/>
      <x:c r="R59" s="57" t="n">
        <x:f>IF(I59="","",I59)</x:f>
        <x:v>1.98</x:v>
      </x:c>
      <x:c r="S59" s="57" t="str">
        <x:f>IF(OR(Q59="",R59=""),"",R59-Q59)</x:f>
      </x:c>
      <x:c r="T59" s="58" t="str">
        <x:f>IF(OR(Q59="",R59="",Q59=0),"",S59/Q59)</x:f>
      </x:c>
    </x:row>
    <x:row r="60" ht="15.75" customHeight="1">
      <x:c r="A60" s="9">
        <x:f t="shared" si="1"/>
        <x:v>59</x:v>
      </x:c>
      <x:c r="B60" s="10" t="s">
        <x:v>93</x:v>
      </x:c>
      <x:c r="C60" s="10"/>
      <x:c r="D60" s="12" t="s">
        <x:v>101</x:v>
      </x:c>
      <x:c r="E60" s="14"/>
      <x:c r="F60" s="15">
        <x:v>3</x:v>
      </x:c>
      <x:c r="G60" s="14" t="s">
        <x:v>87</x:v>
      </x:c>
      <x:c r="H60" s="29"/>
      <x:c r="I60" s="24">
        <x:v>1.97</x:v>
      </x:c>
      <x:c r="J60" s="25"/>
      <x:c r="K60" s="53" t="str">
        <x:v>Assembly Hardware</x:v>
      </x:c>
      <x:c r="L60" s="53" t="str">
        <x:v>Screw</x:v>
      </x:c>
      <x:c r="M60" s="53" t="str">
        <x:v>Standard</x:v>
      </x:c>
      <x:c r="N60" s="53" t="str"/>
      <x:c r="O60" s="56" t="str"/>
      <x:c r="P60" s="54" t="str">
        <x:v>PCS</x:v>
      </x:c>
      <x:c r="Q60" s="57" t="str"/>
      <x:c r="R60" s="57" t="n">
        <x:f>IF(I60="","",I60)</x:f>
        <x:v>1.97</x:v>
      </x:c>
      <x:c r="S60" s="57" t="str">
        <x:f>IF(OR(Q60="",R60=""),"",R60-Q60)</x:f>
      </x:c>
      <x:c r="T60" s="58" t="str">
        <x:f>IF(OR(Q60="",R60="",Q60=0),"",S60/Q60)</x:f>
      </x:c>
    </x:row>
    <x:row r="61" ht="15.75" customHeight="1">
      <x:c r="A61" s="9">
        <x:f t="shared" si="1"/>
        <x:v>60</x:v>
      </x:c>
      <x:c r="B61" s="10" t="s">
        <x:v>93</x:v>
      </x:c>
      <x:c r="C61" s="10"/>
      <x:c r="D61" s="12" t="s">
        <x:v>102</x:v>
      </x:c>
      <x:c r="E61" s="14"/>
      <x:c r="F61" s="15">
        <x:v>3.5</x:v>
      </x:c>
      <x:c r="G61" s="14" t="s">
        <x:v>87</x:v>
      </x:c>
      <x:c r="H61" s="29"/>
      <x:c r="I61" s="24">
        <x:v>3.5</x:v>
      </x:c>
      <x:c r="J61" s="25"/>
      <x:c r="K61" s="53" t="str">
        <x:v>Assembly Hardware</x:v>
      </x:c>
      <x:c r="L61" s="53" t="str">
        <x:v>Profile Connector</x:v>
      </x:c>
      <x:c r="M61" s="53" t="str">
        <x:v>Standard</x:v>
      </x:c>
      <x:c r="N61" s="53" t="str"/>
      <x:c r="O61" s="56" t="str"/>
      <x:c r="P61" s="54" t="str">
        <x:v>PCS</x:v>
      </x:c>
      <x:c r="Q61" s="57" t="str"/>
      <x:c r="R61" s="57" t="n">
        <x:f>IF(I61="","",I61)</x:f>
        <x:v>3.5</x:v>
      </x:c>
      <x:c r="S61" s="57" t="str">
        <x:f>IF(OR(Q61="",R61=""),"",R61-Q61)</x:f>
      </x:c>
      <x:c r="T61" s="58" t="str">
        <x:f>IF(OR(Q61="",R61="",Q61=0),"",S61/Q61)</x:f>
      </x:c>
    </x:row>
    <x:row r="62" ht="15.75" customHeight="1">
      <x:c r="A62" s="9">
        <x:f t="shared" si="1"/>
        <x:v>61</x:v>
      </x:c>
      <x:c r="B62" s="10" t="s">
        <x:v>93</x:v>
      </x:c>
      <x:c r="C62" s="10"/>
      <x:c r="D62" s="31" t="s">
        <x:v>103</x:v>
      </x:c>
      <x:c r="E62" s="32" t="s">
        <x:v>92</x:v>
      </x:c>
      <x:c r="F62" s="15">
        <x:v>1.04</x:v>
      </x:c>
      <x:c r="G62" s="14" t="s">
        <x:v>87</x:v>
      </x:c>
      <x:c r="H62" s="29"/>
      <x:c r="I62" s="24">
        <x:v>1.0449999999999999</x:v>
      </x:c>
      <x:c r="J62" s="25"/>
      <x:c r="K62" s="53" t="str">
        <x:v>Assembly Hardware</x:v>
      </x:c>
      <x:c r="L62" s="53" t="str">
        <x:v>Buffer</x:v>
      </x:c>
      <x:c r="M62" s="53" t="str">
        <x:v>Standard</x:v>
      </x:c>
      <x:c r="N62" s="53" t="str">
        <x:v>Ebco</x:v>
      </x:c>
      <x:c r="O62" s="56" t="str"/>
      <x:c r="P62" s="54" t="str">
        <x:v>PCS</x:v>
      </x:c>
      <x:c r="Q62" s="57" t="str"/>
      <x:c r="R62" s="57" t="n">
        <x:f>IF(I62="","",I62)</x:f>
        <x:v>1.045</x:v>
      </x:c>
      <x:c r="S62" s="57" t="str">
        <x:f>IF(OR(Q62="",R62=""),"",R62-Q62)</x:f>
      </x:c>
      <x:c r="T62" s="58" t="str">
        <x:f>IF(OR(Q62="",R62="",Q62=0),"",S62/Q62)</x:f>
      </x:c>
    </x:row>
    <x:row r="63" ht="15.75" customHeight="1">
      <x:c r="A63" s="9">
        <x:f t="shared" si="1"/>
        <x:v>62</x:v>
      </x:c>
      <x:c r="B63" s="10" t="s">
        <x:v>93</x:v>
      </x:c>
      <x:c r="C63" s="10"/>
      <x:c r="D63" s="12" t="s">
        <x:v>104</x:v>
      </x:c>
      <x:c r="E63" s="14"/>
      <x:c r="F63" s="15">
        <x:v>55</x:v>
      </x:c>
      <x:c r="G63" s="14" t="s">
        <x:v>82</x:v>
      </x:c>
      <x:c r="H63" s="29"/>
      <x:c r="I63" s="24">
        <x:v>55</x:v>
      </x:c>
      <x:c r="J63" s="25"/>
      <x:c r="K63" s="53" t="str">
        <x:v>Assembly Hardware</x:v>
      </x:c>
      <x:c r="L63" s="53" t="str">
        <x:v>Hanging Bracket</x:v>
      </x:c>
      <x:c r="M63" s="53" t="str">
        <x:v>Standard</x:v>
      </x:c>
      <x:c r="N63" s="53" t="str"/>
      <x:c r="O63" s="56" t="str"/>
      <x:c r="P63" s="54" t="str">
        <x:v>SET</x:v>
      </x:c>
      <x:c r="Q63" s="57" t="str"/>
      <x:c r="R63" s="57" t="n">
        <x:f>IF(I63="","",I63)</x:f>
        <x:v>55</x:v>
      </x:c>
      <x:c r="S63" s="57" t="str">
        <x:f>IF(OR(Q63="",R63=""),"",R63-Q63)</x:f>
      </x:c>
      <x:c r="T63" s="58" t="str">
        <x:f>IF(OR(Q63="",R63="",Q63=0),"",S63/Q63)</x:f>
      </x:c>
    </x:row>
    <x:row r="64" ht="15.75" customHeight="1">
      <x:c r="A64" s="9">
        <x:f t="shared" si="1"/>
        <x:v>63</x:v>
      </x:c>
      <x:c r="B64" s="10" t="s">
        <x:v>93</x:v>
      </x:c>
      <x:c r="C64" s="10"/>
      <x:c r="D64" s="14" t="s">
        <x:v>105</x:v>
      </x:c>
      <x:c r="E64" s="14"/>
      <x:c r="F64" s="15">
        <x:v>1.1100000000000001</x:v>
      </x:c>
      <x:c r="G64" s="14" t="s">
        <x:v>87</x:v>
      </x:c>
      <x:c r="H64" s="29"/>
      <x:c r="I64" s="24">
        <x:v>1.1000000000000001</x:v>
      </x:c>
      <x:c r="J64" s="25"/>
      <x:c r="K64" s="53" t="str">
        <x:v>Assembly Hardware</x:v>
      </x:c>
      <x:c r="L64" s="53" t="str">
        <x:v>PVC Gitti</x:v>
      </x:c>
      <x:c r="M64" s="53" t="str">
        <x:v>62 mm</x:v>
      </x:c>
      <x:c r="N64" s="53" t="str"/>
      <x:c r="O64" s="56" t="str"/>
      <x:c r="P64" s="54" t="str">
        <x:v>PCS</x:v>
      </x:c>
      <x:c r="Q64" s="57" t="str"/>
      <x:c r="R64" s="57" t="n">
        <x:f>IF(I64="","",I64)</x:f>
        <x:v>1.1</x:v>
      </x:c>
      <x:c r="S64" s="57" t="str">
        <x:f>IF(OR(Q64="",R64=""),"",R64-Q64)</x:f>
      </x:c>
      <x:c r="T64" s="58" t="str">
        <x:f>IF(OR(Q64="",R64="",Q64=0),"",S64/Q64)</x:f>
      </x:c>
    </x:row>
    <x:row r="65" ht="15.75" customHeight="1">
      <x:c r="A65" s="9">
        <x:f t="shared" si="1"/>
        <x:v>64</x:v>
      </x:c>
      <x:c r="B65" s="10" t="s">
        <x:v>93</x:v>
      </x:c>
      <x:c r="C65" s="10"/>
      <x:c r="D65" s="12" t="s">
        <x:v>106</x:v>
      </x:c>
      <x:c r="E65" s="14"/>
      <x:c r="F65" s="15">
        <x:v>2.1</x:v>
      </x:c>
      <x:c r="G65" s="14" t="s">
        <x:v>87</x:v>
      </x:c>
      <x:c r="H65" s="29"/>
      <x:c r="I65" s="24">
        <x:v>2.1</x:v>
      </x:c>
      <x:c r="J65" s="25"/>
      <x:c r="K65" s="53" t="str">
        <x:v>Assembly Hardware</x:v>
      </x:c>
      <x:c r="L65" s="53" t="str">
        <x:v>Screw</x:v>
      </x:c>
      <x:c r="M65" s="53" t="str">
        <x:v>75 mm</x:v>
      </x:c>
      <x:c r="N65" s="53" t="str"/>
      <x:c r="O65" s="56" t="str"/>
      <x:c r="P65" s="54" t="str">
        <x:v>PCS</x:v>
      </x:c>
      <x:c r="Q65" s="57" t="str"/>
      <x:c r="R65" s="57" t="n">
        <x:f>IF(I65="","",I65)</x:f>
        <x:v>2.1</x:v>
      </x:c>
      <x:c r="S65" s="57" t="str">
        <x:f>IF(OR(Q65="",R65=""),"",R65-Q65)</x:f>
      </x:c>
      <x:c r="T65" s="58" t="str">
        <x:f>IF(OR(Q65="",R65="",Q65=0),"",S65/Q65)</x:f>
      </x:c>
    </x:row>
    <x:row r="66" ht="15.75" customHeight="1">
      <x:c r="A66" s="9">
        <x:f t="shared" si="1"/>
        <x:v>65</x:v>
      </x:c>
      <x:c r="B66" s="10" t="s">
        <x:v>93</x:v>
      </x:c>
      <x:c r="C66" s="10"/>
      <x:c r="D66" s="12" t="s">
        <x:v>107</x:v>
      </x:c>
      <x:c r="E66" s="14" t="s">
        <x:v>92</x:v>
      </x:c>
      <x:c r="F66" s="15">
        <x:v>2.4500000000000002</x:v>
      </x:c>
      <x:c r="G66" s="14" t="s">
        <x:v>87</x:v>
      </x:c>
      <x:c r="H66" s="29"/>
      <x:c r="I66" s="24">
        <x:v>2.4700000000000002</x:v>
      </x:c>
      <x:c r="J66" s="25"/>
      <x:c r="K66" s="53" t="str">
        <x:v>Assembly Hardware</x:v>
      </x:c>
      <x:c r="L66" s="53" t="str">
        <x:v>Bracket</x:v>
      </x:c>
      <x:c r="M66" s="53" t="str">
        <x:v>Standard</x:v>
      </x:c>
      <x:c r="N66" s="53" t="str">
        <x:v>Ebco</x:v>
      </x:c>
      <x:c r="O66" s="56" t="str"/>
      <x:c r="P66" s="54" t="str">
        <x:v>PCS</x:v>
      </x:c>
      <x:c r="Q66" s="57" t="str"/>
      <x:c r="R66" s="57" t="n">
        <x:f>IF(I66="","",I66)</x:f>
        <x:v>2.47</x:v>
      </x:c>
      <x:c r="S66" s="57" t="str">
        <x:f>IF(OR(Q66="",R66=""),"",R66-Q66)</x:f>
      </x:c>
      <x:c r="T66" s="58" t="str">
        <x:f>IF(OR(Q66="",R66="",Q66=0),"",S66/Q66)</x:f>
      </x:c>
    </x:row>
    <x:row r="67" ht="15.75" customHeight="1">
      <x:c r="A67" s="9">
        <x:f t="shared" si="1"/>
        <x:v>66</x:v>
      </x:c>
      <x:c r="B67" s="10" t="s">
        <x:v>93</x:v>
      </x:c>
      <x:c r="C67" s="10"/>
      <x:c r="D67" s="12" t="s">
        <x:v>108</x:v>
      </x:c>
      <x:c r="E67" s="14" t="s">
        <x:v>92</x:v>
      </x:c>
      <x:c r="F67" s="15">
        <x:v>6.65</x:v>
      </x:c>
      <x:c r="G67" s="14" t="s">
        <x:v>87</x:v>
      </x:c>
      <x:c r="H67" s="29"/>
      <x:c r="I67" s="24">
        <x:v>6.7069999999999999</x:v>
      </x:c>
      <x:c r="J67" s="25"/>
      <x:c r="K67" s="53" t="str">
        <x:v>Assembly Hardware</x:v>
      </x:c>
      <x:c r="L67" s="53" t="str">
        <x:v>Bracket</x:v>
      </x:c>
      <x:c r="M67" s="53" t="str">
        <x:v>6 mm</x:v>
      </x:c>
      <x:c r="N67" s="53" t="str">
        <x:v>Ebco</x:v>
      </x:c>
      <x:c r="O67" s="56" t="str"/>
      <x:c r="P67" s="54" t="str">
        <x:v>PCS</x:v>
      </x:c>
      <x:c r="Q67" s="57" t="str"/>
      <x:c r="R67" s="57" t="n">
        <x:f>IF(I67="","",I67)</x:f>
        <x:v>6.707</x:v>
      </x:c>
      <x:c r="S67" s="57" t="str">
        <x:f>IF(OR(Q67="",R67=""),"",R67-Q67)</x:f>
      </x:c>
      <x:c r="T67" s="58" t="str">
        <x:f>IF(OR(Q67="",R67="",Q67=0),"",S67/Q67)</x:f>
      </x:c>
    </x:row>
    <x:row r="68" ht="15.75" customHeight="1">
      <x:c r="A68" s="9">
        <x:f t="shared" si="1"/>
        <x:v>67</x:v>
      </x:c>
      <x:c r="B68" s="10" t="s">
        <x:v>93</x:v>
      </x:c>
      <x:c r="C68" s="10"/>
      <x:c r="D68" s="12" t="s">
        <x:v>109</x:v>
      </x:c>
      <x:c r="E68" s="14"/>
      <x:c r="F68" s="15">
        <x:v>24</x:v>
      </x:c>
      <x:c r="G68" s="14" t="s">
        <x:v>82</x:v>
      </x:c>
      <x:c r="H68" s="29"/>
      <x:c r="I68" s="24">
        <x:v>24</x:v>
      </x:c>
      <x:c r="J68" s="25"/>
      <x:c r="K68" s="53" t="str">
        <x:v>Assembly Hardware</x:v>
      </x:c>
      <x:c r="L68" s="53" t="str">
        <x:v>Panel Fixing</x:v>
      </x:c>
      <x:c r="M68" s="53" t="str">
        <x:v>Standard</x:v>
      </x:c>
      <x:c r="N68" s="53" t="str"/>
      <x:c r="O68" s="56" t="str"/>
      <x:c r="P68" s="54" t="str">
        <x:v>SET</x:v>
      </x:c>
      <x:c r="Q68" s="57" t="str"/>
      <x:c r="R68" s="57" t="n">
        <x:f>IF(I68="","",I68)</x:f>
        <x:v>24</x:v>
      </x:c>
      <x:c r="S68" s="57" t="str">
        <x:f>IF(OR(Q68="",R68=""),"",R68-Q68)</x:f>
      </x:c>
      <x:c r="T68" s="58" t="str">
        <x:f>IF(OR(Q68="",R68="",Q68=0),"",S68/Q68)</x:f>
      </x:c>
    </x:row>
    <x:row r="69" ht="15.75" customHeight="1">
      <x:c r="A69" s="9">
        <x:f t="shared" si="1"/>
        <x:v>68</x:v>
      </x:c>
      <x:c r="B69" s="10" t="s">
        <x:v>93</x:v>
      </x:c>
      <x:c r="C69" s="10"/>
      <x:c r="D69" s="12" t="s">
        <x:v>110</x:v>
      </x:c>
      <x:c r="E69" s="10" t="s">
        <x:v>92</x:v>
      </x:c>
      <x:c r="F69" s="15">
        <x:v>2.64</x:v>
      </x:c>
      <x:c r="G69" s="10" t="s">
        <x:v>87</x:v>
      </x:c>
      <x:c r="H69" s="29"/>
      <x:c r="I69" s="24">
        <x:v>2.4500000000000002</x:v>
      </x:c>
      <x:c r="J69" s="25"/>
      <x:c r="K69" s="53" t="str">
        <x:v>Assembly Hardware</x:v>
      </x:c>
      <x:c r="L69" s="53" t="str">
        <x:v>Cabinet Connector</x:v>
      </x:c>
      <x:c r="M69" s="53" t="str">
        <x:v>Standard</x:v>
      </x:c>
      <x:c r="N69" s="53" t="str">
        <x:v>Ebco</x:v>
      </x:c>
      <x:c r="O69" s="56" t="str"/>
      <x:c r="P69" s="54" t="str">
        <x:v>PCS</x:v>
      </x:c>
      <x:c r="Q69" s="57" t="str"/>
      <x:c r="R69" s="57" t="n">
        <x:f>IF(I69="","",I69)</x:f>
        <x:v>2.45</x:v>
      </x:c>
      <x:c r="S69" s="57" t="str">
        <x:f>IF(OR(Q69="",R69=""),"",R69-Q69)</x:f>
      </x:c>
      <x:c r="T69" s="58" t="str">
        <x:f>IF(OR(Q69="",R69="",Q69=0),"",S69/Q69)</x:f>
      </x:c>
    </x:row>
    <x:row r="70" ht="15.75" customHeight="1">
      <x:c r="A70" s="9">
        <x:f t="shared" si="1"/>
        <x:v>69</x:v>
      </x:c>
      <x:c r="B70" s="10" t="s">
        <x:v>93</x:v>
      </x:c>
      <x:c r="C70" s="10"/>
      <x:c r="D70" s="12" t="s">
        <x:v>111</x:v>
      </x:c>
      <x:c r="E70" s="10" t="s">
        <x:v>92</x:v>
      </x:c>
      <x:c r="F70" s="15">
        <x:v>64.39</x:v>
      </x:c>
      <x:c r="G70" s="10" t="s">
        <x:v>87</x:v>
      </x:c>
      <x:c r="H70" s="29"/>
      <x:c r="I70" s="24">
        <x:v>64.875500000000002</x:v>
      </x:c>
      <x:c r="J70" s="25"/>
      <x:c r="K70" s="53" t="str">
        <x:v>Assembly Hardware</x:v>
      </x:c>
      <x:c r="L70" s="53" t="str">
        <x:v>Plinth Leg</x:v>
      </x:c>
      <x:c r="M70" s="53" t="str">
        <x:v>Standard</x:v>
      </x:c>
      <x:c r="N70" s="53" t="str">
        <x:v>Ebco</x:v>
      </x:c>
      <x:c r="O70" s="56" t="str"/>
      <x:c r="P70" s="54" t="str">
        <x:v>PCS</x:v>
      </x:c>
      <x:c r="Q70" s="57" t="str"/>
      <x:c r="R70" s="57" t="n">
        <x:f>IF(I70="","",I70)</x:f>
        <x:v>64.8755</x:v>
      </x:c>
      <x:c r="S70" s="57" t="str">
        <x:f>IF(OR(Q70="",R70=""),"",R70-Q70)</x:f>
      </x:c>
      <x:c r="T70" s="58" t="str">
        <x:f>IF(OR(Q70="",R70="",Q70=0),"",S70/Q70)</x:f>
      </x:c>
    </x:row>
    <x:row r="71" ht="15.75" customHeight="1">
      <x:c r="A71" s="9">
        <x:f t="shared" si="1"/>
        <x:v>70</x:v>
      </x:c>
      <x:c r="B71" s="10" t="s">
        <x:v>93</x:v>
      </x:c>
      <x:c r="C71" s="10"/>
      <x:c r="D71" s="12" t="s">
        <x:v>112</x:v>
      </x:c>
      <x:c r="E71" s="10" t="s">
        <x:v>92</x:v>
      </x:c>
      <x:c r="F71" s="15">
        <x:v>82</x:v>
      </x:c>
      <x:c r="G71" s="10" t="s">
        <x:v>41</x:v>
      </x:c>
      <x:c r="H71" s="29"/>
      <x:c r="I71" s="24">
        <x:v>82.65</x:v>
      </x:c>
      <x:c r="J71" s="25"/>
      <x:c r="K71" s="53" t="str">
        <x:v>Profile</x:v>
      </x:c>
      <x:c r="L71" s="53" t="str">
        <x:v>Door Seal Profile</x:v>
      </x:c>
      <x:c r="M71" s="53" t="str">
        <x:v>Anthracite</x:v>
      </x:c>
      <x:c r="N71" s="53" t="str">
        <x:v>Ebco</x:v>
      </x:c>
      <x:c r="O71" s="56" t="str"/>
      <x:c r="P71" s="54" t="str">
        <x:v>MTR</x:v>
      </x:c>
      <x:c r="Q71" s="57" t="str"/>
      <x:c r="R71" s="57" t="n">
        <x:f>IF(I71="","",I71)</x:f>
        <x:v>82.65</x:v>
      </x:c>
      <x:c r="S71" s="57" t="str">
        <x:f>IF(OR(Q71="",R71=""),"",R71-Q71)</x:f>
      </x:c>
      <x:c r="T71" s="58" t="str">
        <x:f>IF(OR(Q71="",R71="",Q71=0),"",S71/Q71)</x:f>
      </x:c>
    </x:row>
    <x:row r="72" ht="15.75" customHeight="1">
      <x:c r="A72" s="9">
        <x:f t="shared" si="1"/>
        <x:v>71</x:v>
      </x:c>
      <x:c r="B72" s="10" t="s">
        <x:v>93</x:v>
      </x:c>
      <x:c r="C72" s="10"/>
      <x:c r="D72" s="12" t="s">
        <x:v>113</x:v>
      </x:c>
      <x:c r="E72" s="10"/>
      <x:c r="F72" s="15">
        <x:v>649</x:v>
      </x:c>
      <x:c r="G72" s="10" t="s">
        <x:v>82</x:v>
      </x:c>
      <x:c r="H72" s="29"/>
      <x:c r="I72" s="24">
        <x:v>668</x:v>
      </x:c>
      <x:c r="J72" s="25"/>
      <x:c r="K72" s="53" t="str">
        <x:v>Assembly Hardware</x:v>
      </x:c>
      <x:c r="L72" s="53" t="str">
        <x:v>Hanging Bracket</x:v>
      </x:c>
      <x:c r="M72" s="53" t="str">
        <x:v>Standard</x:v>
      </x:c>
      <x:c r="N72" s="53" t="str"/>
      <x:c r="O72" s="56" t="str"/>
      <x:c r="P72" s="54" t="str">
        <x:v>SET</x:v>
      </x:c>
      <x:c r="Q72" s="57" t="str"/>
      <x:c r="R72" s="57" t="n">
        <x:f>IF(I72="","",I72)</x:f>
        <x:v>668</x:v>
      </x:c>
      <x:c r="S72" s="57" t="str">
        <x:f>IF(OR(Q72="",R72=""),"",R72-Q72)</x:f>
      </x:c>
      <x:c r="T72" s="58" t="str">
        <x:f>IF(OR(Q72="",R72="",Q72=0),"",S72/Q72)</x:f>
      </x:c>
    </x:row>
    <x:row r="73" ht="15.75" customHeight="1">
      <x:c r="A73" s="9">
        <x:f t="shared" si="1"/>
        <x:v>72</x:v>
      </x:c>
      <x:c r="B73" s="10" t="s">
        <x:v>93</x:v>
      </x:c>
      <x:c r="C73" s="10"/>
      <x:c r="D73" s="12" t="s">
        <x:v>114</x:v>
      </x:c>
      <x:c r="E73" s="33"/>
      <x:c r="F73" s="15">
        <x:v>1.35</x:v>
      </x:c>
      <x:c r="G73" s="10" t="s">
        <x:v>87</x:v>
      </x:c>
      <x:c r="H73" s="29"/>
      <x:c r="I73" s="24">
        <x:v>2</x:v>
      </x:c>
      <x:c r="J73" s="25"/>
      <x:c r="K73" s="53" t="str">
        <x:v>Assembly Hardware</x:v>
      </x:c>
      <x:c r="L73" s="53" t="str">
        <x:v>Buffer</x:v>
      </x:c>
      <x:c r="M73" s="53" t="str">
        <x:v>Standard</x:v>
      </x:c>
      <x:c r="N73" s="53" t="str"/>
      <x:c r="O73" s="56" t="str"/>
      <x:c r="P73" s="54" t="str">
        <x:v>PCS</x:v>
      </x:c>
      <x:c r="Q73" s="57" t="str"/>
      <x:c r="R73" s="57" t="n">
        <x:f>IF(I73="","",I73)</x:f>
        <x:v>2</x:v>
      </x:c>
      <x:c r="S73" s="57" t="str">
        <x:f>IF(OR(Q73="",R73=""),"",R73-Q73)</x:f>
      </x:c>
      <x:c r="T73" s="58" t="str">
        <x:f>IF(OR(Q73="",R73="",Q73=0),"",S73/Q73)</x:f>
      </x:c>
    </x:row>
    <x:row r="74" ht="15.75" customHeight="1">
      <x:c r="A74" s="9">
        <x:f t="shared" si="1"/>
        <x:v>73</x:v>
      </x:c>
      <x:c r="B74" s="10" t="s">
        <x:v>78</x:v>
      </x:c>
      <x:c r="C74" s="10"/>
      <x:c r="D74" s="12" t="s">
        <x:v>115</x:v>
      </x:c>
      <x:c r="E74" s="14"/>
      <x:c r="F74" s="15">
        <x:v>240</x:v>
      </x:c>
      <x:c r="G74" s="14" t="s">
        <x:v>41</x:v>
      </x:c>
      <x:c r="H74" s="29"/>
      <x:c r="I74" s="24">
        <x:v>275</x:v>
      </x:c>
      <x:c r="J74" s="25"/>
      <x:c r="K74" s="53" t="str">
        <x:v>Profile</x:v>
      </x:c>
      <x:c r="L74" s="53" t="str">
        <x:v>Handle Profile</x:v>
      </x:c>
      <x:c r="M74" s="53" t="str">
        <x:v>J Type</x:v>
      </x:c>
      <x:c r="N74" s="53" t="str"/>
      <x:c r="O74" s="56" t="str"/>
      <x:c r="P74" s="54" t="str">
        <x:v>MTR</x:v>
      </x:c>
      <x:c r="Q74" s="57" t="str"/>
      <x:c r="R74" s="57" t="n">
        <x:f>IF(I74="","",I74)</x:f>
        <x:v>275</x:v>
      </x:c>
      <x:c r="S74" s="57" t="str">
        <x:f>IF(OR(Q74="",R74=""),"",R74-Q74)</x:f>
      </x:c>
      <x:c r="T74" s="58" t="str">
        <x:f>IF(OR(Q74="",R74="",Q74=0),"",S74/Q74)</x:f>
      </x:c>
    </x:row>
    <x:row r="75" ht="15.75" customHeight="1">
      <x:c r="A75" s="9">
        <x:f t="shared" si="1"/>
        <x:v>74</x:v>
      </x:c>
      <x:c r="B75" s="10" t="s">
        <x:v>78</x:v>
      </x:c>
      <x:c r="C75" s="10"/>
      <x:c r="D75" s="12" t="s">
        <x:v>116</x:v>
      </x:c>
      <x:c r="E75" s="14"/>
      <x:c r="F75" s="15">
        <x:v>275</x:v>
      </x:c>
      <x:c r="G75" s="14" t="s">
        <x:v>41</x:v>
      </x:c>
      <x:c r="H75" s="29"/>
      <x:c r="I75" s="24">
        <x:v>315</x:v>
      </x:c>
      <x:c r="J75" s="25"/>
      <x:c r="K75" s="53" t="str">
        <x:v>Profile</x:v>
      </x:c>
      <x:c r="L75" s="53" t="str">
        <x:v>Handle Profile</x:v>
      </x:c>
      <x:c r="M75" s="53" t="str">
        <x:v>C Type</x:v>
      </x:c>
      <x:c r="N75" s="53" t="str"/>
      <x:c r="O75" s="56" t="str"/>
      <x:c r="P75" s="54" t="str">
        <x:v>MTR</x:v>
      </x:c>
      <x:c r="Q75" s="57" t="str"/>
      <x:c r="R75" s="57" t="n">
        <x:f>IF(I75="","",I75)</x:f>
        <x:v>315</x:v>
      </x:c>
      <x:c r="S75" s="57" t="str">
        <x:f>IF(OR(Q75="",R75=""),"",R75-Q75)</x:f>
      </x:c>
      <x:c r="T75" s="58" t="str">
        <x:f>IF(OR(Q75="",R75="",Q75=0),"",S75/Q75)</x:f>
      </x:c>
    </x:row>
    <x:row r="76" ht="15.75" customHeight="1">
      <x:c r="A76" s="9">
        <x:f t="shared" si="1"/>
        <x:v>75</x:v>
      </x:c>
      <x:c r="B76" s="10" t="s">
        <x:v>78</x:v>
      </x:c>
      <x:c r="C76" s="10"/>
      <x:c r="D76" s="12" t="s">
        <x:v>117</x:v>
      </x:c>
      <x:c r="E76" s="14"/>
      <x:c r="F76" s="15">
        <x:v>315</x:v>
      </x:c>
      <x:c r="G76" s="14" t="s">
        <x:v>41</x:v>
      </x:c>
      <x:c r="H76" s="29"/>
      <x:c r="I76" s="24">
        <x:v>345</x:v>
      </x:c>
      <x:c r="J76" s="25"/>
      <x:c r="K76" s="53" t="str">
        <x:v>Profile</x:v>
      </x:c>
      <x:c r="L76" s="53" t="str">
        <x:v>Handle Profile</x:v>
      </x:c>
      <x:c r="M76" s="53" t="str">
        <x:v>LO-02</x:v>
      </x:c>
      <x:c r="N76" s="53" t="str"/>
      <x:c r="O76" s="56" t="str"/>
      <x:c r="P76" s="54" t="str">
        <x:v>MTR</x:v>
      </x:c>
      <x:c r="Q76" s="57" t="str"/>
      <x:c r="R76" s="57" t="n">
        <x:f>IF(I76="","",I76)</x:f>
        <x:v>345</x:v>
      </x:c>
      <x:c r="S76" s="57" t="str">
        <x:f>IF(OR(Q76="",R76=""),"",R76-Q76)</x:f>
      </x:c>
      <x:c r="T76" s="58" t="str">
        <x:f>IF(OR(Q76="",R76="",Q76=0),"",S76/Q76)</x:f>
      </x:c>
    </x:row>
    <x:row r="77" ht="15.75" customHeight="1">
      <x:c r="A77" s="9">
        <x:f t="shared" si="1"/>
        <x:v>76</x:v>
      </x:c>
      <x:c r="B77" s="10" t="s">
        <x:v>78</x:v>
      </x:c>
      <x:c r="C77" s="10"/>
      <x:c r="D77" s="12" t="s">
        <x:v>118</x:v>
      </x:c>
      <x:c r="E77" s="14"/>
      <x:c r="F77" s="15">
        <x:v>8</x:v>
      </x:c>
      <x:c r="G77" s="14" t="s">
        <x:v>11</x:v>
      </x:c>
      <x:c r="H77" s="29"/>
      <x:c r="I77" s="24">
        <x:v>8</x:v>
      </x:c>
      <x:c r="J77" s="25"/>
      <x:c r="K77" s="53" t="str">
        <x:v>Profile Hardware</x:v>
      </x:c>
      <x:c r="L77" s="53" t="str">
        <x:v>Handle Accessory</x:v>
      </x:c>
      <x:c r="M77" s="53" t="str">
        <x:v>C Type LH End Cap</x:v>
      </x:c>
      <x:c r="N77" s="53" t="str"/>
      <x:c r="O77" s="56" t="str"/>
      <x:c r="P77" s="54" t="str">
        <x:v>PCS</x:v>
      </x:c>
      <x:c r="Q77" s="57" t="str"/>
      <x:c r="R77" s="57" t="n">
        <x:f>IF(I77="","",I77)</x:f>
        <x:v>8</x:v>
      </x:c>
      <x:c r="S77" s="57" t="str">
        <x:f>IF(OR(Q77="",R77=""),"",R77-Q77)</x:f>
      </x:c>
      <x:c r="T77" s="58" t="str">
        <x:f>IF(OR(Q77="",R77="",Q77=0),"",S77/Q77)</x:f>
      </x:c>
    </x:row>
    <x:row r="78" ht="15.75" customHeight="1">
      <x:c r="A78" s="9">
        <x:f t="shared" si="1"/>
        <x:v>77</x:v>
      </x:c>
      <x:c r="B78" s="10" t="s">
        <x:v>78</x:v>
      </x:c>
      <x:c r="C78" s="10"/>
      <x:c r="D78" s="12" t="s">
        <x:v>119</x:v>
      </x:c>
      <x:c r="E78" s="14"/>
      <x:c r="F78" s="15">
        <x:v>8</x:v>
      </x:c>
      <x:c r="G78" s="14" t="s">
        <x:v>11</x:v>
      </x:c>
      <x:c r="H78" s="29"/>
      <x:c r="I78" s="24">
        <x:v>8</x:v>
      </x:c>
      <x:c r="J78" s="25"/>
      <x:c r="K78" s="53" t="str">
        <x:v>Profile Hardware</x:v>
      </x:c>
      <x:c r="L78" s="53" t="str">
        <x:v>Handle Accessory</x:v>
      </x:c>
      <x:c r="M78" s="53" t="str">
        <x:v>C Type RH End Cap</x:v>
      </x:c>
      <x:c r="N78" s="53" t="str"/>
      <x:c r="O78" s="56" t="str"/>
      <x:c r="P78" s="54" t="str">
        <x:v>PCS</x:v>
      </x:c>
      <x:c r="Q78" s="57" t="str"/>
      <x:c r="R78" s="57" t="n">
        <x:f>IF(I78="","",I78)</x:f>
        <x:v>8</x:v>
      </x:c>
      <x:c r="S78" s="57" t="str">
        <x:f>IF(OR(Q78="",R78=""),"",R78-Q78)</x:f>
      </x:c>
      <x:c r="T78" s="58" t="str">
        <x:f>IF(OR(Q78="",R78="",Q78=0),"",S78/Q78)</x:f>
      </x:c>
    </x:row>
    <x:row r="79" ht="15.75" customHeight="1">
      <x:c r="A79" s="9">
        <x:f t="shared" si="1"/>
        <x:v>78</x:v>
      </x:c>
      <x:c r="B79" s="10" t="s">
        <x:v>78</x:v>
      </x:c>
      <x:c r="C79" s="10"/>
      <x:c r="D79" s="12" t="s">
        <x:v>120</x:v>
      </x:c>
      <x:c r="E79" s="14"/>
      <x:c r="F79" s="15">
        <x:v>8</x:v>
      </x:c>
      <x:c r="G79" s="14" t="s">
        <x:v>11</x:v>
      </x:c>
      <x:c r="H79" s="29"/>
      <x:c r="I79" s="24">
        <x:v>8</x:v>
      </x:c>
      <x:c r="J79" s="25"/>
      <x:c r="K79" s="53" t="str">
        <x:v>Profile Hardware</x:v>
      </x:c>
      <x:c r="L79" s="53" t="str">
        <x:v>Handle Accessory</x:v>
      </x:c>
      <x:c r="M79" s="53" t="str">
        <x:v>J Type LH End Cap</x:v>
      </x:c>
      <x:c r="N79" s="53" t="str"/>
      <x:c r="O79" s="56" t="str"/>
      <x:c r="P79" s="54" t="str">
        <x:v>PCS</x:v>
      </x:c>
      <x:c r="Q79" s="57" t="str"/>
      <x:c r="R79" s="57" t="n">
        <x:f>IF(I79="","",I79)</x:f>
        <x:v>8</x:v>
      </x:c>
      <x:c r="S79" s="57" t="str">
        <x:f>IF(OR(Q79="",R79=""),"",R79-Q79)</x:f>
      </x:c>
      <x:c r="T79" s="58" t="str">
        <x:f>IF(OR(Q79="",R79="",Q79=0),"",S79/Q79)</x:f>
      </x:c>
    </x:row>
    <x:row r="80" ht="15.75" customHeight="1">
      <x:c r="A80" s="9">
        <x:f t="shared" si="1"/>
        <x:v>79</x:v>
      </x:c>
      <x:c r="B80" s="10" t="s">
        <x:v>78</x:v>
      </x:c>
      <x:c r="C80" s="10"/>
      <x:c r="D80" s="12" t="s">
        <x:v>121</x:v>
      </x:c>
      <x:c r="E80" s="14"/>
      <x:c r="F80" s="15">
        <x:v>8</x:v>
      </x:c>
      <x:c r="G80" s="14" t="s">
        <x:v>11</x:v>
      </x:c>
      <x:c r="H80" s="29"/>
      <x:c r="I80" s="24">
        <x:v>8</x:v>
      </x:c>
      <x:c r="J80" s="25"/>
      <x:c r="K80" s="53" t="str">
        <x:v>Profile Hardware</x:v>
      </x:c>
      <x:c r="L80" s="53" t="str">
        <x:v>Handle Accessory</x:v>
      </x:c>
      <x:c r="M80" s="53" t="str">
        <x:v>J Type RH End Cap</x:v>
      </x:c>
      <x:c r="N80" s="53" t="str"/>
      <x:c r="O80" s="56" t="str"/>
      <x:c r="P80" s="54" t="str">
        <x:v>PCS</x:v>
      </x:c>
      <x:c r="Q80" s="57" t="str"/>
      <x:c r="R80" s="57" t="n">
        <x:f>IF(I80="","",I80)</x:f>
        <x:v>8</x:v>
      </x:c>
      <x:c r="S80" s="57" t="str">
        <x:f>IF(OR(Q80="",R80=""),"",R80-Q80)</x:f>
      </x:c>
      <x:c r="T80" s="58" t="str">
        <x:f>IF(OR(Q80="",R80="",Q80=0),"",S80/Q80)</x:f>
      </x:c>
    </x:row>
    <x:row r="81" ht="15.75" customHeight="1">
      <x:c r="A81" s="9">
        <x:f t="shared" si="1"/>
        <x:v>80</x:v>
      </x:c>
      <x:c r="B81" s="10" t="s">
        <x:v>78</x:v>
      </x:c>
      <x:c r="C81" s="10"/>
      <x:c r="D81" s="12" t="s">
        <x:v>122</x:v>
      </x:c>
      <x:c r="E81" s="14"/>
      <x:c r="F81" s="15">
        <x:v>6</x:v>
      </x:c>
      <x:c r="G81" s="14" t="s">
        <x:v>11</x:v>
      </x:c>
      <x:c r="H81" s="29"/>
      <x:c r="I81" s="24">
        <x:v>6</x:v>
      </x:c>
      <x:c r="J81" s="25"/>
      <x:c r="K81" s="53" t="str">
        <x:v>Profile Hardware</x:v>
      </x:c>
      <x:c r="L81" s="53" t="str">
        <x:v>Handle Accessory</x:v>
      </x:c>
      <x:c r="M81" s="53" t="str">
        <x:v>Fixing Plate</x:v>
      </x:c>
      <x:c r="N81" s="53" t="str"/>
      <x:c r="O81" s="56" t="str"/>
      <x:c r="P81" s="54" t="str">
        <x:v>PCS</x:v>
      </x:c>
      <x:c r="Q81" s="57" t="str"/>
      <x:c r="R81" s="57" t="n">
        <x:f>IF(I81="","",I81)</x:f>
        <x:v>6</x:v>
      </x:c>
      <x:c r="S81" s="57" t="str">
        <x:f>IF(OR(Q81="",R81=""),"",R81-Q81)</x:f>
      </x:c>
      <x:c r="T81" s="58" t="str">
        <x:f>IF(OR(Q81="",R81="",Q81=0),"",S81/Q81)</x:f>
      </x:c>
    </x:row>
    <x:row r="82" ht="15.75" customHeight="1">
      <x:c r="A82" s="9">
        <x:f t="shared" si="1"/>
        <x:v>81</x:v>
      </x:c>
      <x:c r="B82" s="10" t="s">
        <x:v>123</x:v>
      </x:c>
      <x:c r="C82" s="10"/>
      <x:c r="D82" s="12" t="s">
        <x:v>124</x:v>
      </x:c>
      <x:c r="E82" s="14" t="s">
        <x:v>125</x:v>
      </x:c>
      <x:c r="F82" s="15">
        <x:v>137</x:v>
      </x:c>
      <x:c r="G82" s="14" t="s">
        <x:v>11</x:v>
      </x:c>
      <x:c r="H82" s="29"/>
      <x:c r="I82" s="24">
        <x:v>116</x:v>
      </x:c>
      <x:c r="J82" s="25"/>
      <x:c r="K82" s="53" t="str">
        <x:v>Hinge</x:v>
      </x:c>
      <x:c r="L82" s="53" t="str">
        <x:v>0 CRANK</x:v>
      </x:c>
      <x:c r="M82" s="53" t="str">
        <x:v>Slide-on</x:v>
      </x:c>
      <x:c r="N82" s="53" t="str">
        <x:v>Hafele</x:v>
      </x:c>
      <x:c r="O82" s="56" t="str"/>
      <x:c r="P82" s="54" t="str">
        <x:v>PCS</x:v>
      </x:c>
      <x:c r="Q82" s="57" t="str"/>
      <x:c r="R82" s="57" t="n">
        <x:f>IF(I82="","",I82)</x:f>
        <x:v>116</x:v>
      </x:c>
      <x:c r="S82" s="57" t="str">
        <x:f>IF(OR(Q82="",R82=""),"",R82-Q82)</x:f>
      </x:c>
      <x:c r="T82" s="58" t="str">
        <x:f>IF(OR(Q82="",R82="",Q82=0),"",S82/Q82)</x:f>
      </x:c>
    </x:row>
    <x:row r="83" ht="15.75" customHeight="1">
      <x:c r="A83" s="9">
        <x:f t="shared" si="1"/>
        <x:v>82</x:v>
      </x:c>
      <x:c r="B83" s="10" t="s">
        <x:v>126</x:v>
      </x:c>
      <x:c r="C83" s="10"/>
      <x:c r="D83" s="12" t="s">
        <x:v>127</x:v>
      </x:c>
      <x:c r="E83" s="14" t="s">
        <x:v>125</x:v>
      </x:c>
      <x:c r="F83" s="15">
        <x:v>546</x:v>
      </x:c>
      <x:c r="G83" s="14" t="s">
        <x:v>11</x:v>
      </x:c>
      <x:c r="H83" s="29"/>
      <x:c r="I83" s="24">
        <x:v>580</x:v>
      </x:c>
      <x:c r="J83" s="25"/>
      <x:c r="K83" s="53" t="str">
        <x:v>Hinge</x:v>
      </x:c>
      <x:c r="L83" s="53" t="str">
        <x:v>BLIND</x:v>
      </x:c>
      <x:c r="M83" s="53" t="str">
        <x:v>95°/90° Slide-on</x:v>
      </x:c>
      <x:c r="N83" s="53" t="str">
        <x:v>Hafele</x:v>
      </x:c>
      <x:c r="O83" s="56" t="str"/>
      <x:c r="P83" s="54" t="str">
        <x:v>PCS</x:v>
      </x:c>
      <x:c r="Q83" s="57" t="str"/>
      <x:c r="R83" s="57" t="n">
        <x:f>IF(I83="","",I83)</x:f>
        <x:v>580</x:v>
      </x:c>
      <x:c r="S83" s="57" t="str">
        <x:f>IF(OR(Q83="",R83=""),"",R83-Q83)</x:f>
      </x:c>
      <x:c r="T83" s="58" t="str">
        <x:f>IF(OR(Q83="",R83="",Q83=0),"",S83/Q83)</x:f>
      </x:c>
    </x:row>
    <x:row r="84" ht="15.75" customHeight="1">
      <x:c r="A84" s="9">
        <x:f t="shared" si="1"/>
        <x:v>83</x:v>
      </x:c>
      <x:c r="B84" s="10" t="s">
        <x:v>123</x:v>
      </x:c>
      <x:c r="C84" s="10"/>
      <x:c r="D84" s="12" t="s">
        <x:v>128</x:v>
      </x:c>
      <x:c r="E84" s="14" t="s">
        <x:v>129</x:v>
      </x:c>
      <x:c r="F84" s="15">
        <x:v>85</x:v>
      </x:c>
      <x:c r="G84" s="14" t="s">
        <x:v>11</x:v>
      </x:c>
      <x:c r="H84" s="29"/>
      <x:c r="I84" s="24">
        <x:v>85</x:v>
      </x:c>
      <x:c r="J84" s="25"/>
      <x:c r="K84" s="53" t="str">
        <x:v>Hinge</x:v>
      </x:c>
      <x:c r="L84" s="53" t="str">
        <x:v>0 CRANK</x:v>
      </x:c>
      <x:c r="M84" s="53" t="str">
        <x:v>100° Soft Close</x:v>
      </x:c>
      <x:c r="N84" s="53" t="str">
        <x:v>Hettich</x:v>
      </x:c>
      <x:c r="O84" s="56" t="str"/>
      <x:c r="P84" s="54" t="str">
        <x:v>PCS</x:v>
      </x:c>
      <x:c r="Q84" s="57" t="str"/>
      <x:c r="R84" s="57" t="n">
        <x:f>IF(I84="","",I84)</x:f>
        <x:v>85</x:v>
      </x:c>
      <x:c r="S84" s="57" t="str">
        <x:f>IF(OR(Q84="",R84=""),"",R84-Q84)</x:f>
      </x:c>
      <x:c r="T84" s="58" t="str">
        <x:f>IF(OR(Q84="",R84="",Q84=0),"",S84/Q84)</x:f>
      </x:c>
    </x:row>
    <x:row r="85" ht="15.75" customHeight="1">
      <x:c r="A85" s="9">
        <x:f t="shared" si="1"/>
        <x:v>84</x:v>
      </x:c>
      <x:c r="B85" s="10" t="s">
        <x:v>126</x:v>
      </x:c>
      <x:c r="C85" s="10"/>
      <x:c r="D85" s="12" t="s">
        <x:v>130</x:v>
      </x:c>
      <x:c r="E85" s="14" t="s">
        <x:v>129</x:v>
      </x:c>
      <x:c r="F85" s="15">
        <x:v>417</x:v>
      </x:c>
      <x:c r="G85" s="14" t="s">
        <x:v>11</x:v>
      </x:c>
      <x:c r="H85" s="29"/>
      <x:c r="I85" s="24">
        <x:v>417.01</x:v>
      </x:c>
      <x:c r="J85" s="25"/>
      <x:c r="K85" s="53" t="str">
        <x:v>Hinge</x:v>
      </x:c>
      <x:c r="L85" s="53" t="str">
        <x:v>BLIND</x:v>
      </x:c>
      <x:c r="M85" s="53" t="str">
        <x:v>95°/90° Soft Close</x:v>
      </x:c>
      <x:c r="N85" s="53" t="str">
        <x:v>Hettich</x:v>
      </x:c>
      <x:c r="O85" s="56" t="str"/>
      <x:c r="P85" s="54" t="str">
        <x:v>PCS</x:v>
      </x:c>
      <x:c r="Q85" s="57" t="str"/>
      <x:c r="R85" s="57" t="n">
        <x:f>IF(I85="","",I85)</x:f>
        <x:v>417.01</x:v>
      </x:c>
      <x:c r="S85" s="57" t="str">
        <x:f>IF(OR(Q85="",R85=""),"",R85-Q85)</x:f>
      </x:c>
      <x:c r="T85" s="58" t="str">
        <x:f>IF(OR(Q85="",R85="",Q85=0),"",S85/Q85)</x:f>
      </x:c>
    </x:row>
    <x:row r="86" ht="15.75" customHeight="1">
      <x:c r="A86" s="9">
        <x:f t="shared" si="1"/>
        <x:v>85</x:v>
      </x:c>
      <x:c r="B86" s="10" t="s">
        <x:v>131</x:v>
      </x:c>
      <x:c r="C86" s="10"/>
      <x:c r="D86" s="12" t="s">
        <x:v>130</x:v>
      </x:c>
      <x:c r="E86" s="14" t="s">
        <x:v>129</x:v>
      </x:c>
      <x:c r="F86" s="15">
        <x:v>417</x:v>
      </x:c>
      <x:c r="G86" s="14" t="s">
        <x:v>11</x:v>
      </x:c>
      <x:c r="H86" s="29"/>
      <x:c r="I86" s="24">
        <x:v>417.01</x:v>
      </x:c>
      <x:c r="J86" s="25"/>
      <x:c r="K86" s="53" t="str">
        <x:v>Hinge</x:v>
      </x:c>
      <x:c r="L86" s="53" t="str">
        <x:v>165 Degree</x:v>
      </x:c>
      <x:c r="M86" s="53" t="str">
        <x:v>165 Degree</x:v>
      </x:c>
      <x:c r="N86" s="53" t="str">
        <x:v>Hettich</x:v>
      </x:c>
      <x:c r="O86" s="56" t="str"/>
      <x:c r="P86" s="54" t="str">
        <x:v>PCS</x:v>
      </x:c>
      <x:c r="Q86" s="57" t="str"/>
      <x:c r="R86" s="57" t="n">
        <x:f>IF(I86="","",I86)</x:f>
        <x:v>417.01</x:v>
      </x:c>
      <x:c r="S86" s="57" t="str">
        <x:f>IF(OR(Q86="",R86=""),"",R86-Q86)</x:f>
      </x:c>
      <x:c r="T86" s="58" t="str">
        <x:f>IF(OR(Q86="",R86="",Q86=0),"",S86/Q86)</x:f>
      </x:c>
    </x:row>
    <x:row r="87" ht="15.75" customHeight="1">
      <x:c r="A87" s="9">
        <x:f t="shared" si="1"/>
        <x:v>86</x:v>
      </x:c>
      <x:c r="B87" s="10" t="s">
        <x:v>132</x:v>
      </x:c>
      <x:c r="C87" s="10"/>
      <x:c r="D87" s="12" t="s">
        <x:v>133</x:v>
      </x:c>
      <x:c r="E87" s="34" t="s">
        <x:v>134</x:v>
      </x:c>
      <x:c r="F87" s="15">
        <x:v>45</x:v>
      </x:c>
      <x:c r="G87" s="14" t="s">
        <x:v>11</x:v>
      </x:c>
      <x:c r="H87" s="29"/>
      <x:c r="I87" s="24">
        <x:v>45</x:v>
      </x:c>
      <x:c r="J87" s="25"/>
      <x:c r="K87" s="53" t="str">
        <x:v>Hinge</x:v>
      </x:c>
      <x:c r="L87" s="53" t="str">
        <x:v>SLIM</x:v>
      </x:c>
      <x:c r="M87" s="53" t="str">
        <x:v>Alu Profile, 0 Crank, Soft Close</x:v>
      </x:c>
      <x:c r="N87" s="53" t="str">
        <x:v>Lian</x:v>
      </x:c>
      <x:c r="O87" s="56" t="str"/>
      <x:c r="P87" s="54" t="str">
        <x:v>PCS</x:v>
      </x:c>
      <x:c r="Q87" s="57" t="str"/>
      <x:c r="R87" s="57" t="n">
        <x:f>IF(I87="","",I87)</x:f>
        <x:v>45</x:v>
      </x:c>
      <x:c r="S87" s="57" t="str">
        <x:f>IF(OR(Q87="",R87=""),"",R87-Q87)</x:f>
      </x:c>
      <x:c r="T87" s="58" t="str">
        <x:f>IF(OR(Q87="",R87="",Q87=0),"",S87/Q87)</x:f>
      </x:c>
    </x:row>
    <x:row r="88" ht="15.75" customHeight="1">
      <x:c r="A88" s="9">
        <x:f t="shared" si="1"/>
        <x:v>87</x:v>
      </x:c>
      <x:c r="B88" s="10" t="s">
        <x:v>135</x:v>
      </x:c>
      <x:c r="C88" s="10"/>
      <x:c r="D88" s="12" t="s">
        <x:v>136</x:v>
      </x:c>
      <x:c r="E88" s="14" t="s">
        <x:v>137</x:v>
      </x:c>
      <x:c r="F88" s="15">
        <x:v>2193</x:v>
      </x:c>
      <x:c r="G88" s="14" t="s">
        <x:v>82</x:v>
      </x:c>
      <x:c r="H88" s="29"/>
      <x:c r="I88" s="24">
        <x:v>2385.7199999999998</x:v>
      </x:c>
      <x:c r="J88" s="25"/>
      <x:c r="K88" s="53" t="str">
        <x:v>Drawer System</x:v>
      </x:c>
      <x:c r="L88" s="53" t="str">
        <x:v>Low Back</x:v>
      </x:c>
      <x:c r="M88" s="53" t="str">
        <x:v>Antaro</x:v>
      </x:c>
      <x:c r="N88" s="53" t="str">
        <x:v>Blum</x:v>
      </x:c>
      <x:c r="O88" s="56" t="str"/>
      <x:c r="P88" s="54" t="str">
        <x:v>SET</x:v>
      </x:c>
      <x:c r="Q88" s="57" t="str"/>
      <x:c r="R88" s="57" t="n">
        <x:f>IF(I88="","",I88)</x:f>
        <x:v>2385.72</x:v>
      </x:c>
      <x:c r="S88" s="57" t="str">
        <x:f>IF(OR(Q88="",R88=""),"",R88-Q88)</x:f>
      </x:c>
      <x:c r="T88" s="58" t="str">
        <x:f>IF(OR(Q88="",R88="",Q88=0),"",S88/Q88)</x:f>
      </x:c>
    </x:row>
    <x:row r="89" ht="15.75" customHeight="1">
      <x:c r="A89" s="9">
        <x:f t="shared" si="1"/>
        <x:v>88</x:v>
      </x:c>
      <x:c r="B89" s="10" t="s">
        <x:v>138</x:v>
      </x:c>
      <x:c r="C89" s="10"/>
      <x:c r="D89" s="12" t="s">
        <x:v>139</x:v>
      </x:c>
      <x:c r="E89" s="14" t="s">
        <x:v>137</x:v>
      </x:c>
      <x:c r="F89" s="15">
        <x:v>2462</x:v>
      </x:c>
      <x:c r="G89" s="14" t="s">
        <x:v>82</x:v>
      </x:c>
      <x:c r="H89" s="29"/>
      <x:c r="I89" s="24">
        <x:v>2911.68</x:v>
      </x:c>
      <x:c r="J89" s="25"/>
      <x:c r="K89" s="53" t="str">
        <x:v>Drawer System</x:v>
      </x:c>
      <x:c r="L89" s="53" t="str">
        <x:v>High Back</x:v>
      </x:c>
      <x:c r="M89" s="53" t="str">
        <x:v>Antaro</x:v>
      </x:c>
      <x:c r="N89" s="53" t="str">
        <x:v>Blum</x:v>
      </x:c>
      <x:c r="O89" s="56" t="str"/>
      <x:c r="P89" s="54" t="str">
        <x:v>SET</x:v>
      </x:c>
      <x:c r="Q89" s="57" t="str"/>
      <x:c r="R89" s="57" t="n">
        <x:f>IF(I89="","",I89)</x:f>
        <x:v>2911.68</x:v>
      </x:c>
      <x:c r="S89" s="57" t="str">
        <x:f>IF(OR(Q89="",R89=""),"",R89-Q89)</x:f>
      </x:c>
      <x:c r="T89" s="58" t="str">
        <x:f>IF(OR(Q89="",R89="",Q89=0),"",S89/Q89)</x:f>
      </x:c>
    </x:row>
    <x:row r="90" ht="15.75" customHeight="1">
      <x:c r="A90" s="9">
        <x:f t="shared" si="1"/>
        <x:v>89</x:v>
      </x:c>
      <x:c r="B90" s="10" t="s">
        <x:v>135</x:v>
      </x:c>
      <x:c r="C90" s="10"/>
      <x:c r="D90" s="12" t="s">
        <x:v>140</x:v>
      </x:c>
      <x:c r="E90" s="14" t="s">
        <x:v>141</x:v>
      </x:c>
      <x:c r="F90" s="15">
        <x:v>2100</x:v>
      </x:c>
      <x:c r="G90" s="14" t="s">
        <x:v>82</x:v>
      </x:c>
      <x:c r="H90" s="29"/>
      <x:c r="I90" s="24">
        <x:v>2100.3200000000002</x:v>
      </x:c>
      <x:c r="J90" s="25"/>
      <x:c r="K90" s="53" t="str">
        <x:v>Drawer System</x:v>
      </x:c>
      <x:c r="L90" s="53" t="str">
        <x:v>Low Back</x:v>
      </x:c>
      <x:c r="M90" s="53" t="str">
        <x:v>Innotech Regular</x:v>
      </x:c>
      <x:c r="N90" s="53" t="str">
        <x:v>Hettich</x:v>
      </x:c>
      <x:c r="O90" s="56" t="str"/>
      <x:c r="P90" s="54" t="str">
        <x:v>SET</x:v>
      </x:c>
      <x:c r="Q90" s="57" t="str"/>
      <x:c r="R90" s="57" t="n">
        <x:f>IF(I90="","",I90)</x:f>
        <x:v>2100.32</x:v>
      </x:c>
      <x:c r="S90" s="57" t="str">
        <x:f>IF(OR(Q90="",R90=""),"",R90-Q90)</x:f>
      </x:c>
      <x:c r="T90" s="58" t="str">
        <x:f>IF(OR(Q90="",R90="",Q90=0),"",S90/Q90)</x:f>
      </x:c>
    </x:row>
    <x:row r="91" ht="15.75" customHeight="1">
      <x:c r="A91" s="9">
        <x:f t="shared" si="1"/>
        <x:v>90</x:v>
      </x:c>
      <x:c r="B91" s="10" t="s">
        <x:v>138</x:v>
      </x:c>
      <x:c r="C91" s="10"/>
      <x:c r="D91" s="12" t="s">
        <x:v>142</x:v>
      </x:c>
      <x:c r="E91" s="14" t="s">
        <x:v>141</x:v>
      </x:c>
      <x:c r="F91" s="15">
        <x:v>2451</x:v>
      </x:c>
      <x:c r="G91" s="14" t="s">
        <x:v>82</x:v>
      </x:c>
      <x:c r="H91" s="29"/>
      <x:c r="I91" s="24">
        <x:v>2450.2600000000002</x:v>
      </x:c>
      <x:c r="J91" s="25"/>
      <x:c r="K91" s="53" t="str">
        <x:v>Drawer System</x:v>
      </x:c>
      <x:c r="L91" s="53" t="str">
        <x:v>High Back</x:v>
      </x:c>
      <x:c r="M91" s="53" t="str">
        <x:v>Innotech Pot &amp; Pan</x:v>
      </x:c>
      <x:c r="N91" s="53" t="str">
        <x:v>Hettich</x:v>
      </x:c>
      <x:c r="O91" s="56" t="str"/>
      <x:c r="P91" s="54" t="str">
        <x:v>SET</x:v>
      </x:c>
      <x:c r="Q91" s="57" t="str"/>
      <x:c r="R91" s="57" t="n">
        <x:f>IF(I91="","",I91)</x:f>
        <x:v>2450.26</x:v>
      </x:c>
      <x:c r="S91" s="57" t="str">
        <x:f>IF(OR(Q91="",R91=""),"",R91-Q91)</x:f>
      </x:c>
      <x:c r="T91" s="58" t="str">
        <x:f>IF(OR(Q91="",R91="",Q91=0),"",S91/Q91)</x:f>
      </x:c>
    </x:row>
    <x:row r="92" ht="15.75" customHeight="1">
      <x:c r="A92" s="9">
        <x:f t="shared" si="1"/>
        <x:v>91</x:v>
      </x:c>
      <x:c r="B92" s="10" t="s">
        <x:v>143</x:v>
      </x:c>
      <x:c r="C92" s="10"/>
      <x:c r="D92" s="12" t="s">
        <x:v>144</x:v>
      </x:c>
      <x:c r="E92" s="14" t="s">
        <x:v>141</x:v>
      </x:c>
      <x:c r="F92" s="15">
        <x:v>621</x:v>
      </x:c>
      <x:c r="G92" s="14" t="s">
        <x:v>11</x:v>
      </x:c>
      <x:c r="H92" s="29"/>
      <x:c r="I92" s="24">
        <x:v>620.70000000000005</x:v>
      </x:c>
      <x:c r="J92" s="25"/>
      <x:c r="K92" s="53" t="str">
        <x:v>Accessory</x:v>
      </x:c>
      <x:c r="L92" s="53" t="str">
        <x:v>Cutlery Tray</x:v>
      </x:c>
      <x:c r="M92" s="53" t="str">
        <x:v>600 mm</x:v>
      </x:c>
      <x:c r="N92" s="53" t="str">
        <x:v>Hettich</x:v>
      </x:c>
      <x:c r="O92" s="56" t="str"/>
      <x:c r="P92" s="54" t="str">
        <x:v>PCS</x:v>
      </x:c>
      <x:c r="Q92" s="57" t="str"/>
      <x:c r="R92" s="57" t="n">
        <x:f>IF(I92="","",I92)</x:f>
        <x:v>620.7</x:v>
      </x:c>
      <x:c r="S92" s="57" t="str">
        <x:f>IF(OR(Q92="",R92=""),"",R92-Q92)</x:f>
      </x:c>
      <x:c r="T92" s="58" t="str">
        <x:f>IF(OR(Q92="",R92="",Q92=0),"",S92/Q92)</x:f>
      </x:c>
    </x:row>
    <x:row r="93" ht="15.75" customHeight="1">
      <x:c r="A93" s="9">
        <x:f t="shared" si="1"/>
        <x:v>92</x:v>
      </x:c>
      <x:c r="B93" s="10" t="s">
        <x:v>143</x:v>
      </x:c>
      <x:c r="C93" s="10"/>
      <x:c r="D93" s="12" t="s">
        <x:v>145</x:v>
      </x:c>
      <x:c r="E93" s="14" t="s">
        <x:v>141</x:v>
      </x:c>
      <x:c r="F93" s="15">
        <x:v>880</x:v>
      </x:c>
      <x:c r="G93" s="14" t="s">
        <x:v>11</x:v>
      </x:c>
      <x:c r="H93" s="29"/>
      <x:c r="I93" s="24">
        <x:v>880</x:v>
      </x:c>
      <x:c r="J93" s="25"/>
      <x:c r="K93" s="53" t="str">
        <x:v>Accessory</x:v>
      </x:c>
      <x:c r="L93" s="53" t="str">
        <x:v>Cutlery Tray</x:v>
      </x:c>
      <x:c r="M93" s="53" t="str">
        <x:v>900 mm</x:v>
      </x:c>
      <x:c r="N93" s="53" t="str">
        <x:v>Hettich</x:v>
      </x:c>
      <x:c r="O93" s="56" t="str"/>
      <x:c r="P93" s="54" t="str">
        <x:v>PCS</x:v>
      </x:c>
      <x:c r="Q93" s="57" t="str"/>
      <x:c r="R93" s="57" t="n">
        <x:f>IF(I93="","",I93)</x:f>
        <x:v>880</x:v>
      </x:c>
      <x:c r="S93" s="57" t="str">
        <x:f>IF(OR(Q93="",R93=""),"",R93-Q93)</x:f>
      </x:c>
      <x:c r="T93" s="58" t="str">
        <x:f>IF(OR(Q93="",R93="",Q93=0),"",S93/Q93)</x:f>
      </x:c>
    </x:row>
    <x:row r="94" ht="15.75" customHeight="1">
      <x:c r="A94" s="9">
        <x:f t="shared" si="1"/>
        <x:v>93</x:v>
      </x:c>
      <x:c r="B94" s="10" t="s">
        <x:v>143</x:v>
      </x:c>
      <x:c r="C94" s="10" t="s">
        <x:v>146</x:v>
      </x:c>
      <x:c r="D94" s="12" t="s">
        <x:v>147</x:v>
      </x:c>
      <x:c r="E94" s="14" t="s">
        <x:v>148</x:v>
      </x:c>
      <x:c r="F94" s="15">
        <x:v>4950</x:v>
      </x:c>
      <x:c r="G94" s="14" t="s">
        <x:v>87</x:v>
      </x:c>
      <x:c r="H94" s="29"/>
      <x:c r="I94" s="24">
        <x:v>4500</x:v>
      </x:c>
      <x:c r="J94" s="25"/>
      <x:c r="K94" s="53" t="str">
        <x:v>Accessory</x:v>
      </x:c>
      <x:c r="L94" s="53" t="str">
        <x:v>LEMANS CORNER</x:v>
      </x:c>
      <x:c r="M94" s="53" t="str">
        <x:v>450 mm</x:v>
      </x:c>
      <x:c r="N94" s="53" t="str">
        <x:v>Onxy</x:v>
      </x:c>
      <x:c r="O94" s="56" t="str"/>
      <x:c r="P94" s="54" t="str">
        <x:v>PCS</x:v>
      </x:c>
      <x:c r="Q94" s="57" t="str"/>
      <x:c r="R94" s="57" t="n">
        <x:f>IF(I94="","",I94)</x:f>
        <x:v>4500</x:v>
      </x:c>
      <x:c r="S94" s="57" t="str">
        <x:f>IF(OR(Q94="",R94=""),"",R94-Q94)</x:f>
      </x:c>
      <x:c r="T94" s="58" t="str">
        <x:f>IF(OR(Q94="",R94="",Q94=0),"",S94/Q94)</x:f>
      </x:c>
    </x:row>
    <x:row r="95" ht="15.75" customHeight="1">
      <x:c r="A95" s="9">
        <x:f t="shared" si="1"/>
        <x:v>94</x:v>
      </x:c>
      <x:c r="B95" s="10" t="s">
        <x:v>143</x:v>
      </x:c>
      <x:c r="C95" s="10" t="s">
        <x:v>146</x:v>
      </x:c>
      <x:c r="D95" s="12" t="s">
        <x:v>147</x:v>
      </x:c>
      <x:c r="E95" s="14" t="s">
        <x:v>148</x:v>
      </x:c>
      <x:c r="F95" s="15">
        <x:v>4950</x:v>
      </x:c>
      <x:c r="G95" s="14" t="s">
        <x:v>87</x:v>
      </x:c>
      <x:c r="H95" s="29"/>
      <x:c r="I95" s="24">
        <x:v>4500</x:v>
      </x:c>
      <x:c r="J95" s="25"/>
      <x:c r="K95" s="53" t="str">
        <x:v>Accessory</x:v>
      </x:c>
      <x:c r="L95" s="53" t="str">
        <x:v>LEMANS CORNER</x:v>
      </x:c>
      <x:c r="M95" s="53" t="str">
        <x:v>450 mm</x:v>
      </x:c>
      <x:c r="N95" s="53" t="str">
        <x:v>Onxy</x:v>
      </x:c>
      <x:c r="O95" s="56" t="str"/>
      <x:c r="P95" s="54" t="str">
        <x:v>PCS</x:v>
      </x:c>
      <x:c r="Q95" s="57" t="str"/>
      <x:c r="R95" s="57" t="n">
        <x:f>IF(I95="","",I95)</x:f>
        <x:v>4500</x:v>
      </x:c>
      <x:c r="S95" s="57" t="str">
        <x:f>IF(OR(Q95="",R95=""),"",R95-Q95)</x:f>
      </x:c>
      <x:c r="T95" s="58" t="str">
        <x:f>IF(OR(Q95="",R95="",Q95=0),"",S95/Q95)</x:f>
      </x:c>
    </x:row>
    <x:row r="96" ht="15.75" customHeight="1">
      <x:c r="A96" s="9">
        <x:f t="shared" si="1"/>
        <x:v>95</x:v>
      </x:c>
      <x:c r="B96" s="10" t="s">
        <x:v>143</x:v>
      </x:c>
      <x:c r="C96" s="10" t="s">
        <x:v>149</x:v>
      </x:c>
      <x:c r="D96" s="12" t="s">
        <x:v>150</x:v>
      </x:c>
      <x:c r="E96" s="14"/>
      <x:c r="F96" s="15">
        <x:v>816</x:v>
      </x:c>
      <x:c r="G96" s="14" t="s">
        <x:v>82</x:v>
      </x:c>
      <x:c r="H96" s="29"/>
      <x:c r="I96" s="24">
        <x:v>816</x:v>
      </x:c>
      <x:c r="J96" s="25"/>
      <x:c r="K96" s="53" t="str">
        <x:v>Accessory</x:v>
      </x:c>
      <x:c r="L96" s="53" t="str">
        <x:v>GTPT</x:v>
      </x:c>
      <x:c r="M96" s="53" t="str">
        <x:v>900 × 565 × 280 mm</x:v>
      </x:c>
      <x:c r="N96" s="53" t="str"/>
      <x:c r="O96" s="56" t="str"/>
      <x:c r="P96" s="54" t="str">
        <x:v>SET</x:v>
      </x:c>
      <x:c r="Q96" s="57" t="str"/>
      <x:c r="R96" s="57" t="n">
        <x:f>IF(I96="","",I96)</x:f>
        <x:v>816</x:v>
      </x:c>
      <x:c r="S96" s="57" t="str">
        <x:f>IF(OR(Q96="",R96=""),"",R96-Q96)</x:f>
      </x:c>
      <x:c r="T96" s="58" t="str">
        <x:f>IF(OR(Q96="",R96="",Q96=0),"",S96/Q96)</x:f>
      </x:c>
    </x:row>
    <x:row r="97" ht="15.75" customHeight="1">
      <x:c r="A97" s="9">
        <x:f t="shared" si="1"/>
        <x:v>96</x:v>
      </x:c>
      <x:c r="B97" s="10" t="s">
        <x:v>143</x:v>
      </x:c>
      <x:c r="C97" s="10" t="s">
        <x:v>149</x:v>
      </x:c>
      <x:c r="D97" s="12" t="s">
        <x:v>151</x:v>
      </x:c>
      <x:c r="E97" s="14"/>
      <x:c r="F97" s="15">
        <x:v>600</x:v>
      </x:c>
      <x:c r="G97" s="14" t="s">
        <x:v>82</x:v>
      </x:c>
      <x:c r="H97" s="29"/>
      <x:c r="I97" s="24">
        <x:v>600</x:v>
      </x:c>
      <x:c r="J97" s="25"/>
      <x:c r="K97" s="53" t="str">
        <x:v>Accessory</x:v>
      </x:c>
      <x:c r="L97" s="53" t="str">
        <x:v>GTPT</x:v>
      </x:c>
      <x:c r="M97" s="53" t="str">
        <x:v>600 × 565 × 280 mm</x:v>
      </x:c>
      <x:c r="N97" s="53" t="str"/>
      <x:c r="O97" s="56" t="str"/>
      <x:c r="P97" s="54" t="str">
        <x:v>SET</x:v>
      </x:c>
      <x:c r="Q97" s="57" t="str"/>
      <x:c r="R97" s="57" t="n">
        <x:f>IF(I97="","",I97)</x:f>
        <x:v>600</x:v>
      </x:c>
      <x:c r="S97" s="57" t="str">
        <x:f>IF(OR(Q97="",R97=""),"",R97-Q97)</x:f>
      </x:c>
      <x:c r="T97" s="58" t="str">
        <x:f>IF(OR(Q97="",R97="",Q97=0),"",S97/Q97)</x:f>
      </x:c>
    </x:row>
    <x:row r="98" ht="15.75" customHeight="1">
      <x:c r="A98" s="9">
        <x:f t="shared" si="1"/>
        <x:v>97</x:v>
      </x:c>
      <x:c r="B98" s="10" t="s">
        <x:v>143</x:v>
      </x:c>
      <x:c r="C98" s="12" t="s">
        <x:v>152</x:v>
      </x:c>
      <x:c r="D98" s="12" t="s">
        <x:v>153</x:v>
      </x:c>
      <x:c r="E98" s="14"/>
      <x:c r="F98" s="15">
        <x:v>260</x:v>
      </x:c>
      <x:c r="G98" s="14" t="s">
        <x:v>87</x:v>
      </x:c>
      <x:c r="H98" s="29"/>
      <x:c r="I98" s="24">
        <x:v>260</x:v>
      </x:c>
      <x:c r="J98" s="25"/>
      <x:c r="K98" s="53" t="str">
        <x:v>Accessory</x:v>
      </x:c>
      <x:c r="L98" s="53" t="str">
        <x:v>DETERGENT HOLDER</x:v>
      </x:c>
      <x:c r="M98" s="53" t="str">
        <x:v>Standard</x:v>
      </x:c>
      <x:c r="N98" s="53" t="str"/>
      <x:c r="O98" s="56" t="str"/>
      <x:c r="P98" s="54" t="str">
        <x:v>PCS</x:v>
      </x:c>
      <x:c r="Q98" s="57" t="str"/>
      <x:c r="R98" s="57" t="n">
        <x:f>IF(I98="","",I98)</x:f>
        <x:v>260</x:v>
      </x:c>
      <x:c r="S98" s="57" t="str">
        <x:f>IF(OR(Q98="",R98=""),"",R98-Q98)</x:f>
      </x:c>
      <x:c r="T98" s="58" t="str">
        <x:f>IF(OR(Q98="",R98="",Q98=0),"",S98/Q98)</x:f>
      </x:c>
    </x:row>
    <x:row r="99" ht="15.75" customHeight="1">
      <x:c r="A99" s="9">
        <x:f t="shared" si="1"/>
        <x:v>98</x:v>
      </x:c>
      <x:c r="B99" s="10" t="s">
        <x:v>143</x:v>
      </x:c>
      <x:c r="C99" s="12" t="s">
        <x:v>154</x:v>
      </x:c>
      <x:c r="D99" s="12" t="s">
        <x:v>155</x:v>
      </x:c>
      <x:c r="E99" s="14"/>
      <x:c r="F99" s="15">
        <x:v>260</x:v>
      </x:c>
      <x:c r="G99" s="14" t="s">
        <x:v>87</x:v>
      </x:c>
      <x:c r="H99" s="29"/>
      <x:c r="I99" s="24">
        <x:v>160</x:v>
      </x:c>
      <x:c r="J99" s="25"/>
      <x:c r="K99" s="53" t="str">
        <x:v>Accessory</x:v>
      </x:c>
      <x:c r="L99" s="53" t="str">
        <x:v>WASTEBIN HOLDER</x:v>
      </x:c>
      <x:c r="M99" s="53" t="str">
        <x:v>Standard</x:v>
      </x:c>
      <x:c r="N99" s="53" t="str"/>
      <x:c r="O99" s="56" t="str"/>
      <x:c r="P99" s="54" t="str">
        <x:v>PCS</x:v>
      </x:c>
      <x:c r="Q99" s="57" t="str"/>
      <x:c r="R99" s="57" t="n">
        <x:f>IF(I99="","",I99)</x:f>
        <x:v>160</x:v>
      </x:c>
      <x:c r="S99" s="57" t="str">
        <x:f>IF(OR(Q99="",R99=""),"",R99-Q99)</x:f>
      </x:c>
      <x:c r="T99" s="58" t="str">
        <x:f>IF(OR(Q99="",R99="",Q99=0),"",S99/Q99)</x:f>
      </x:c>
    </x:row>
    <x:row r="100" ht="15.75" customHeight="1">
      <x:c r="A100" s="9">
        <x:f t="shared" si="1"/>
        <x:v>99</x:v>
      </x:c>
      <x:c r="B100" s="10" t="s">
        <x:v>143</x:v>
      </x:c>
      <x:c r="C100" s="12" t="s">
        <x:v>156</x:v>
      </x:c>
      <x:c r="D100" s="12" t="s">
        <x:v>157</x:v>
      </x:c>
      <x:c r="E100" s="14" t="s">
        <x:v>158</x:v>
      </x:c>
      <x:c r="F100" s="15">
        <x:v>1766</x:v>
      </x:c>
      <x:c r="G100" s="14" t="s">
        <x:v>87</x:v>
      </x:c>
      <x:c r="H100" s="29"/>
      <x:c r="I100" s="24">
        <x:v>1766.0975000000001</x:v>
      </x:c>
      <x:c r="J100" s="25"/>
      <x:c r="K100" s="53" t="str">
        <x:v>Accessory</x:v>
      </x:c>
      <x:c r="L100" s="53" t="str">
        <x:v>WASTEBIN</x:v>
      </x:c>
      <x:c r="M100" s="53" t="str">
        <x:v>Standard</x:v>
      </x:c>
      <x:c r="N100" s="53" t="str">
        <x:v>Ebco</x:v>
      </x:c>
      <x:c r="O100" s="56" t="str"/>
      <x:c r="P100" s="54" t="str">
        <x:v>PCS</x:v>
      </x:c>
      <x:c r="Q100" s="57" t="str"/>
      <x:c r="R100" s="57" t="n">
        <x:f>IF(I100="","",I100)</x:f>
        <x:v>1766.0975</x:v>
      </x:c>
      <x:c r="S100" s="57" t="str">
        <x:f>IF(OR(Q100="",R100=""),"",R100-Q100)</x:f>
      </x:c>
      <x:c r="T100" s="58" t="str">
        <x:f>IF(OR(Q100="",R100="",Q100=0),"",S100/Q100)</x:f>
      </x:c>
    </x:row>
    <x:row r="101" ht="15.75" customHeight="1">
      <x:c r="A101" s="9">
        <x:f t="shared" si="1"/>
        <x:v>100</x:v>
      </x:c>
      <x:c r="B101" s="10" t="s">
        <x:v>143</x:v>
      </x:c>
      <x:c r="C101" s="10" t="s">
        <x:v>159</x:v>
      </x:c>
      <x:c r="D101" s="12" t="s">
        <x:v>160</x:v>
      </x:c>
      <x:c r="E101" s="14"/>
      <x:c r="F101" s="15">
        <x:v>506</x:v>
      </x:c>
      <x:c r="G101" s="14" t="s">
        <x:v>87</x:v>
      </x:c>
      <x:c r="H101" s="29"/>
      <x:c r="I101" s="24">
        <x:v>506</x:v>
      </x:c>
      <x:c r="J101" s="25"/>
      <x:c r="K101" s="53" t="str">
        <x:v>Accessory</x:v>
      </x:c>
      <x:c r="L101" s="53" t="str">
        <x:v>BPO 150</x:v>
      </x:c>
      <x:c r="M101" s="53" t="str">
        <x:v>100 mm</x:v>
      </x:c>
      <x:c r="N101" s="53" t="str"/>
      <x:c r="O101" s="56" t="str"/>
      <x:c r="P101" s="54" t="str">
        <x:v>PCS</x:v>
      </x:c>
      <x:c r="Q101" s="57" t="str"/>
      <x:c r="R101" s="57" t="n">
        <x:f>IF(I101="","",I101)</x:f>
        <x:v>506</x:v>
      </x:c>
      <x:c r="S101" s="57" t="str">
        <x:f>IF(OR(Q101="",R101=""),"",R101-Q101)</x:f>
      </x:c>
      <x:c r="T101" s="58" t="str">
        <x:f>IF(OR(Q101="",R101="",Q101=0),"",S101/Q101)</x:f>
      </x:c>
    </x:row>
    <x:row r="102" ht="15.75" customHeight="1">
      <x:c r="A102" s="9">
        <x:f t="shared" si="1"/>
        <x:v>101</x:v>
      </x:c>
      <x:c r="B102" s="10" t="s">
        <x:v>143</x:v>
      </x:c>
      <x:c r="C102" s="10" t="s">
        <x:v>161</x:v>
      </x:c>
      <x:c r="D102" s="12" t="s">
        <x:v>162</x:v>
      </x:c>
      <x:c r="E102" s="14"/>
      <x:c r="F102" s="15">
        <x:v>588</x:v>
      </x:c>
      <x:c r="G102" s="14" t="s">
        <x:v>87</x:v>
      </x:c>
      <x:c r="H102" s="29"/>
      <x:c r="I102" s="24">
        <x:v>588</x:v>
      </x:c>
      <x:c r="J102" s="25"/>
      <x:c r="K102" s="53" t="str">
        <x:v>Accessory</x:v>
      </x:c>
      <x:c r="L102" s="53" t="str">
        <x:v>BPO 200</x:v>
      </x:c>
      <x:c r="M102" s="53" t="str">
        <x:v>154 × 500 × 400 mm</x:v>
      </x:c>
      <x:c r="N102" s="53" t="str"/>
      <x:c r="O102" s="56" t="str"/>
      <x:c r="P102" s="54" t="str">
        <x:v>PCS</x:v>
      </x:c>
      <x:c r="Q102" s="57" t="str"/>
      <x:c r="R102" s="57" t="n">
        <x:f>IF(I102="","",I102)</x:f>
        <x:v>588</x:v>
      </x:c>
      <x:c r="S102" s="57" t="str">
        <x:f>IF(OR(Q102="",R102=""),"",R102-Q102)</x:f>
      </x:c>
      <x:c r="T102" s="58" t="str">
        <x:f>IF(OR(Q102="",R102="",Q102=0),"",S102/Q102)</x:f>
      </x:c>
    </x:row>
    <x:row r="103" ht="15.75" customHeight="1">
      <x:c r="A103" s="9">
        <x:f t="shared" si="1"/>
        <x:v>102</x:v>
      </x:c>
      <x:c r="B103" s="10" t="s">
        <x:v>143</x:v>
      </x:c>
      <x:c r="C103" s="10" t="s">
        <x:v>163</x:v>
      </x:c>
      <x:c r="D103" s="12" t="s">
        <x:v>164</x:v>
      </x:c>
      <x:c r="E103" s="14"/>
      <x:c r="F103" s="15">
        <x:v>665</x:v>
      </x:c>
      <x:c r="G103" s="14" t="s">
        <x:v>87</x:v>
      </x:c>
      <x:c r="H103" s="29"/>
      <x:c r="I103" s="24">
        <x:v>665</x:v>
      </x:c>
      <x:c r="J103" s="25"/>
      <x:c r="K103" s="53" t="str">
        <x:v>Accessory</x:v>
      </x:c>
      <x:c r="L103" s="53" t="str">
        <x:v>BPO 300</x:v>
      </x:c>
      <x:c r="M103" s="53" t="str">
        <x:v>245 × 500 × 400 mm</x:v>
      </x:c>
      <x:c r="N103" s="53" t="str"/>
      <x:c r="O103" s="56" t="str"/>
      <x:c r="P103" s="54" t="str">
        <x:v>PCS</x:v>
      </x:c>
      <x:c r="Q103" s="57" t="str"/>
      <x:c r="R103" s="57" t="n">
        <x:f>IF(I103="","",I103)</x:f>
        <x:v>665</x:v>
      </x:c>
      <x:c r="S103" s="57" t="str">
        <x:f>IF(OR(Q103="",R103=""),"",R103-Q103)</x:f>
      </x:c>
      <x:c r="T103" s="58" t="str">
        <x:f>IF(OR(Q103="",R103="",Q103=0),"",S103/Q103)</x:f>
      </x:c>
    </x:row>
    <x:row r="104" ht="15.75" customHeight="1">
      <x:c r="A104" s="9">
        <x:f t="shared" si="1"/>
        <x:v>103</x:v>
      </x:c>
      <x:c r="B104" s="10" t="s">
        <x:v>143</x:v>
      </x:c>
      <x:c r="C104" s="10" t="s">
        <x:v>165</x:v>
      </x:c>
      <x:c r="D104" s="12" t="s">
        <x:v>166</x:v>
      </x:c>
      <x:c r="E104" s="14"/>
      <x:c r="F104" s="15">
        <x:v>606</x:v>
      </x:c>
      <x:c r="G104" s="14" t="s">
        <x:v>82</x:v>
      </x:c>
      <x:c r="H104" s="29"/>
      <x:c r="I104" s="24">
        <x:v>650</x:v>
      </x:c>
      <x:c r="J104" s="25"/>
      <x:c r="K104" s="53" t="str">
        <x:v>Accessory</x:v>
      </x:c>
      <x:c r="L104" s="53" t="str">
        <x:v>BPO Channel</x:v>
      </x:c>
      <x:c r="M104" s="53" t="str">
        <x:v>500 mm</x:v>
      </x:c>
      <x:c r="N104" s="53" t="str"/>
      <x:c r="O104" s="56" t="str"/>
      <x:c r="P104" s="54" t="str">
        <x:v>SET</x:v>
      </x:c>
      <x:c r="Q104" s="57" t="str"/>
      <x:c r="R104" s="57" t="n">
        <x:f>IF(I104="","",I104)</x:f>
        <x:v>650</x:v>
      </x:c>
      <x:c r="S104" s="57" t="str">
        <x:f>IF(OR(Q104="",R104=""),"",R104-Q104)</x:f>
      </x:c>
      <x:c r="T104" s="58" t="str">
        <x:f>IF(OR(Q104="",R104="",Q104=0),"",S104/Q104)</x:f>
      </x:c>
    </x:row>
    <x:row r="105" ht="15.75" customHeight="1">
      <x:c r="A105" s="9">
        <x:f t="shared" si="1"/>
        <x:v>104</x:v>
      </x:c>
      <x:c r="B105" s="10" t="s">
        <x:v>143</x:v>
      </x:c>
      <x:c r="C105" s="10" t="s">
        <x:v>167</x:v>
      </x:c>
      <x:c r="D105" s="12" t="s">
        <x:v>168</x:v>
      </x:c>
      <x:c r="E105" s="14" t="s">
        <x:v>158</x:v>
      </x:c>
      <x:c r="F105" s="15">
        <x:v>161</x:v>
      </x:c>
      <x:c r="G105" s="14" t="s">
        <x:v>82</x:v>
      </x:c>
      <x:c r="H105" s="29"/>
      <x:c r="I105" s="24">
        <x:v>162.65899999999999</x:v>
      </x:c>
      <x:c r="J105" s="25"/>
      <x:c r="K105" s="53" t="str">
        <x:v>Accessory</x:v>
      </x:c>
      <x:c r="L105" s="53" t="str">
        <x:v>BAR LOCK</x:v>
      </x:c>
      <x:c r="M105" s="53" t="str">
        <x:v>Standard</x:v>
      </x:c>
      <x:c r="N105" s="53" t="str">
        <x:v>Ebco</x:v>
      </x:c>
      <x:c r="O105" s="56" t="str"/>
      <x:c r="P105" s="54" t="str">
        <x:v>SET</x:v>
      </x:c>
      <x:c r="Q105" s="57" t="str"/>
      <x:c r="R105" s="57" t="n">
        <x:f>IF(I105="","",I105)</x:f>
        <x:v>162.659</x:v>
      </x:c>
      <x:c r="S105" s="57" t="str">
        <x:f>IF(OR(Q105="",R105=""),"",R105-Q105)</x:f>
      </x:c>
      <x:c r="T105" s="58" t="str">
        <x:f>IF(OR(Q105="",R105="",Q105=0),"",S105/Q105)</x:f>
      </x:c>
    </x:row>
    <x:row r="106" ht="15.75" customHeight="1">
      <x:c r="A106" s="9">
        <x:f t="shared" si="1"/>
        <x:v>105</x:v>
      </x:c>
      <x:c r="B106" s="10" t="s">
        <x:v>143</x:v>
      </x:c>
      <x:c r="C106" s="10" t="s">
        <x:v>167</x:v>
      </x:c>
      <x:c r="D106" s="12" t="s">
        <x:v>169</x:v>
      </x:c>
      <x:c r="E106" s="14" t="s">
        <x:v>158</x:v>
      </x:c>
      <x:c r="F106" s="15">
        <x:v>606</x:v>
      </x:c>
      <x:c r="G106" s="14" t="s">
        <x:v>82</x:v>
      </x:c>
      <x:c r="H106" s="29"/>
      <x:c r="I106" s="24">
        <x:v>611.70500000000004</x:v>
      </x:c>
      <x:c r="J106" s="25"/>
      <x:c r="K106" s="53" t="str">
        <x:v>Accessory</x:v>
      </x:c>
      <x:c r="L106" s="53" t="str">
        <x:v>BAR LOCK</x:v>
      </x:c>
      <x:c r="M106" s="53" t="str">
        <x:v>1500 mm</x:v>
      </x:c>
      <x:c r="N106" s="53" t="str">
        <x:v>Ebco</x:v>
      </x:c>
      <x:c r="O106" s="56" t="str"/>
      <x:c r="P106" s="54" t="str">
        <x:v>SET</x:v>
      </x:c>
      <x:c r="Q106" s="57" t="str"/>
      <x:c r="R106" s="57" t="n">
        <x:f>IF(I106="","",I106)</x:f>
        <x:v>611.705</x:v>
      </x:c>
      <x:c r="S106" s="57" t="str">
        <x:f>IF(OR(Q106="",R106=""),"",R106-Q106)</x:f>
      </x:c>
      <x:c r="T106" s="58" t="str">
        <x:f>IF(OR(Q106="",R106="",Q106=0),"",S106/Q106)</x:f>
      </x:c>
    </x:row>
    <x:row r="107" ht="15.75" customHeight="1">
      <x:c r="A107" s="9">
        <x:f t="shared" si="1"/>
        <x:v>106</x:v>
      </x:c>
      <x:c r="B107" s="10" t="s">
        <x:v>143</x:v>
      </x:c>
      <x:c r="C107" s="10" t="s">
        <x:v>170</x:v>
      </x:c>
      <x:c r="D107" s="12" t="s">
        <x:v>171</x:v>
      </x:c>
      <x:c r="E107" s="14" t="s">
        <x:v>172</x:v>
      </x:c>
      <x:c r="F107" s="15">
        <x:v>105</x:v>
      </x:c>
      <x:c r="G107" s="14" t="s">
        <x:v>82</x:v>
      </x:c>
      <x:c r="H107" s="29"/>
      <x:c r="I107" s="24">
        <x:v>99</x:v>
      </x:c>
      <x:c r="J107" s="25"/>
      <x:c r="K107" s="53" t="str">
        <x:v>Accessory</x:v>
      </x:c>
      <x:c r="L107" s="53" t="str">
        <x:v>DRAWER LOCK</x:v>
      </x:c>
      <x:c r="M107" s="53" t="str">
        <x:v>Standard</x:v>
      </x:c>
      <x:c r="N107" s="53" t="str">
        <x:v>Godrej</x:v>
      </x:c>
      <x:c r="O107" s="56" t="str"/>
      <x:c r="P107" s="54" t="str">
        <x:v>SET</x:v>
      </x:c>
      <x:c r="Q107" s="57" t="str"/>
      <x:c r="R107" s="57" t="n">
        <x:f>IF(I107="","",I107)</x:f>
        <x:v>99</x:v>
      </x:c>
      <x:c r="S107" s="57" t="str">
        <x:f>IF(OR(Q107="",R107=""),"",R107-Q107)</x:f>
      </x:c>
      <x:c r="T107" s="58" t="str">
        <x:f>IF(OR(Q107="",R107="",Q107=0),"",S107/Q107)</x:f>
      </x:c>
    </x:row>
    <x:row r="108" ht="15.75" customHeight="1">
      <x:c r="A108" s="9">
        <x:f t="shared" si="1"/>
        <x:v>107</x:v>
      </x:c>
      <x:c r="B108" s="10" t="s">
        <x:v>143</x:v>
      </x:c>
      <x:c r="C108" s="10" t="s">
        <x:v>173</x:v>
      </x:c>
      <x:c r="D108" s="12" t="s">
        <x:v>174</x:v>
      </x:c>
      <x:c r="E108" s="14"/>
      <x:c r="F108" s="15">
        <x:v>65</x:v>
      </x:c>
      <x:c r="G108" s="14" t="s">
        <x:v>87</x:v>
      </x:c>
      <x:c r="H108" s="29"/>
      <x:c r="I108" s="24">
        <x:v>65</x:v>
      </x:c>
      <x:c r="J108" s="25"/>
      <x:c r="K108" s="53" t="str">
        <x:v>Accessory</x:v>
      </x:c>
      <x:c r="L108" s="53" t="str">
        <x:v>LIGHT SWITCH</x:v>
      </x:c>
      <x:c r="M108" s="53" t="str">
        <x:v>Standard</x:v>
      </x:c>
      <x:c r="N108" s="53" t="str"/>
      <x:c r="O108" s="56" t="str"/>
      <x:c r="P108" s="54" t="str">
        <x:v>PCS</x:v>
      </x:c>
      <x:c r="Q108" s="57" t="str"/>
      <x:c r="R108" s="57" t="n">
        <x:f>IF(I108="","",I108)</x:f>
        <x:v>65</x:v>
      </x:c>
      <x:c r="S108" s="57" t="str">
        <x:f>IF(OR(Q108="",R108=""),"",R108-Q108)</x:f>
      </x:c>
      <x:c r="T108" s="58" t="str">
        <x:f>IF(OR(Q108="",R108="",Q108=0),"",S108/Q108)</x:f>
      </x:c>
    </x:row>
    <x:row r="109" ht="15.75" customHeight="1">
      <x:c r="A109" s="9">
        <x:f t="shared" si="1"/>
        <x:v>108</x:v>
      </x:c>
      <x:c r="B109" s="10" t="s">
        <x:v>175</x:v>
      </x:c>
      <x:c r="C109" s="10" t="s">
        <x:v>176</x:v>
      </x:c>
      <x:c r="D109" s="12" t="s">
        <x:v>177</x:v>
      </x:c>
      <x:c r="E109" s="14" t="s">
        <x:v>158</x:v>
      </x:c>
      <x:c r="F109" s="15">
        <x:v>915</x:v>
      </x:c>
      <x:c r="G109" s="14" t="s">
        <x:v>82</x:v>
      </x:c>
      <x:c r="H109" s="29"/>
      <x:c r="I109" s="24">
        <x:v>1021.8295000000001</x:v>
      </x:c>
      <x:c r="J109" s="25"/>
      <x:c r="K109" s="53" t="str">
        <x:v>Drawer Channel</x:v>
      </x:c>
      <x:c r="L109" s="53" t="str">
        <x:v>QUADRO CHANNEL</x:v>
      </x:c>
      <x:c r="M109" s="53" t="str">
        <x:v>Dynamoov with Bracket, 500mm</x:v>
      </x:c>
      <x:c r="N109" s="53" t="str">
        <x:v>Ebco</x:v>
      </x:c>
      <x:c r="O109" s="56" t="str"/>
      <x:c r="P109" s="54" t="str">
        <x:v>SET</x:v>
      </x:c>
      <x:c r="Q109" s="57" t="str"/>
      <x:c r="R109" s="57" t="n">
        <x:f>IF(I109="","",I109)</x:f>
        <x:v>1021.8295</x:v>
      </x:c>
      <x:c r="S109" s="57" t="str">
        <x:f>IF(OR(Q109="",R109=""),"",R109-Q109)</x:f>
      </x:c>
      <x:c r="T109" s="58" t="str">
        <x:f>IF(OR(Q109="",R109="",Q109=0),"",S109/Q109)</x:f>
      </x:c>
    </x:row>
    <x:row r="110" ht="15.75" customHeight="1">
      <x:c r="A110" s="9">
        <x:f t="shared" si="1"/>
        <x:v>109</x:v>
      </x:c>
      <x:c r="B110" s="10" t="s">
        <x:v>175</x:v>
      </x:c>
      <x:c r="C110" s="10" t="s">
        <x:v>176</x:v>
      </x:c>
      <x:c r="D110" s="12" t="s">
        <x:v>178</x:v>
      </x:c>
      <x:c r="E110" s="14" t="s">
        <x:v>141</x:v>
      </x:c>
      <x:c r="F110" s="15">
        <x:v>850</x:v>
      </x:c>
      <x:c r="G110" s="14" t="s">
        <x:v>82</x:v>
      </x:c>
      <x:c r="H110" s="29"/>
      <x:c r="I110" s="24">
        <x:v>1150</x:v>
      </x:c>
      <x:c r="J110" s="25"/>
      <x:c r="K110" s="53" t="str">
        <x:v>Drawer Channel</x:v>
      </x:c>
      <x:c r="L110" s="53" t="str">
        <x:v>QUADRO CHANNEL</x:v>
      </x:c>
      <x:c r="M110" s="53" t="str">
        <x:v>Dynamoov Slide-on, 450mm</x:v>
      </x:c>
      <x:c r="N110" s="53" t="str">
        <x:v>Hettich</x:v>
      </x:c>
      <x:c r="O110" s="56" t="str"/>
      <x:c r="P110" s="54" t="str">
        <x:v>SET</x:v>
      </x:c>
      <x:c r="Q110" s="57" t="str"/>
      <x:c r="R110" s="57" t="n">
        <x:f>IF(I110="","",I110)</x:f>
        <x:v>1150</x:v>
      </x:c>
      <x:c r="S110" s="57" t="str">
        <x:f>IF(OR(Q110="",R110=""),"",R110-Q110)</x:f>
      </x:c>
      <x:c r="T110" s="58" t="str">
        <x:f>IF(OR(Q110="",R110="",Q110=0),"",S110/Q110)</x:f>
      </x:c>
    </x:row>
    <x:row r="111" ht="15.75" customHeight="1">
      <x:c r="A111" s="9">
        <x:f t="shared" si="1"/>
        <x:v>110</x:v>
      </x:c>
      <x:c r="B111" s="10" t="s">
        <x:v>175</x:v>
      </x:c>
      <x:c r="C111" s="10" t="s">
        <x:v>176</x:v>
      </x:c>
      <x:c r="D111" s="12" t="s">
        <x:v>179</x:v>
      </x:c>
      <x:c r="E111" s="14" t="s">
        <x:v>141</x:v>
      </x:c>
      <x:c r="F111" s="15"/>
      <x:c r="G111" s="14" t="s">
        <x:v>82</x:v>
      </x:c>
      <x:c r="H111" s="29"/>
      <x:c r="I111" s="24">
        <x:v>1250</x:v>
      </x:c>
      <x:c r="J111" s="25"/>
      <x:c r="K111" s="53" t="str">
        <x:v>Drawer Channel</x:v>
      </x:c>
      <x:c r="L111" s="53" t="str">
        <x:v>QUADRO CHANNEL</x:v>
      </x:c>
      <x:c r="M111" s="53" t="str">
        <x:v>Dynamoov Slide-on, 500mm</x:v>
      </x:c>
      <x:c r="N111" s="53" t="str">
        <x:v>Hettich</x:v>
      </x:c>
      <x:c r="O111" s="56" t="str"/>
      <x:c r="P111" s="54" t="str">
        <x:v>SET</x:v>
      </x:c>
      <x:c r="Q111" s="57" t="str"/>
      <x:c r="R111" s="57" t="n">
        <x:f>IF(I111="","",I111)</x:f>
        <x:v>1250</x:v>
      </x:c>
      <x:c r="S111" s="57" t="str">
        <x:f>IF(OR(Q111="",R111=""),"",R111-Q111)</x:f>
      </x:c>
      <x:c r="T111" s="58" t="str">
        <x:f>IF(OR(Q111="",R111="",Q111=0),"",S111/Q111)</x:f>
      </x:c>
    </x:row>
    <x:row r="112" ht="15.75" customHeight="1">
      <x:c r="A112" s="9">
        <x:f t="shared" si="1"/>
        <x:v>111</x:v>
      </x:c>
      <x:c r="B112" s="35" t="s">
        <x:v>180</x:v>
      </x:c>
      <x:c r="C112" s="35" t="s">
        <x:v>181</x:v>
      </x:c>
      <x:c r="D112" s="12" t="s">
        <x:v>182</x:v>
      </x:c>
      <x:c r="E112" s="14"/>
      <x:c r="F112" s="15">
        <x:v>45</x:v>
      </x:c>
      <x:c r="G112" s="14" t="s">
        <x:v>41</x:v>
      </x:c>
      <x:c r="H112" s="29"/>
      <x:c r="I112" s="24">
        <x:v>45</x:v>
      </x:c>
      <x:c r="J112" s="25"/>
      <x:c r="K112" s="53" t="str">
        <x:v>Profile</x:v>
      </x:c>
      <x:c r="L112" s="53" t="str">
        <x:v>Light Profile</x:v>
      </x:c>
      <x:c r="M112" s="53" t="str">
        <x:v>Surface Master</x:v>
      </x:c>
      <x:c r="N112" s="53" t="str"/>
      <x:c r="O112" s="56" t="str"/>
      <x:c r="P112" s="54" t="str">
        <x:v>MTR</x:v>
      </x:c>
      <x:c r="Q112" s="57" t="str"/>
      <x:c r="R112" s="57" t="n">
        <x:f>IF(I112="","",I112)</x:f>
        <x:v>45</x:v>
      </x:c>
      <x:c r="S112" s="57" t="str">
        <x:f>IF(OR(Q112="",R112=""),"",R112-Q112)</x:f>
      </x:c>
      <x:c r="T112" s="58" t="str">
        <x:f>IF(OR(Q112="",R112="",Q112=0),"",S112/Q112)</x:f>
      </x:c>
    </x:row>
    <x:row r="113" ht="15.75" customHeight="1">
      <x:c r="A113" s="9">
        <x:f t="shared" si="1"/>
        <x:v>112</x:v>
      </x:c>
      <x:c r="B113" s="35" t="s">
        <x:v>180</x:v>
      </x:c>
      <x:c r="C113" s="35" t="s">
        <x:v>181</x:v>
      </x:c>
      <x:c r="D113" s="12" t="s">
        <x:v>183</x:v>
      </x:c>
      <x:c r="E113" s="14"/>
      <x:c r="F113" s="15">
        <x:v>15</x:v>
      </x:c>
      <x:c r="G113" s="14" t="s">
        <x:v>41</x:v>
      </x:c>
      <x:c r="H113" s="29"/>
      <x:c r="I113" s="24">
        <x:v>13</x:v>
      </x:c>
      <x:c r="J113" s="25"/>
      <x:c r="K113" s="53" t="str">
        <x:v>Profile Hardware</x:v>
      </x:c>
      <x:c r="L113" s="53" t="str">
        <x:v>Light Diffuser</x:v>
      </x:c>
      <x:c r="M113" s="53" t="str">
        <x:v>Surface Master</x:v>
      </x:c>
      <x:c r="N113" s="53" t="str"/>
      <x:c r="O113" s="56" t="str"/>
      <x:c r="P113" s="54" t="str">
        <x:v>MTR</x:v>
      </x:c>
      <x:c r="Q113" s="57" t="str"/>
      <x:c r="R113" s="57" t="n">
        <x:f>IF(I113="","",I113)</x:f>
        <x:v>13</x:v>
      </x:c>
      <x:c r="S113" s="57" t="str">
        <x:f>IF(OR(Q113="",R113=""),"",R113-Q113)</x:f>
      </x:c>
      <x:c r="T113" s="58" t="str">
        <x:f>IF(OR(Q113="",R113="",Q113=0),"",S113/Q113)</x:f>
      </x:c>
    </x:row>
    <x:row r="114" ht="15.75" customHeight="1">
      <x:c r="A114" s="9">
        <x:f t="shared" si="1"/>
        <x:v>113</x:v>
      </x:c>
      <x:c r="B114" s="35" t="s">
        <x:v>180</x:v>
      </x:c>
      <x:c r="C114" s="35" t="s">
        <x:v>184</x:v>
      </x:c>
      <x:c r="D114" s="12" t="s">
        <x:v>185</x:v>
      </x:c>
      <x:c r="E114" s="14"/>
      <x:c r="F114" s="15">
        <x:v>75</x:v>
      </x:c>
      <x:c r="G114" s="14" t="s">
        <x:v>41</x:v>
      </x:c>
      <x:c r="H114" s="29"/>
      <x:c r="I114" s="24">
        <x:v>75</x:v>
      </x:c>
      <x:c r="J114" s="25"/>
      <x:c r="K114" s="53" t="str">
        <x:v>Lighting / Electrical</x:v>
      </x:c>
      <x:c r="L114" s="53" t="str">
        <x:v>LED LIGHT</x:v>
      </x:c>
      <x:c r="M114" s="53" t="str">
        <x:v>12V 5A 60W</x:v>
      </x:c>
      <x:c r="N114" s="53" t="str"/>
      <x:c r="O114" s="56" t="str"/>
      <x:c r="P114" s="54" t="str">
        <x:v>MTR</x:v>
      </x:c>
      <x:c r="Q114" s="57" t="str"/>
      <x:c r="R114" s="57" t="n">
        <x:f>IF(I114="","",I114)</x:f>
        <x:v>75</x:v>
      </x:c>
      <x:c r="S114" s="57" t="str">
        <x:f>IF(OR(Q114="",R114=""),"",R114-Q114)</x:f>
      </x:c>
      <x:c r="T114" s="58" t="str">
        <x:f>IF(OR(Q114="",R114="",Q114=0),"",S114/Q114)</x:f>
      </x:c>
    </x:row>
    <x:row r="115" ht="15.75" customHeight="1">
      <x:c r="A115" s="9">
        <x:f t="shared" si="1"/>
        <x:v>114</x:v>
      </x:c>
      <x:c r="B115" s="35" t="s">
        <x:v>180</x:v>
      </x:c>
      <x:c r="C115" s="35" t="s">
        <x:v>186</x:v>
      </x:c>
      <x:c r="D115" s="12" t="s">
        <x:v>187</x:v>
      </x:c>
      <x:c r="E115" s="14" t="s">
        <x:v>158</x:v>
      </x:c>
      <x:c r="F115" s="15">
        <x:v>141</x:v>
      </x:c>
      <x:c r="G115" s="14" t="s">
        <x:v>41</x:v>
      </x:c>
      <x:c r="H115" s="29"/>
      <x:c r="I115" s="24">
        <x:v>144.12450000000001</x:v>
      </x:c>
      <x:c r="J115" s="25"/>
      <x:c r="K115" s="53" t="str">
        <x:v>Lighting / Electrical</x:v>
      </x:c>
      <x:c r="L115" s="53" t="str">
        <x:v>GROOVE LIGHT</x:v>
      </x:c>
      <x:c r="M115" s="53" t="str">
        <x:v>Standard</x:v>
      </x:c>
      <x:c r="N115" s="53" t="str">
        <x:v>Ebco</x:v>
      </x:c>
      <x:c r="O115" s="56" t="str"/>
      <x:c r="P115" s="54" t="str">
        <x:v>MTR</x:v>
      </x:c>
      <x:c r="Q115" s="57" t="str"/>
      <x:c r="R115" s="57" t="n">
        <x:f>IF(I115="","",I115)</x:f>
        <x:v>144.1245</x:v>
      </x:c>
      <x:c r="S115" s="57" t="str">
        <x:f>IF(OR(Q115="",R115=""),"",R115-Q115)</x:f>
      </x:c>
      <x:c r="T115" s="58" t="str">
        <x:f>IF(OR(Q115="",R115="",Q115=0),"",S115/Q115)</x:f>
      </x:c>
    </x:row>
    <x:row r="116" ht="15.75" customHeight="1">
      <x:c r="A116" s="9">
        <x:f t="shared" si="1"/>
        <x:v>115</x:v>
      </x:c>
      <x:c r="B116" s="35" t="s">
        <x:v>180</x:v>
      </x:c>
      <x:c r="C116" s="35" t="s">
        <x:v>188</x:v>
      </x:c>
      <x:c r="D116" s="12" t="s">
        <x:v>189</x:v>
      </x:c>
      <x:c r="E116" s="14"/>
      <x:c r="F116" s="15">
        <x:v>375</x:v>
      </x:c>
      <x:c r="G116" s="14" t="s">
        <x:v>62</x:v>
      </x:c>
      <x:c r="H116" s="29"/>
      <x:c r="I116" s="24">
        <x:v>375</x:v>
      </x:c>
      <x:c r="J116" s="25"/>
      <x:c r="K116" s="53" t="str">
        <x:v>Lighting / Electrical</x:v>
      </x:c>
      <x:c r="L116" s="53" t="str">
        <x:v>LIGHT DRIVER</x:v>
      </x:c>
      <x:c r="M116" s="53" t="str">
        <x:v>12V 5A 60W</x:v>
      </x:c>
      <x:c r="N116" s="53" t="str"/>
      <x:c r="O116" s="56" t="str"/>
      <x:c r="P116" s="54" t="str">
        <x:v>PCS</x:v>
      </x:c>
      <x:c r="Q116" s="57" t="str"/>
      <x:c r="R116" s="57" t="n">
        <x:f>IF(I116="","",I116)</x:f>
        <x:v>375</x:v>
      </x:c>
      <x:c r="S116" s="57" t="str">
        <x:f>IF(OR(Q116="",R116=""),"",R116-Q116)</x:f>
      </x:c>
      <x:c r="T116" s="58" t="str">
        <x:f>IF(OR(Q116="",R116="",Q116=0),"",S116/Q116)</x:f>
      </x:c>
    </x:row>
    <x:row r="117" ht="15.75" customHeight="1">
      <x:c r="A117" s="9">
        <x:f t="shared" si="1"/>
        <x:v>116</x:v>
      </x:c>
      <x:c r="B117" s="35" t="s">
        <x:v>180</x:v>
      </x:c>
      <x:c r="C117" s="35" t="s">
        <x:v>188</x:v>
      </x:c>
      <x:c r="D117" s="12" t="s">
        <x:v>190</x:v>
      </x:c>
      <x:c r="E117" s="14"/>
      <x:c r="F117" s="15">
        <x:v>150</x:v>
      </x:c>
      <x:c r="G117" s="14" t="s">
        <x:v>62</x:v>
      </x:c>
      <x:c r="H117" s="29"/>
      <x:c r="I117" s="24">
        <x:v>150</x:v>
      </x:c>
      <x:c r="J117" s="25"/>
      <x:c r="K117" s="53" t="str">
        <x:v>Lighting / Electrical</x:v>
      </x:c>
      <x:c r="L117" s="53" t="str">
        <x:v>LIGHT DRIVER</x:v>
      </x:c>
      <x:c r="M117" s="53" t="str">
        <x:v>12V 2A 24W</x:v>
      </x:c>
      <x:c r="N117" s="53" t="str"/>
      <x:c r="O117" s="56" t="str"/>
      <x:c r="P117" s="54" t="str">
        <x:v>PCS</x:v>
      </x:c>
      <x:c r="Q117" s="57" t="str"/>
      <x:c r="R117" s="57" t="n">
        <x:f>IF(I117="","",I117)</x:f>
        <x:v>150</x:v>
      </x:c>
      <x:c r="S117" s="57" t="str">
        <x:f>IF(OR(Q117="",R117=""),"",R117-Q117)</x:f>
      </x:c>
      <x:c r="T117" s="58" t="str">
        <x:f>IF(OR(Q117="",R117="",Q117=0),"",S117/Q117)</x:f>
      </x:c>
    </x:row>
    <x:row r="118" ht="15.75" customHeight="1">
      <x:c r="A118" s="9">
        <x:f t="shared" si="1"/>
        <x:v>117</x:v>
      </x:c>
      <x:c r="B118" s="35" t="s">
        <x:v>180</x:v>
      </x:c>
      <x:c r="C118" s="35" t="s">
        <x:v>191</x:v>
      </x:c>
      <x:c r="D118" s="12" t="s">
        <x:v>192</x:v>
      </x:c>
      <x:c r="E118" s="14"/>
      <x:c r="F118" s="15">
        <x:v>9.5</x:v>
      </x:c>
      <x:c r="G118" s="14" t="s">
        <x:v>193</x:v>
      </x:c>
      <x:c r="H118" s="29"/>
      <x:c r="I118" s="24">
        <x:v>10.9</x:v>
      </x:c>
      <x:c r="J118" s="25"/>
      <x:c r="K118" s="53" t="str">
        <x:v>Lighting / Electrical</x:v>
      </x:c>
      <x:c r="L118" s="53" t="str">
        <x:v>WIRE</x:v>
      </x:c>
      <x:c r="M118" s="53" t="str">
        <x:v>Standard</x:v>
      </x:c>
      <x:c r="N118" s="53" t="str"/>
      <x:c r="O118" s="56" t="str"/>
      <x:c r="P118" s="54" t="str">
        <x:v>MTR</x:v>
      </x:c>
      <x:c r="Q118" s="57" t="str"/>
      <x:c r="R118" s="57" t="n">
        <x:f>IF(I118="","",I118)</x:f>
        <x:v>10.9</x:v>
      </x:c>
      <x:c r="S118" s="57" t="str">
        <x:f>IF(OR(Q118="",R118=""),"",R118-Q118)</x:f>
      </x:c>
      <x:c r="T118" s="58" t="str">
        <x:f>IF(OR(Q118="",R118="",Q118=0),"",S118/Q118)</x:f>
      </x:c>
    </x:row>
    <x:row r="119" ht="15.75" customHeight="1">
      <x:c r="A119" s="9">
        <x:f t="shared" si="1"/>
        <x:v>118</x:v>
      </x:c>
      <x:c r="B119" s="35" t="s">
        <x:v>180</x:v>
      </x:c>
      <x:c r="C119" s="35" t="s">
        <x:v>194</x:v>
      </x:c>
      <x:c r="D119" s="14" t="s">
        <x:v>195</x:v>
      </x:c>
      <x:c r="E119" s="14"/>
      <x:c r="F119" s="15">
        <x:v>85</x:v>
      </x:c>
      <x:c r="G119" s="14" t="s">
        <x:v>11</x:v>
      </x:c>
      <x:c r="H119" s="29"/>
      <x:c r="I119" s="24">
        <x:v>85</x:v>
      </x:c>
      <x:c r="J119" s="25"/>
      <x:c r="K119" s="53" t="str">
        <x:v>Lighting / Electrical</x:v>
      </x:c>
      <x:c r="L119" s="53" t="str">
        <x:v>SPOT LIGHT</x:v>
      </x:c>
      <x:c r="M119" s="53" t="str">
        <x:v>3W Warm White</x:v>
      </x:c>
      <x:c r="N119" s="53" t="str"/>
      <x:c r="O119" s="56" t="str"/>
      <x:c r="P119" s="54" t="str">
        <x:v>PCS</x:v>
      </x:c>
      <x:c r="Q119" s="57" t="str"/>
      <x:c r="R119" s="57" t="n">
        <x:f>IF(I119="","",I119)</x:f>
        <x:v>85</x:v>
      </x:c>
      <x:c r="S119" s="57" t="str">
        <x:f>IF(OR(Q119="",R119=""),"",R119-Q119)</x:f>
      </x:c>
      <x:c r="T119" s="58" t="str">
        <x:f>IF(OR(Q119="",R119="",Q119=0),"",S119/Q119)</x:f>
      </x:c>
    </x:row>
    <x:row r="120" ht="15.75" customHeight="1">
      <x:c r="A120" s="9">
        <x:f t="shared" si="1"/>
        <x:v>119</x:v>
      </x:c>
      <x:c r="B120" s="35" t="s">
        <x:v>196</x:v>
      </x:c>
      <x:c r="C120" s="35" t="s">
        <x:v>197</x:v>
      </x:c>
      <x:c r="D120" s="12" t="s">
        <x:v>198</x:v>
      </x:c>
      <x:c r="E120" s="14"/>
      <x:c r="F120" s="15">
        <x:v>130</x:v>
      </x:c>
      <x:c r="G120" s="14" t="s">
        <x:v>41</x:v>
      </x:c>
      <x:c r="H120" s="29"/>
      <x:c r="I120" s="24">
        <x:v>128.21</x:v>
      </x:c>
      <x:c r="J120" s="25"/>
      <x:c r="K120" s="53" t="str">
        <x:v>Skirting / Leg</x:v>
      </x:c>
      <x:c r="L120" s="53" t="str">
        <x:v>Skirting Profile</x:v>
      </x:c>
      <x:c r="M120" s="53" t="str">
        <x:v>100mm Black</x:v>
      </x:c>
      <x:c r="N120" s="53" t="str"/>
      <x:c r="O120" s="56" t="str"/>
      <x:c r="P120" s="54" t="str">
        <x:v>MTR</x:v>
      </x:c>
      <x:c r="Q120" s="57" t="str"/>
      <x:c r="R120" s="57" t="n">
        <x:f>IF(I120="","",I120)</x:f>
        <x:v>128.21</x:v>
      </x:c>
      <x:c r="S120" s="57" t="str">
        <x:f>IF(OR(Q120="",R120=""),"",R120-Q120)</x:f>
      </x:c>
      <x:c r="T120" s="58" t="str">
        <x:f>IF(OR(Q120="",R120="",Q120=0),"",S120/Q120)</x:f>
      </x:c>
    </x:row>
    <x:row r="121" ht="15.75" customHeight="1">
      <x:c r="A121" s="9">
        <x:f t="shared" si="1"/>
        <x:v>120</x:v>
      </x:c>
      <x:c r="B121" s="35" t="s">
        <x:v>196</x:v>
      </x:c>
      <x:c r="C121" s="35" t="s">
        <x:v>197</x:v>
      </x:c>
      <x:c r="D121" s="12" t="s">
        <x:v>199</x:v>
      </x:c>
      <x:c r="E121" s="14"/>
      <x:c r="F121" s="15">
        <x:v>32</x:v>
      </x:c>
      <x:c r="G121" s="14" t="s">
        <x:v>87</x:v>
      </x:c>
      <x:c r="H121" s="29"/>
      <x:c r="I121" s="24">
        <x:v>32</x:v>
      </x:c>
      <x:c r="J121" s="25"/>
      <x:c r="K121" s="53" t="str">
        <x:v>Skirting / Leg</x:v>
      </x:c>
      <x:c r="L121" s="53" t="str">
        <x:v>Skirting Connector</x:v>
      </x:c>
      <x:c r="M121" s="53" t="str">
        <x:v>Straight Joint, 90°</x:v>
      </x:c>
      <x:c r="N121" s="53" t="str"/>
      <x:c r="O121" s="56" t="str"/>
      <x:c r="P121" s="54" t="str">
        <x:v>PCS</x:v>
      </x:c>
      <x:c r="Q121" s="57" t="str"/>
      <x:c r="R121" s="57" t="n">
        <x:f>IF(I121="","",I121)</x:f>
        <x:v>32</x:v>
      </x:c>
      <x:c r="S121" s="57" t="str">
        <x:f>IF(OR(Q121="",R121=""),"",R121-Q121)</x:f>
      </x:c>
      <x:c r="T121" s="58" t="str">
        <x:f>IF(OR(Q121="",R121="",Q121=0),"",S121/Q121)</x:f>
      </x:c>
    </x:row>
    <x:row r="122" ht="15.75" customHeight="1">
      <x:c r="A122" s="9">
        <x:f t="shared" si="1"/>
        <x:v>121</x:v>
      </x:c>
      <x:c r="B122" s="35" t="s">
        <x:v>196</x:v>
      </x:c>
      <x:c r="C122" s="35" t="s">
        <x:v>197</x:v>
      </x:c>
      <x:c r="D122" s="12" t="s">
        <x:v>200</x:v>
      </x:c>
      <x:c r="E122" s="14"/>
      <x:c r="F122" s="15">
        <x:v>1</x:v>
      </x:c>
      <x:c r="G122" s="14" t="s">
        <x:v>87</x:v>
      </x:c>
      <x:c r="H122" s="29"/>
      <x:c r="I122" s="24">
        <x:v>0.5</x:v>
      </x:c>
      <x:c r="J122" s="25"/>
      <x:c r="K122" s="53" t="str">
        <x:v>Skirting / Leg</x:v>
      </x:c>
      <x:c r="L122" s="53" t="str">
        <x:v>Skirting Clip</x:v>
      </x:c>
      <x:c r="M122" s="53" t="str">
        <x:v>Leg Clip</x:v>
      </x:c>
      <x:c r="N122" s="53" t="str"/>
      <x:c r="O122" s="56" t="str"/>
      <x:c r="P122" s="54" t="str">
        <x:v>PCS</x:v>
      </x:c>
      <x:c r="Q122" s="57" t="str"/>
      <x:c r="R122" s="57" t="n">
        <x:f>IF(I122="","",I122)</x:f>
        <x:v>0.5</x:v>
      </x:c>
      <x:c r="S122" s="57" t="str">
        <x:f>IF(OR(Q122="",R122=""),"",R122-Q122)</x:f>
      </x:c>
      <x:c r="T122" s="58" t="str">
        <x:f>IF(OR(Q122="",R122="",Q122=0),"",S122/Q122)</x:f>
      </x:c>
    </x:row>
    <x:row r="123" ht="15.75" customHeight="1">
      <x:c r="A123" s="9">
        <x:f t="shared" si="1"/>
        <x:v>122</x:v>
      </x:c>
      <x:c r="B123" s="35" t="s">
        <x:v>196</x:v>
      </x:c>
      <x:c r="C123" s="35" t="s">
        <x:v>197</x:v>
      </x:c>
      <x:c r="D123" s="12" t="s">
        <x:v>201</x:v>
      </x:c>
      <x:c r="E123" s="14"/>
      <x:c r="F123" s="15">
        <x:v>11</x:v>
      </x:c>
      <x:c r="G123" s="14" t="s">
        <x:v>87</x:v>
      </x:c>
      <x:c r="H123" s="29"/>
      <x:c r="I123" s="24">
        <x:v>10.5</x:v>
      </x:c>
      <x:c r="J123" s="25"/>
      <x:c r="K123" s="53" t="str">
        <x:v>Skirting / Leg</x:v>
      </x:c>
      <x:c r="L123" s="53" t="str">
        <x:v>PVC Leg</x:v>
      </x:c>
      <x:c r="M123" s="53" t="str">
        <x:v>100mm Adjustable</x:v>
      </x:c>
      <x:c r="N123" s="53" t="str"/>
      <x:c r="O123" s="56" t="str"/>
      <x:c r="P123" s="54" t="str">
        <x:v>PCS</x:v>
      </x:c>
      <x:c r="Q123" s="57" t="str"/>
      <x:c r="R123" s="57" t="n">
        <x:f>IF(I123="","",I123)</x:f>
        <x:v>10.5</x:v>
      </x:c>
      <x:c r="S123" s="57" t="str">
        <x:f>IF(OR(Q123="",R123=""),"",R123-Q123)</x:f>
      </x:c>
      <x:c r="T123" s="58" t="str">
        <x:f>IF(OR(Q123="",R123="",Q123=0),"",S123/Q123)</x:f>
      </x:c>
    </x:row>
    <x:row r="124" ht="15.75" customHeight="1">
      <x:c r="A124" s="36"/>
      <x:c r="B124" s="36"/>
      <x:c r="C124" s="36"/>
      <x:c r="D124" s="36"/>
      <x:c r="E124" s="36"/>
      <x:c r="F124" s="36"/>
      <x:c r="G124" s="36"/>
      <x:c r="J124" s="37"/>
    </x:row>
    <x:row r="125" ht="15.75" customHeight="1">
      <x:c r="A125" s="36"/>
      <x:c r="B125" s="36"/>
      <x:c r="C125" s="36"/>
      <x:c r="D125" s="36"/>
      <x:c r="E125" s="36"/>
      <x:c r="F125" s="36"/>
      <x:c r="G125" s="36"/>
      <x:c r="J125" s="37"/>
    </x:row>
    <x:row r="126" ht="15.75" customHeight="1">
      <x:c r="A126" s="36"/>
      <x:c r="B126" s="36"/>
      <x:c r="C126" s="36"/>
      <x:c r="D126" s="36"/>
      <x:c r="E126" s="36"/>
      <x:c r="F126" s="36"/>
      <x:c r="G126" s="36"/>
      <x:c r="J126" s="37"/>
    </x:row>
    <x:row r="127" ht="15.75" customHeight="1">
      <x:c r="A127" s="36"/>
      <x:c r="B127" s="36"/>
      <x:c r="C127" s="36"/>
      <x:c r="D127" s="36"/>
      <x:c r="E127" s="36"/>
      <x:c r="F127" s="36"/>
      <x:c r="G127" s="36"/>
      <x:c r="J127" s="37"/>
    </x:row>
    <x:row r="128" ht="15.75" customHeight="1">
      <x:c r="A128" s="36"/>
      <x:c r="B128" s="36"/>
      <x:c r="C128" s="36"/>
      <x:c r="D128" s="36"/>
      <x:c r="E128" s="36"/>
      <x:c r="F128" s="36"/>
      <x:c r="G128" s="36"/>
      <x:c r="J128" s="37"/>
    </x:row>
    <x:row r="129" ht="15.75" customHeight="1">
      <x:c r="A129" s="36"/>
      <x:c r="B129" s="36"/>
      <x:c r="C129" s="36"/>
      <x:c r="D129" s="36"/>
      <x:c r="E129" s="36"/>
      <x:c r="F129" s="36"/>
      <x:c r="G129" s="36"/>
      <x:c r="J129" s="37"/>
    </x:row>
    <x:row r="130" ht="15.75" customHeight="1">
      <x:c r="A130" s="36"/>
      <x:c r="B130" s="36"/>
      <x:c r="C130" s="36"/>
      <x:c r="D130" s="36"/>
      <x:c r="E130" s="36"/>
      <x:c r="F130" s="36"/>
      <x:c r="G130" s="36"/>
      <x:c r="J130" s="37"/>
    </x:row>
    <x:row r="131" ht="15.75" customHeight="1">
      <x:c r="A131" s="36"/>
      <x:c r="B131" s="36"/>
      <x:c r="C131" s="36"/>
      <x:c r="D131" s="36"/>
      <x:c r="E131" s="36"/>
      <x:c r="F131" s="36"/>
      <x:c r="G131" s="36"/>
      <x:c r="J131" s="37"/>
    </x:row>
    <x:row r="132" ht="15.75" customHeight="1">
      <x:c r="A132" s="36"/>
      <x:c r="B132" s="36"/>
      <x:c r="C132" s="36"/>
      <x:c r="D132" s="36"/>
      <x:c r="E132" s="36"/>
      <x:c r="F132" s="36"/>
      <x:c r="G132" s="36"/>
      <x:c r="J132" s="37"/>
    </x:row>
    <x:row r="133" ht="15.75" customHeight="1">
      <x:c r="A133" s="36"/>
      <x:c r="B133" s="36"/>
      <x:c r="C133" s="36"/>
      <x:c r="D133" s="36"/>
      <x:c r="E133" s="36"/>
      <x:c r="F133" s="36"/>
      <x:c r="G133" s="36"/>
      <x:c r="J133" s="37"/>
    </x:row>
    <x:row r="134" ht="15.75" customHeight="1">
      <x:c r="A134" s="36"/>
      <x:c r="B134" s="36"/>
      <x:c r="C134" s="36"/>
      <x:c r="D134" s="36"/>
      <x:c r="E134" s="36"/>
      <x:c r="F134" s="36"/>
      <x:c r="G134" s="36"/>
      <x:c r="J134" s="37"/>
    </x:row>
    <x:row r="135" ht="15.75" customHeight="1">
      <x:c r="A135" s="36"/>
      <x:c r="B135" s="36"/>
      <x:c r="C135" s="36"/>
      <x:c r="D135" s="36"/>
      <x:c r="E135" s="36"/>
      <x:c r="F135" s="36"/>
      <x:c r="G135" s="36"/>
      <x:c r="J135" s="37"/>
    </x:row>
    <x:row r="136" ht="15.75" customHeight="1">
      <x:c r="A136" s="36"/>
      <x:c r="B136" s="36"/>
      <x:c r="C136" s="36"/>
      <x:c r="D136" s="36"/>
      <x:c r="E136" s="36"/>
      <x:c r="F136" s="36"/>
      <x:c r="G136" s="36"/>
      <x:c r="J136" s="37"/>
    </x:row>
    <x:row r="137" ht="15.75" customHeight="1">
      <x:c r="A137" s="36"/>
      <x:c r="B137" s="36"/>
      <x:c r="C137" s="36"/>
      <x:c r="D137" s="36"/>
      <x:c r="E137" s="36"/>
      <x:c r="F137" s="36"/>
      <x:c r="G137" s="36"/>
      <x:c r="J137" s="37"/>
    </x:row>
    <x:row r="138" ht="15.75" customHeight="1">
      <x:c r="A138" s="36"/>
      <x:c r="B138" s="36"/>
      <x:c r="C138" s="36"/>
      <x:c r="D138" s="36"/>
      <x:c r="E138" s="36"/>
      <x:c r="F138" s="36"/>
      <x:c r="G138" s="36"/>
      <x:c r="J138" s="37"/>
    </x:row>
    <x:row r="139" ht="15.75" customHeight="1">
      <x:c r="A139" s="36"/>
      <x:c r="B139" s="36"/>
      <x:c r="C139" s="36"/>
      <x:c r="D139" s="36"/>
      <x:c r="E139" s="36"/>
      <x:c r="F139" s="36"/>
      <x:c r="G139" s="36"/>
      <x:c r="J139" s="37"/>
    </x:row>
    <x:row r="140" ht="15.75" customHeight="1">
      <x:c r="A140" s="36"/>
      <x:c r="B140" s="36"/>
      <x:c r="C140" s="36"/>
      <x:c r="D140" s="36"/>
      <x:c r="E140" s="36"/>
      <x:c r="F140" s="36"/>
      <x:c r="G140" s="36"/>
      <x:c r="J140" s="37"/>
    </x:row>
    <x:row r="141" ht="15.75" customHeight="1">
      <x:c r="A141" s="36"/>
      <x:c r="B141" s="36"/>
      <x:c r="C141" s="36"/>
      <x:c r="D141" s="36"/>
      <x:c r="E141" s="36"/>
      <x:c r="F141" s="36"/>
      <x:c r="G141" s="36"/>
      <x:c r="J141" s="37"/>
    </x:row>
    <x:row r="142" ht="15.75" customHeight="1">
      <x:c r="A142" s="36"/>
      <x:c r="B142" s="36"/>
      <x:c r="C142" s="36"/>
      <x:c r="D142" s="36"/>
      <x:c r="E142" s="36"/>
      <x:c r="F142" s="36"/>
      <x:c r="G142" s="36"/>
      <x:c r="J142" s="37"/>
    </x:row>
    <x:row r="143" ht="15.75" customHeight="1">
      <x:c r="A143" s="36"/>
      <x:c r="B143" s="36"/>
      <x:c r="C143" s="36"/>
      <x:c r="D143" s="36"/>
      <x:c r="E143" s="36"/>
      <x:c r="F143" s="36"/>
      <x:c r="G143" s="36"/>
      <x:c r="J143" s="37"/>
    </x:row>
    <x:row r="144" ht="15.75" customHeight="1">
      <x:c r="A144" s="36"/>
      <x:c r="B144" s="36"/>
      <x:c r="C144" s="36"/>
      <x:c r="D144" s="36"/>
      <x:c r="E144" s="36"/>
      <x:c r="F144" s="36"/>
      <x:c r="G144" s="36"/>
      <x:c r="J144" s="37"/>
    </x:row>
    <x:row r="145" ht="15.75" customHeight="1">
      <x:c r="A145" s="36"/>
      <x:c r="B145" s="36"/>
      <x:c r="C145" s="36"/>
      <x:c r="D145" s="36"/>
      <x:c r="E145" s="36"/>
      <x:c r="F145" s="36"/>
      <x:c r="G145" s="36"/>
      <x:c r="J145" s="37"/>
    </x:row>
    <x:row r="146" ht="15.75" customHeight="1">
      <x:c r="A146" s="36"/>
      <x:c r="B146" s="36"/>
      <x:c r="C146" s="36"/>
      <x:c r="D146" s="36"/>
      <x:c r="E146" s="36"/>
      <x:c r="F146" s="36"/>
      <x:c r="G146" s="36"/>
      <x:c r="J146" s="37"/>
    </x:row>
    <x:row r="147" ht="15.75" customHeight="1">
      <x:c r="A147" s="36"/>
      <x:c r="B147" s="36"/>
      <x:c r="C147" s="36"/>
      <x:c r="D147" s="36"/>
      <x:c r="E147" s="36"/>
      <x:c r="F147" s="36"/>
      <x:c r="G147" s="36"/>
      <x:c r="J147" s="37"/>
    </x:row>
    <x:row r="148" ht="15.75" customHeight="1">
      <x:c r="A148" s="36"/>
      <x:c r="B148" s="36"/>
      <x:c r="C148" s="36"/>
      <x:c r="D148" s="36"/>
      <x:c r="E148" s="36"/>
      <x:c r="F148" s="36"/>
      <x:c r="G148" s="36"/>
      <x:c r="J148" s="37"/>
    </x:row>
    <x:row r="149" ht="15.75" customHeight="1">
      <x:c r="A149" s="36"/>
      <x:c r="B149" s="36"/>
      <x:c r="C149" s="36"/>
      <x:c r="D149" s="36"/>
      <x:c r="E149" s="36"/>
      <x:c r="F149" s="36"/>
      <x:c r="G149" s="36"/>
      <x:c r="J149" s="37"/>
    </x:row>
    <x:row r="150" ht="15.75" customHeight="1">
      <x:c r="A150" s="36"/>
      <x:c r="B150" s="36"/>
      <x:c r="C150" s="36"/>
      <x:c r="D150" s="36"/>
      <x:c r="E150" s="36"/>
      <x:c r="F150" s="36"/>
      <x:c r="G150" s="36"/>
      <x:c r="J150" s="37"/>
    </x:row>
    <x:row r="151" ht="15.75" customHeight="1">
      <x:c r="A151" s="36"/>
      <x:c r="B151" s="36"/>
      <x:c r="C151" s="36"/>
      <x:c r="D151" s="36"/>
      <x:c r="E151" s="36"/>
      <x:c r="F151" s="36"/>
      <x:c r="G151" s="36"/>
      <x:c r="J151" s="37"/>
    </x:row>
    <x:row r="152" ht="15.75" customHeight="1">
      <x:c r="A152" s="36"/>
      <x:c r="B152" s="36"/>
      <x:c r="C152" s="36"/>
      <x:c r="D152" s="36"/>
      <x:c r="E152" s="36"/>
      <x:c r="F152" s="36"/>
      <x:c r="G152" s="36"/>
      <x:c r="J152" s="37"/>
    </x:row>
    <x:row r="153" ht="15.75" customHeight="1">
      <x:c r="A153" s="36"/>
      <x:c r="B153" s="36"/>
      <x:c r="C153" s="36"/>
      <x:c r="D153" s="36"/>
      <x:c r="E153" s="36"/>
      <x:c r="F153" s="36"/>
      <x:c r="G153" s="36"/>
      <x:c r="J153" s="37"/>
    </x:row>
    <x:row r="154" ht="15.75" customHeight="1">
      <x:c r="A154" s="36"/>
      <x:c r="B154" s="36"/>
      <x:c r="C154" s="36"/>
      <x:c r="D154" s="36"/>
      <x:c r="E154" s="36"/>
      <x:c r="F154" s="36"/>
      <x:c r="G154" s="36"/>
      <x:c r="J154" s="37"/>
    </x:row>
    <x:row r="155" ht="15.75" customHeight="1">
      <x:c r="A155" s="36"/>
      <x:c r="B155" s="36"/>
      <x:c r="C155" s="36"/>
      <x:c r="D155" s="36"/>
      <x:c r="E155" s="36"/>
      <x:c r="F155" s="36"/>
      <x:c r="G155" s="36"/>
      <x:c r="J155" s="37"/>
    </x:row>
    <x:row r="156" ht="15.75" customHeight="1">
      <x:c r="A156" s="36"/>
      <x:c r="B156" s="36"/>
      <x:c r="C156" s="36"/>
      <x:c r="D156" s="36"/>
      <x:c r="E156" s="36"/>
      <x:c r="F156" s="36"/>
      <x:c r="G156" s="36"/>
      <x:c r="J156" s="37"/>
    </x:row>
    <x:row r="157" ht="15.75" customHeight="1">
      <x:c r="A157" s="36"/>
      <x:c r="B157" s="36"/>
      <x:c r="C157" s="36"/>
      <x:c r="D157" s="36"/>
      <x:c r="E157" s="36"/>
      <x:c r="F157" s="36"/>
      <x:c r="G157" s="36"/>
      <x:c r="J157" s="37"/>
    </x:row>
    <x:row r="158" ht="15.75" customHeight="1">
      <x:c r="A158" s="36"/>
      <x:c r="B158" s="36"/>
      <x:c r="C158" s="36"/>
      <x:c r="D158" s="36"/>
      <x:c r="E158" s="36"/>
      <x:c r="F158" s="36"/>
      <x:c r="G158" s="36"/>
      <x:c r="J158" s="37"/>
    </x:row>
    <x:row r="159" ht="15.75" customHeight="1">
      <x:c r="A159" s="36"/>
      <x:c r="B159" s="36"/>
      <x:c r="C159" s="36"/>
      <x:c r="D159" s="36"/>
      <x:c r="E159" s="36"/>
      <x:c r="F159" s="36"/>
      <x:c r="G159" s="36"/>
      <x:c r="J159" s="37"/>
    </x:row>
    <x:row r="160" ht="15.75" customHeight="1">
      <x:c r="A160" s="36"/>
      <x:c r="B160" s="36"/>
      <x:c r="C160" s="36"/>
      <x:c r="D160" s="36"/>
      <x:c r="E160" s="36"/>
      <x:c r="F160" s="36"/>
      <x:c r="G160" s="36"/>
      <x:c r="J160" s="37"/>
    </x:row>
    <x:row r="161" ht="15.75" customHeight="1">
      <x:c r="A161" s="36"/>
      <x:c r="B161" s="36"/>
      <x:c r="C161" s="36"/>
      <x:c r="D161" s="36"/>
      <x:c r="E161" s="36"/>
      <x:c r="F161" s="36"/>
      <x:c r="G161" s="36"/>
      <x:c r="J161" s="37"/>
    </x:row>
    <x:row r="162" ht="15.75" customHeight="1">
      <x:c r="A162" s="36"/>
      <x:c r="B162" s="36"/>
      <x:c r="C162" s="36"/>
      <x:c r="D162" s="36"/>
      <x:c r="E162" s="36"/>
      <x:c r="F162" s="36"/>
      <x:c r="G162" s="36"/>
      <x:c r="J162" s="37"/>
    </x:row>
    <x:row r="163" ht="15.75" customHeight="1">
      <x:c r="A163" s="36"/>
      <x:c r="B163" s="36"/>
      <x:c r="C163" s="36"/>
      <x:c r="D163" s="36"/>
      <x:c r="E163" s="36"/>
      <x:c r="F163" s="36"/>
      <x:c r="G163" s="36"/>
      <x:c r="J163" s="37"/>
    </x:row>
    <x:row r="164" ht="15.75" customHeight="1">
      <x:c r="A164" s="36"/>
      <x:c r="B164" s="36"/>
      <x:c r="C164" s="36"/>
      <x:c r="D164" s="36"/>
      <x:c r="E164" s="36"/>
      <x:c r="F164" s="36"/>
      <x:c r="G164" s="36"/>
      <x:c r="J164" s="37"/>
    </x:row>
    <x:row r="165" ht="15.75" customHeight="1">
      <x:c r="A165" s="36"/>
      <x:c r="B165" s="36"/>
      <x:c r="C165" s="36"/>
      <x:c r="D165" s="36"/>
      <x:c r="E165" s="36"/>
      <x:c r="F165" s="36"/>
      <x:c r="G165" s="36"/>
      <x:c r="J165" s="37"/>
    </x:row>
    <x:row r="166" ht="15.75" customHeight="1">
      <x:c r="A166" s="36"/>
      <x:c r="B166" s="36"/>
      <x:c r="C166" s="36"/>
      <x:c r="D166" s="36"/>
      <x:c r="E166" s="36"/>
      <x:c r="F166" s="36"/>
      <x:c r="G166" s="36"/>
      <x:c r="J166" s="37"/>
    </x:row>
    <x:row r="167" ht="15.75" customHeight="1">
      <x:c r="A167" s="36"/>
      <x:c r="B167" s="36"/>
      <x:c r="C167" s="36"/>
      <x:c r="D167" s="36"/>
      <x:c r="E167" s="36"/>
      <x:c r="F167" s="36"/>
      <x:c r="G167" s="36"/>
      <x:c r="J167" s="37"/>
    </x:row>
    <x:row r="168" ht="15.75" customHeight="1">
      <x:c r="A168" s="36"/>
      <x:c r="B168" s="36"/>
      <x:c r="C168" s="36"/>
      <x:c r="D168" s="36"/>
      <x:c r="E168" s="36"/>
      <x:c r="F168" s="36"/>
      <x:c r="G168" s="36"/>
      <x:c r="J168" s="37"/>
    </x:row>
    <x:row r="169" ht="15.75" customHeight="1">
      <x:c r="A169" s="36"/>
      <x:c r="B169" s="36"/>
      <x:c r="C169" s="36"/>
      <x:c r="D169" s="36"/>
      <x:c r="E169" s="36"/>
      <x:c r="F169" s="36"/>
      <x:c r="G169" s="36"/>
      <x:c r="J169" s="37"/>
    </x:row>
    <x:row r="170" ht="15.75" customHeight="1">
      <x:c r="A170" s="36"/>
      <x:c r="B170" s="36"/>
      <x:c r="C170" s="36"/>
      <x:c r="D170" s="36"/>
      <x:c r="E170" s="36"/>
      <x:c r="F170" s="36"/>
      <x:c r="G170" s="36"/>
      <x:c r="J170" s="37"/>
    </x:row>
    <x:row r="171" ht="15.75" customHeight="1">
      <x:c r="A171" s="36"/>
      <x:c r="B171" s="36"/>
      <x:c r="C171" s="36"/>
      <x:c r="D171" s="36"/>
      <x:c r="E171" s="36"/>
      <x:c r="F171" s="36"/>
      <x:c r="G171" s="36"/>
      <x:c r="J171" s="37"/>
    </x:row>
    <x:row r="172" ht="15.75" customHeight="1">
      <x:c r="A172" s="36"/>
      <x:c r="B172" s="36"/>
      <x:c r="C172" s="36"/>
      <x:c r="D172" s="36"/>
      <x:c r="E172" s="36"/>
      <x:c r="F172" s="36"/>
      <x:c r="G172" s="36"/>
      <x:c r="J172" s="37"/>
    </x:row>
    <x:row r="173" ht="15.75" customHeight="1">
      <x:c r="A173" s="36"/>
      <x:c r="B173" s="36"/>
      <x:c r="C173" s="36"/>
      <x:c r="D173" s="36"/>
      <x:c r="E173" s="36"/>
      <x:c r="F173" s="36"/>
      <x:c r="G173" s="36"/>
      <x:c r="J173" s="37"/>
    </x:row>
    <x:row r="174" ht="15.75" customHeight="1">
      <x:c r="A174" s="36"/>
      <x:c r="B174" s="36"/>
      <x:c r="C174" s="36"/>
      <x:c r="D174" s="36"/>
      <x:c r="E174" s="36"/>
      <x:c r="F174" s="36"/>
      <x:c r="G174" s="36"/>
      <x:c r="J174" s="37"/>
    </x:row>
    <x:row r="175" ht="15.75" customHeight="1">
      <x:c r="A175" s="36"/>
      <x:c r="B175" s="36"/>
      <x:c r="C175" s="36"/>
      <x:c r="D175" s="36"/>
      <x:c r="E175" s="36"/>
      <x:c r="F175" s="36"/>
      <x:c r="G175" s="36"/>
      <x:c r="J175" s="37"/>
    </x:row>
    <x:row r="176" ht="15.75" customHeight="1">
      <x:c r="A176" s="36"/>
      <x:c r="B176" s="36"/>
      <x:c r="C176" s="36"/>
      <x:c r="D176" s="36"/>
      <x:c r="E176" s="36"/>
      <x:c r="F176" s="36"/>
      <x:c r="G176" s="36"/>
      <x:c r="J176" s="37"/>
    </x:row>
    <x:row r="177" ht="15.75" customHeight="1">
      <x:c r="A177" s="36"/>
      <x:c r="B177" s="36"/>
      <x:c r="C177" s="36"/>
      <x:c r="D177" s="36"/>
      <x:c r="E177" s="36"/>
      <x:c r="F177" s="36"/>
      <x:c r="G177" s="36"/>
      <x:c r="J177" s="37"/>
    </x:row>
    <x:row r="178" ht="15.75" customHeight="1">
      <x:c r="A178" s="36"/>
      <x:c r="B178" s="36"/>
      <x:c r="C178" s="36"/>
      <x:c r="D178" s="36"/>
      <x:c r="E178" s="36"/>
      <x:c r="F178" s="36"/>
      <x:c r="G178" s="36"/>
      <x:c r="J178" s="37"/>
    </x:row>
    <x:row r="179" ht="15.75" customHeight="1">
      <x:c r="A179" s="36"/>
      <x:c r="B179" s="36"/>
      <x:c r="C179" s="36"/>
      <x:c r="D179" s="36"/>
      <x:c r="E179" s="36"/>
      <x:c r="F179" s="36"/>
      <x:c r="G179" s="36"/>
      <x:c r="J179" s="37"/>
    </x:row>
    <x:row r="180" ht="15.75" customHeight="1">
      <x:c r="A180" s="36"/>
      <x:c r="B180" s="36"/>
      <x:c r="C180" s="36"/>
      <x:c r="D180" s="36"/>
      <x:c r="E180" s="36"/>
      <x:c r="F180" s="36"/>
      <x:c r="G180" s="36"/>
      <x:c r="J180" s="37"/>
    </x:row>
    <x:row r="181" ht="15.75" customHeight="1">
      <x:c r="A181" s="36"/>
      <x:c r="B181" s="36"/>
      <x:c r="C181" s="36"/>
      <x:c r="D181" s="36"/>
      <x:c r="E181" s="36"/>
      <x:c r="F181" s="36"/>
      <x:c r="G181" s="36"/>
      <x:c r="J181" s="37"/>
    </x:row>
    <x:row r="182" ht="15.75" customHeight="1">
      <x:c r="A182" s="36"/>
      <x:c r="B182" s="36"/>
      <x:c r="C182" s="36"/>
      <x:c r="D182" s="36"/>
      <x:c r="E182" s="36"/>
      <x:c r="F182" s="36"/>
      <x:c r="G182" s="36"/>
      <x:c r="J182" s="37"/>
    </x:row>
    <x:row r="183" ht="15.75" customHeight="1">
      <x:c r="A183" s="36"/>
      <x:c r="B183" s="36"/>
      <x:c r="C183" s="36"/>
      <x:c r="D183" s="36"/>
      <x:c r="E183" s="36"/>
      <x:c r="F183" s="36"/>
      <x:c r="G183" s="36"/>
      <x:c r="J183" s="37"/>
    </x:row>
    <x:row r="184" ht="15.75" customHeight="1">
      <x:c r="A184" s="36"/>
      <x:c r="B184" s="36"/>
      <x:c r="C184" s="36"/>
      <x:c r="D184" s="36"/>
      <x:c r="E184" s="36"/>
      <x:c r="F184" s="36"/>
      <x:c r="G184" s="36"/>
      <x:c r="J184" s="37"/>
    </x:row>
    <x:row r="185" ht="15.75" customHeight="1">
      <x:c r="A185" s="36"/>
      <x:c r="B185" s="36"/>
      <x:c r="C185" s="36"/>
      <x:c r="D185" s="36"/>
      <x:c r="E185" s="36"/>
      <x:c r="F185" s="36"/>
      <x:c r="G185" s="36"/>
      <x:c r="J185" s="37"/>
    </x:row>
    <x:row r="186" ht="15.75" customHeight="1">
      <x:c r="A186" s="36"/>
      <x:c r="B186" s="36"/>
      <x:c r="C186" s="36"/>
      <x:c r="D186" s="36"/>
      <x:c r="E186" s="36"/>
      <x:c r="F186" s="36"/>
      <x:c r="G186" s="36"/>
      <x:c r="J186" s="37"/>
    </x:row>
    <x:row r="187" ht="15.75" customHeight="1">
      <x:c r="A187" s="36"/>
      <x:c r="B187" s="36"/>
      <x:c r="C187" s="36"/>
      <x:c r="D187" s="36"/>
      <x:c r="E187" s="36"/>
      <x:c r="F187" s="36"/>
      <x:c r="G187" s="36"/>
      <x:c r="J187" s="37"/>
    </x:row>
    <x:row r="188" ht="15.75" customHeight="1">
      <x:c r="A188" s="36"/>
      <x:c r="B188" s="36"/>
      <x:c r="C188" s="36"/>
      <x:c r="D188" s="36"/>
      <x:c r="E188" s="36"/>
      <x:c r="F188" s="36"/>
      <x:c r="G188" s="36"/>
      <x:c r="J188" s="37"/>
    </x:row>
    <x:row r="189" ht="15.75" customHeight="1">
      <x:c r="A189" s="36"/>
      <x:c r="B189" s="36"/>
      <x:c r="C189" s="36"/>
      <x:c r="D189" s="36"/>
      <x:c r="E189" s="36"/>
      <x:c r="F189" s="36"/>
      <x:c r="G189" s="36"/>
      <x:c r="J189" s="37"/>
    </x:row>
    <x:row r="190" ht="15.75" customHeight="1">
      <x:c r="A190" s="36"/>
      <x:c r="B190" s="36"/>
      <x:c r="C190" s="36"/>
      <x:c r="D190" s="36"/>
      <x:c r="E190" s="36"/>
      <x:c r="F190" s="36"/>
      <x:c r="G190" s="36"/>
      <x:c r="J190" s="37"/>
    </x:row>
    <x:row r="191" ht="15.75" customHeight="1">
      <x:c r="A191" s="36"/>
      <x:c r="B191" s="36"/>
      <x:c r="C191" s="36"/>
      <x:c r="D191" s="36"/>
      <x:c r="E191" s="36"/>
      <x:c r="F191" s="36"/>
      <x:c r="G191" s="36"/>
      <x:c r="J191" s="37"/>
    </x:row>
    <x:row r="192" ht="15.75" customHeight="1">
      <x:c r="A192" s="36"/>
      <x:c r="B192" s="36"/>
      <x:c r="C192" s="36"/>
      <x:c r="D192" s="36"/>
      <x:c r="E192" s="36"/>
      <x:c r="F192" s="36"/>
      <x:c r="G192" s="36"/>
      <x:c r="J192" s="37"/>
    </x:row>
    <x:row r="193" ht="15.75" customHeight="1">
      <x:c r="A193" s="36"/>
      <x:c r="B193" s="36"/>
      <x:c r="C193" s="36"/>
      <x:c r="D193" s="36"/>
      <x:c r="E193" s="36"/>
      <x:c r="F193" s="36"/>
      <x:c r="G193" s="36"/>
      <x:c r="J193" s="37"/>
    </x:row>
    <x:row r="194" ht="15.75" customHeight="1">
      <x:c r="A194" s="36"/>
      <x:c r="B194" s="36"/>
      <x:c r="C194" s="36"/>
      <x:c r="D194" s="36"/>
      <x:c r="E194" s="36"/>
      <x:c r="F194" s="36"/>
      <x:c r="G194" s="36"/>
      <x:c r="J194" s="37"/>
    </x:row>
    <x:row r="195" ht="15.75" customHeight="1">
      <x:c r="A195" s="36"/>
      <x:c r="B195" s="36"/>
      <x:c r="C195" s="36"/>
      <x:c r="D195" s="36"/>
      <x:c r="E195" s="36"/>
      <x:c r="F195" s="36"/>
      <x:c r="G195" s="36"/>
      <x:c r="J195" s="37"/>
    </x:row>
    <x:row r="196" ht="15.75" customHeight="1">
      <x:c r="A196" s="36"/>
      <x:c r="B196" s="36"/>
      <x:c r="C196" s="36"/>
      <x:c r="D196" s="36"/>
      <x:c r="E196" s="36"/>
      <x:c r="F196" s="36"/>
      <x:c r="G196" s="36"/>
      <x:c r="J196" s="37"/>
    </x:row>
    <x:row r="197" ht="15.75" customHeight="1">
      <x:c r="A197" s="36"/>
      <x:c r="B197" s="36"/>
      <x:c r="C197" s="36"/>
      <x:c r="D197" s="36"/>
      <x:c r="E197" s="36"/>
      <x:c r="F197" s="36"/>
      <x:c r="G197" s="36"/>
      <x:c r="J197" s="37"/>
    </x:row>
    <x:row r="198" ht="15.75" customHeight="1">
      <x:c r="A198" s="36"/>
      <x:c r="B198" s="36"/>
      <x:c r="C198" s="36"/>
      <x:c r="D198" s="36"/>
      <x:c r="E198" s="36"/>
      <x:c r="F198" s="36"/>
      <x:c r="G198" s="36"/>
      <x:c r="J198" s="37"/>
    </x:row>
    <x:row r="199" ht="15.75" customHeight="1">
      <x:c r="A199" s="36"/>
      <x:c r="B199" s="36"/>
      <x:c r="C199" s="36"/>
      <x:c r="D199" s="36"/>
      <x:c r="E199" s="36"/>
      <x:c r="F199" s="36"/>
      <x:c r="G199" s="36"/>
      <x:c r="J199" s="37"/>
    </x:row>
    <x:row r="200" ht="15.75" customHeight="1">
      <x:c r="A200" s="36"/>
      <x:c r="B200" s="36"/>
      <x:c r="C200" s="36"/>
      <x:c r="D200" s="36"/>
      <x:c r="E200" s="36"/>
      <x:c r="F200" s="36"/>
      <x:c r="G200" s="36"/>
      <x:c r="J200" s="37"/>
    </x:row>
    <x:row r="201" ht="15.75" customHeight="1">
      <x:c r="A201" s="36"/>
      <x:c r="B201" s="36"/>
      <x:c r="C201" s="36"/>
      <x:c r="D201" s="36"/>
      <x:c r="E201" s="36"/>
      <x:c r="F201" s="36"/>
      <x:c r="G201" s="36"/>
      <x:c r="J201" s="37"/>
    </x:row>
    <x:row r="202" ht="15.75" customHeight="1">
      <x:c r="A202" s="36"/>
      <x:c r="B202" s="36"/>
      <x:c r="C202" s="36"/>
      <x:c r="D202" s="36"/>
      <x:c r="E202" s="36"/>
      <x:c r="F202" s="36"/>
      <x:c r="G202" s="36"/>
      <x:c r="J202" s="37"/>
    </x:row>
    <x:row r="203" ht="15.75" customHeight="1">
      <x:c r="A203" s="36"/>
      <x:c r="B203" s="36"/>
      <x:c r="C203" s="36"/>
      <x:c r="D203" s="36"/>
      <x:c r="E203" s="36"/>
      <x:c r="F203" s="36"/>
      <x:c r="G203" s="36"/>
      <x:c r="J203" s="37"/>
    </x:row>
    <x:row r="204" ht="15.75" customHeight="1">
      <x:c r="A204" s="36"/>
      <x:c r="B204" s="36"/>
      <x:c r="C204" s="36"/>
      <x:c r="D204" s="36"/>
      <x:c r="E204" s="36"/>
      <x:c r="F204" s="36"/>
      <x:c r="G204" s="36"/>
      <x:c r="J204" s="37"/>
    </x:row>
    <x:row r="205" ht="15.75" customHeight="1">
      <x:c r="A205" s="36"/>
      <x:c r="B205" s="36"/>
      <x:c r="C205" s="36"/>
      <x:c r="D205" s="36"/>
      <x:c r="E205" s="36"/>
      <x:c r="F205" s="36"/>
      <x:c r="G205" s="36"/>
      <x:c r="J205" s="37"/>
    </x:row>
    <x:row r="206" ht="15.75" customHeight="1">
      <x:c r="A206" s="36"/>
      <x:c r="B206" s="36"/>
      <x:c r="C206" s="36"/>
      <x:c r="D206" s="36"/>
      <x:c r="E206" s="36"/>
      <x:c r="F206" s="36"/>
      <x:c r="G206" s="36"/>
      <x:c r="J206" s="37"/>
    </x:row>
    <x:row r="207" ht="15.75" customHeight="1">
      <x:c r="A207" s="36"/>
      <x:c r="B207" s="36"/>
      <x:c r="C207" s="36"/>
      <x:c r="D207" s="36"/>
      <x:c r="E207" s="36"/>
      <x:c r="F207" s="36"/>
      <x:c r="G207" s="36"/>
      <x:c r="J207" s="37"/>
    </x:row>
    <x:row r="208" ht="15.75" customHeight="1">
      <x:c r="A208" s="36"/>
      <x:c r="B208" s="36"/>
      <x:c r="C208" s="36"/>
      <x:c r="D208" s="36"/>
      <x:c r="E208" s="36"/>
      <x:c r="F208" s="36"/>
      <x:c r="G208" s="36"/>
      <x:c r="J208" s="37"/>
    </x:row>
    <x:row r="209" ht="15.75" customHeight="1">
      <x:c r="A209" s="36"/>
      <x:c r="B209" s="36"/>
      <x:c r="C209" s="36"/>
      <x:c r="D209" s="36"/>
      <x:c r="E209" s="36"/>
      <x:c r="F209" s="36"/>
      <x:c r="G209" s="36"/>
      <x:c r="J209" s="37"/>
    </x:row>
    <x:row r="210" ht="15.75" customHeight="1">
      <x:c r="A210" s="36"/>
      <x:c r="B210" s="36"/>
      <x:c r="C210" s="36"/>
      <x:c r="D210" s="36"/>
      <x:c r="E210" s="36"/>
      <x:c r="F210" s="36"/>
      <x:c r="G210" s="36"/>
      <x:c r="J210" s="37"/>
    </x:row>
    <x:row r="211" ht="15.75" customHeight="1">
      <x:c r="A211" s="36"/>
      <x:c r="B211" s="36"/>
      <x:c r="C211" s="36"/>
      <x:c r="D211" s="36"/>
      <x:c r="E211" s="36"/>
      <x:c r="F211" s="36"/>
      <x:c r="G211" s="36"/>
      <x:c r="J211" s="37"/>
    </x:row>
    <x:row r="212" ht="15.75" customHeight="1">
      <x:c r="A212" s="36"/>
      <x:c r="B212" s="36"/>
      <x:c r="C212" s="36"/>
      <x:c r="D212" s="36"/>
      <x:c r="E212" s="36"/>
      <x:c r="F212" s="36"/>
      <x:c r="G212" s="36"/>
      <x:c r="J212" s="37"/>
    </x:row>
    <x:row r="213" ht="15.75" customHeight="1">
      <x:c r="A213" s="36"/>
      <x:c r="B213" s="36"/>
      <x:c r="C213" s="36"/>
      <x:c r="D213" s="36"/>
      <x:c r="E213" s="36"/>
      <x:c r="F213" s="36"/>
      <x:c r="G213" s="36"/>
      <x:c r="J213" s="37"/>
    </x:row>
    <x:row r="214" ht="15.75" customHeight="1">
      <x:c r="A214" s="36"/>
      <x:c r="B214" s="36"/>
      <x:c r="C214" s="36"/>
      <x:c r="D214" s="36"/>
      <x:c r="E214" s="36"/>
      <x:c r="F214" s="36"/>
      <x:c r="G214" s="36"/>
      <x:c r="J214" s="37"/>
    </x:row>
    <x:row r="215" ht="15.75" customHeight="1">
      <x:c r="A215" s="36"/>
      <x:c r="B215" s="36"/>
      <x:c r="C215" s="36"/>
      <x:c r="D215" s="36"/>
      <x:c r="E215" s="36"/>
      <x:c r="F215" s="36"/>
      <x:c r="G215" s="36"/>
      <x:c r="J215" s="37"/>
    </x:row>
    <x:row r="216" ht="15.75" customHeight="1">
      <x:c r="A216" s="36"/>
      <x:c r="B216" s="36"/>
      <x:c r="C216" s="36"/>
      <x:c r="D216" s="36"/>
      <x:c r="E216" s="36"/>
      <x:c r="F216" s="36"/>
      <x:c r="G216" s="36"/>
      <x:c r="J216" s="37"/>
    </x:row>
    <x:row r="217" ht="15.75" customHeight="1">
      <x:c r="A217" s="36"/>
      <x:c r="B217" s="36"/>
      <x:c r="C217" s="36"/>
      <x:c r="D217" s="36"/>
      <x:c r="E217" s="36"/>
      <x:c r="F217" s="36"/>
      <x:c r="G217" s="36"/>
      <x:c r="J217" s="37"/>
    </x:row>
    <x:row r="218" ht="15.75" customHeight="1">
      <x:c r="A218" s="36"/>
      <x:c r="B218" s="36"/>
      <x:c r="C218" s="36"/>
      <x:c r="D218" s="36"/>
      <x:c r="E218" s="36"/>
      <x:c r="F218" s="36"/>
      <x:c r="G218" s="36"/>
      <x:c r="J218" s="37"/>
    </x:row>
    <x:row r="219" ht="15.75" customHeight="1">
      <x:c r="A219" s="36"/>
      <x:c r="B219" s="36"/>
      <x:c r="C219" s="36"/>
      <x:c r="D219" s="36"/>
      <x:c r="E219" s="36"/>
      <x:c r="F219" s="36"/>
      <x:c r="G219" s="36"/>
      <x:c r="J219" s="37"/>
    </x:row>
    <x:row r="220" ht="15.75" customHeight="1">
      <x:c r="A220" s="36"/>
      <x:c r="B220" s="36"/>
      <x:c r="C220" s="36"/>
      <x:c r="D220" s="36"/>
      <x:c r="E220" s="36"/>
      <x:c r="F220" s="36"/>
      <x:c r="G220" s="36"/>
      <x:c r="J220" s="37"/>
    </x:row>
    <x:row r="221" ht="15.75" customHeight="1">
      <x:c r="A221" s="36"/>
      <x:c r="B221" s="36"/>
      <x:c r="C221" s="36"/>
      <x:c r="D221" s="36"/>
      <x:c r="E221" s="36"/>
      <x:c r="F221" s="36"/>
      <x:c r="G221" s="36"/>
      <x:c r="J221" s="37"/>
    </x:row>
    <x:row r="222" ht="15.75" customHeight="1">
      <x:c r="A222" s="36"/>
      <x:c r="B222" s="36"/>
      <x:c r="C222" s="36"/>
      <x:c r="D222" s="36"/>
      <x:c r="E222" s="36"/>
      <x:c r="F222" s="36"/>
      <x:c r="G222" s="36"/>
      <x:c r="J222" s="37"/>
    </x:row>
    <x:row r="223" ht="15.75" customHeight="1">
      <x:c r="A223" s="36"/>
      <x:c r="B223" s="36"/>
      <x:c r="C223" s="36"/>
      <x:c r="D223" s="36"/>
      <x:c r="E223" s="36"/>
      <x:c r="F223" s="36"/>
      <x:c r="G223" s="36"/>
      <x:c r="J223" s="37"/>
    </x:row>
    <x:row r="224" ht="15.75" customHeight="1">
      <x:c r="A224" s="36"/>
      <x:c r="B224" s="36"/>
      <x:c r="C224" s="36"/>
      <x:c r="D224" s="36"/>
      <x:c r="E224" s="36"/>
      <x:c r="F224" s="36"/>
      <x:c r="G224" s="36"/>
      <x:c r="J224" s="37"/>
    </x:row>
    <x:row r="225" ht="15.75" customHeight="1">
      <x:c r="A225" s="36"/>
      <x:c r="B225" s="36"/>
      <x:c r="C225" s="36"/>
      <x:c r="D225" s="36"/>
      <x:c r="E225" s="36"/>
      <x:c r="F225" s="36"/>
      <x:c r="G225" s="36"/>
      <x:c r="J225" s="37"/>
    </x:row>
    <x:row r="226" ht="15.75" customHeight="1">
      <x:c r="A226" s="36"/>
      <x:c r="B226" s="36"/>
      <x:c r="C226" s="36"/>
      <x:c r="D226" s="36"/>
      <x:c r="E226" s="36"/>
      <x:c r="F226" s="36"/>
      <x:c r="G226" s="36"/>
      <x:c r="J226" s="37"/>
    </x:row>
    <x:row r="227" ht="15.75" customHeight="1">
      <x:c r="A227" s="36"/>
      <x:c r="B227" s="36"/>
      <x:c r="C227" s="36"/>
      <x:c r="D227" s="36"/>
      <x:c r="E227" s="36"/>
      <x:c r="F227" s="36"/>
      <x:c r="G227" s="36"/>
      <x:c r="J227" s="37"/>
    </x:row>
    <x:row r="228" ht="15.75" customHeight="1">
      <x:c r="A228" s="36"/>
      <x:c r="B228" s="36"/>
      <x:c r="C228" s="36"/>
      <x:c r="D228" s="36"/>
      <x:c r="E228" s="36"/>
      <x:c r="F228" s="36"/>
      <x:c r="G228" s="36"/>
      <x:c r="J228" s="37"/>
    </x:row>
    <x:row r="229" ht="15.75" customHeight="1">
      <x:c r="A229" s="36"/>
      <x:c r="B229" s="36"/>
      <x:c r="C229" s="36"/>
      <x:c r="D229" s="36"/>
      <x:c r="E229" s="36"/>
      <x:c r="F229" s="36"/>
      <x:c r="G229" s="36"/>
      <x:c r="J229" s="37"/>
    </x:row>
    <x:row r="230" ht="15.75" customHeight="1">
      <x:c r="A230" s="36"/>
      <x:c r="B230" s="36"/>
      <x:c r="C230" s="36"/>
      <x:c r="D230" s="36"/>
      <x:c r="E230" s="36"/>
      <x:c r="F230" s="36"/>
      <x:c r="G230" s="36"/>
      <x:c r="J230" s="37"/>
    </x:row>
    <x:row r="231" ht="15.75" customHeight="1">
      <x:c r="A231" s="36"/>
      <x:c r="B231" s="36"/>
      <x:c r="C231" s="36"/>
      <x:c r="D231" s="36"/>
      <x:c r="E231" s="36"/>
      <x:c r="F231" s="36"/>
      <x:c r="G231" s="36"/>
      <x:c r="J231" s="37"/>
    </x:row>
    <x:row r="232" ht="15.75" customHeight="1">
      <x:c r="A232" s="36"/>
      <x:c r="B232" s="36"/>
      <x:c r="C232" s="36"/>
      <x:c r="D232" s="36"/>
      <x:c r="E232" s="36"/>
      <x:c r="F232" s="36"/>
      <x:c r="G232" s="36"/>
      <x:c r="J232" s="37"/>
    </x:row>
    <x:row r="233" ht="15.75" customHeight="1">
      <x:c r="A233" s="36"/>
      <x:c r="B233" s="36"/>
      <x:c r="C233" s="36"/>
      <x:c r="D233" s="36"/>
      <x:c r="E233" s="36"/>
      <x:c r="F233" s="36"/>
      <x:c r="G233" s="36"/>
      <x:c r="J233" s="37"/>
    </x:row>
    <x:row r="234" ht="15.75" customHeight="1">
      <x:c r="A234" s="36"/>
      <x:c r="B234" s="36"/>
      <x:c r="C234" s="36"/>
      <x:c r="D234" s="36"/>
      <x:c r="E234" s="36"/>
      <x:c r="F234" s="36"/>
      <x:c r="G234" s="36"/>
      <x:c r="J234" s="37"/>
    </x:row>
    <x:row r="235" ht="15.75" customHeight="1">
      <x:c r="A235" s="36"/>
      <x:c r="B235" s="36"/>
      <x:c r="C235" s="36"/>
      <x:c r="D235" s="36"/>
      <x:c r="E235" s="36"/>
      <x:c r="F235" s="36"/>
      <x:c r="G235" s="36"/>
      <x:c r="J235" s="37"/>
    </x:row>
    <x:row r="236" ht="15.75" customHeight="1">
      <x:c r="A236" s="36"/>
      <x:c r="B236" s="36"/>
      <x:c r="C236" s="36"/>
      <x:c r="D236" s="36"/>
      <x:c r="E236" s="36"/>
      <x:c r="F236" s="36"/>
      <x:c r="G236" s="36"/>
      <x:c r="J236" s="37"/>
    </x:row>
    <x:row r="237" ht="15.75" customHeight="1">
      <x:c r="A237" s="36"/>
      <x:c r="B237" s="36"/>
      <x:c r="C237" s="36"/>
      <x:c r="D237" s="36"/>
      <x:c r="E237" s="36"/>
      <x:c r="F237" s="36"/>
      <x:c r="G237" s="36"/>
      <x:c r="J237" s="37"/>
    </x:row>
    <x:row r="238" ht="15.75" customHeight="1">
      <x:c r="A238" s="36"/>
      <x:c r="B238" s="36"/>
      <x:c r="C238" s="36"/>
      <x:c r="D238" s="36"/>
      <x:c r="E238" s="36"/>
      <x:c r="F238" s="36"/>
      <x:c r="G238" s="36"/>
      <x:c r="J238" s="37"/>
    </x:row>
    <x:row r="239" ht="15.75" customHeight="1">
      <x:c r="A239" s="36"/>
      <x:c r="B239" s="36"/>
      <x:c r="C239" s="36"/>
      <x:c r="D239" s="36"/>
      <x:c r="E239" s="36"/>
      <x:c r="F239" s="36"/>
      <x:c r="G239" s="36"/>
      <x:c r="J239" s="37"/>
    </x:row>
    <x:row r="240" ht="15.75" customHeight="1">
      <x:c r="A240" s="36"/>
      <x:c r="B240" s="36"/>
      <x:c r="C240" s="36"/>
      <x:c r="D240" s="36"/>
      <x:c r="E240" s="36"/>
      <x:c r="F240" s="36"/>
      <x:c r="G240" s="36"/>
      <x:c r="J240" s="37"/>
    </x:row>
    <x:row r="241" ht="15.75" customHeight="1">
      <x:c r="A241" s="36"/>
      <x:c r="B241" s="36"/>
      <x:c r="C241" s="36"/>
      <x:c r="D241" s="36"/>
      <x:c r="E241" s="36"/>
      <x:c r="F241" s="36"/>
      <x:c r="G241" s="36"/>
      <x:c r="J241" s="37"/>
    </x:row>
    <x:row r="242" ht="15.75" customHeight="1">
      <x:c r="A242" s="36"/>
      <x:c r="B242" s="36"/>
      <x:c r="C242" s="36"/>
      <x:c r="D242" s="36"/>
      <x:c r="E242" s="36"/>
      <x:c r="F242" s="36"/>
      <x:c r="G242" s="36"/>
      <x:c r="J242" s="37"/>
    </x:row>
    <x:row r="243" ht="15.75" customHeight="1">
      <x:c r="A243" s="36"/>
      <x:c r="B243" s="36"/>
      <x:c r="C243" s="36"/>
      <x:c r="D243" s="36"/>
      <x:c r="E243" s="36"/>
      <x:c r="F243" s="36"/>
      <x:c r="G243" s="36"/>
      <x:c r="J243" s="37"/>
    </x:row>
    <x:row r="244" ht="15.75" customHeight="1">
      <x:c r="A244" s="36"/>
      <x:c r="B244" s="36"/>
      <x:c r="C244" s="36"/>
      <x:c r="D244" s="36"/>
      <x:c r="E244" s="36"/>
      <x:c r="F244" s="36"/>
      <x:c r="G244" s="36"/>
      <x:c r="J244" s="37"/>
    </x:row>
    <x:row r="245" ht="15.75" customHeight="1">
      <x:c r="A245" s="36"/>
      <x:c r="B245" s="36"/>
      <x:c r="C245" s="36"/>
      <x:c r="D245" s="36"/>
      <x:c r="E245" s="36"/>
      <x:c r="F245" s="36"/>
      <x:c r="G245" s="36"/>
      <x:c r="J245" s="37"/>
    </x:row>
    <x:row r="246" ht="15.75" customHeight="1">
      <x:c r="A246" s="36"/>
      <x:c r="B246" s="36"/>
      <x:c r="C246" s="36"/>
      <x:c r="D246" s="36"/>
      <x:c r="E246" s="36"/>
      <x:c r="F246" s="36"/>
      <x:c r="G246" s="36"/>
      <x:c r="J246" s="37"/>
    </x:row>
    <x:row r="247" ht="15.75" customHeight="1">
      <x:c r="A247" s="36"/>
      <x:c r="B247" s="36"/>
      <x:c r="C247" s="36"/>
      <x:c r="D247" s="36"/>
      <x:c r="E247" s="36"/>
      <x:c r="F247" s="36"/>
      <x:c r="G247" s="36"/>
      <x:c r="J247" s="37"/>
    </x:row>
    <x:row r="248" ht="15.75" customHeight="1">
      <x:c r="A248" s="36"/>
      <x:c r="B248" s="36"/>
      <x:c r="C248" s="36"/>
      <x:c r="D248" s="36"/>
      <x:c r="E248" s="36"/>
      <x:c r="F248" s="36"/>
      <x:c r="G248" s="36"/>
      <x:c r="J248" s="37"/>
    </x:row>
    <x:row r="249" ht="15.75" customHeight="1">
      <x:c r="A249" s="36"/>
      <x:c r="B249" s="36"/>
      <x:c r="C249" s="36"/>
      <x:c r="D249" s="36"/>
      <x:c r="E249" s="36"/>
      <x:c r="F249" s="36"/>
      <x:c r="G249" s="36"/>
      <x:c r="J249" s="37"/>
    </x:row>
    <x:row r="250" ht="15.75" customHeight="1">
      <x:c r="A250" s="36"/>
      <x:c r="B250" s="36"/>
      <x:c r="C250" s="36"/>
      <x:c r="D250" s="36"/>
      <x:c r="E250" s="36"/>
      <x:c r="F250" s="36"/>
      <x:c r="G250" s="36"/>
      <x:c r="J250" s="37"/>
    </x:row>
    <x:row r="251" ht="15.75" customHeight="1">
      <x:c r="A251" s="36"/>
      <x:c r="B251" s="36"/>
      <x:c r="C251" s="36"/>
      <x:c r="D251" s="36"/>
      <x:c r="E251" s="36"/>
      <x:c r="F251" s="36"/>
      <x:c r="G251" s="36"/>
      <x:c r="J251" s="37"/>
    </x:row>
    <x:row r="252" ht="15.75" customHeight="1">
      <x:c r="A252" s="36"/>
      <x:c r="B252" s="36"/>
      <x:c r="C252" s="36"/>
      <x:c r="D252" s="36"/>
      <x:c r="E252" s="36"/>
      <x:c r="F252" s="36"/>
      <x:c r="G252" s="36"/>
      <x:c r="J252" s="37"/>
    </x:row>
    <x:row r="253" ht="15.75" customHeight="1">
      <x:c r="A253" s="36"/>
      <x:c r="B253" s="36"/>
      <x:c r="C253" s="36"/>
      <x:c r="D253" s="36"/>
      <x:c r="E253" s="36"/>
      <x:c r="F253" s="36"/>
      <x:c r="G253" s="36"/>
      <x:c r="J253" s="37"/>
    </x:row>
    <x:row r="254" ht="15.75" customHeight="1">
      <x:c r="A254" s="36"/>
      <x:c r="B254" s="36"/>
      <x:c r="C254" s="36"/>
      <x:c r="D254" s="36"/>
      <x:c r="E254" s="36"/>
      <x:c r="F254" s="36"/>
      <x:c r="G254" s="36"/>
      <x:c r="J254" s="37"/>
    </x:row>
    <x:row r="255" ht="15.75" customHeight="1">
      <x:c r="A255" s="36"/>
      <x:c r="B255" s="36"/>
      <x:c r="C255" s="36"/>
      <x:c r="D255" s="36"/>
      <x:c r="E255" s="36"/>
      <x:c r="F255" s="36"/>
      <x:c r="G255" s="36"/>
      <x:c r="J255" s="37"/>
    </x:row>
    <x:row r="256" ht="15.75" customHeight="1">
      <x:c r="A256" s="36"/>
      <x:c r="B256" s="36"/>
      <x:c r="C256" s="36"/>
      <x:c r="D256" s="36"/>
      <x:c r="E256" s="36"/>
      <x:c r="F256" s="36"/>
      <x:c r="G256" s="36"/>
      <x:c r="J256" s="37"/>
    </x:row>
    <x:row r="257" ht="15.75" customHeight="1">
      <x:c r="A257" s="36"/>
      <x:c r="B257" s="36"/>
      <x:c r="C257" s="36"/>
      <x:c r="D257" s="36"/>
      <x:c r="E257" s="36"/>
      <x:c r="F257" s="36"/>
      <x:c r="G257" s="36"/>
      <x:c r="J257" s="37"/>
    </x:row>
    <x:row r="258" ht="15.75" customHeight="1">
      <x:c r="A258" s="36"/>
      <x:c r="B258" s="36"/>
      <x:c r="C258" s="36"/>
      <x:c r="D258" s="36"/>
      <x:c r="E258" s="36"/>
      <x:c r="F258" s="36"/>
      <x:c r="G258" s="36"/>
      <x:c r="J258" s="37"/>
    </x:row>
    <x:row r="259" ht="15.75" customHeight="1">
      <x:c r="A259" s="36"/>
      <x:c r="B259" s="36"/>
      <x:c r="C259" s="36"/>
      <x:c r="D259" s="36"/>
      <x:c r="E259" s="36"/>
      <x:c r="F259" s="36"/>
      <x:c r="G259" s="36"/>
      <x:c r="J259" s="37"/>
    </x:row>
    <x:row r="260" ht="15.75" customHeight="1">
      <x:c r="A260" s="36"/>
      <x:c r="B260" s="36"/>
      <x:c r="C260" s="36"/>
      <x:c r="D260" s="36"/>
      <x:c r="E260" s="36"/>
      <x:c r="F260" s="36"/>
      <x:c r="G260" s="36"/>
      <x:c r="J260" s="37"/>
    </x:row>
    <x:row r="261" ht="15.75" customHeight="1">
      <x:c r="A261" s="36"/>
      <x:c r="B261" s="36"/>
      <x:c r="C261" s="36"/>
      <x:c r="D261" s="36"/>
      <x:c r="E261" s="36"/>
      <x:c r="F261" s="36"/>
      <x:c r="G261" s="36"/>
      <x:c r="J261" s="37"/>
    </x:row>
    <x:row r="262" ht="15.75" customHeight="1">
      <x:c r="A262" s="36"/>
      <x:c r="B262" s="36"/>
      <x:c r="C262" s="36"/>
      <x:c r="D262" s="36"/>
      <x:c r="E262" s="36"/>
      <x:c r="F262" s="36"/>
      <x:c r="G262" s="36"/>
      <x:c r="J262" s="37"/>
    </x:row>
    <x:row r="263" ht="15.75" customHeight="1">
      <x:c r="A263" s="36"/>
      <x:c r="B263" s="36"/>
      <x:c r="C263" s="36"/>
      <x:c r="D263" s="36"/>
      <x:c r="E263" s="36"/>
      <x:c r="F263" s="36"/>
      <x:c r="G263" s="36"/>
      <x:c r="J263" s="37"/>
    </x:row>
    <x:row r="264" ht="15.75" customHeight="1">
      <x:c r="A264" s="36"/>
      <x:c r="B264" s="36"/>
      <x:c r="C264" s="36"/>
      <x:c r="D264" s="36"/>
      <x:c r="E264" s="36"/>
      <x:c r="F264" s="36"/>
      <x:c r="G264" s="36"/>
      <x:c r="J264" s="37"/>
    </x:row>
    <x:row r="265" ht="15.75" customHeight="1">
      <x:c r="A265" s="36"/>
      <x:c r="B265" s="36"/>
      <x:c r="C265" s="36"/>
      <x:c r="D265" s="36"/>
      <x:c r="E265" s="36"/>
      <x:c r="F265" s="36"/>
      <x:c r="G265" s="36"/>
      <x:c r="J265" s="37"/>
    </x:row>
    <x:row r="266" ht="15.75" customHeight="1">
      <x:c r="A266" s="36"/>
      <x:c r="B266" s="36"/>
      <x:c r="C266" s="36"/>
      <x:c r="D266" s="36"/>
      <x:c r="E266" s="36"/>
      <x:c r="F266" s="36"/>
      <x:c r="G266" s="36"/>
      <x:c r="J266" s="37"/>
    </x:row>
    <x:row r="267" ht="15.75" customHeight="1">
      <x:c r="A267" s="36"/>
      <x:c r="B267" s="36"/>
      <x:c r="C267" s="36"/>
      <x:c r="D267" s="36"/>
      <x:c r="E267" s="36"/>
      <x:c r="F267" s="36"/>
      <x:c r="G267" s="36"/>
      <x:c r="J267" s="37"/>
    </x:row>
    <x:row r="268" ht="15.75" customHeight="1">
      <x:c r="A268" s="36"/>
      <x:c r="B268" s="36"/>
      <x:c r="C268" s="36"/>
      <x:c r="D268" s="36"/>
      <x:c r="E268" s="36"/>
      <x:c r="F268" s="36"/>
      <x:c r="G268" s="36"/>
      <x:c r="J268" s="37"/>
    </x:row>
    <x:row r="269" ht="15.75" customHeight="1">
      <x:c r="A269" s="36"/>
      <x:c r="B269" s="36"/>
      <x:c r="C269" s="36"/>
      <x:c r="D269" s="36"/>
      <x:c r="E269" s="36"/>
      <x:c r="F269" s="36"/>
      <x:c r="G269" s="36"/>
      <x:c r="J269" s="37"/>
    </x:row>
    <x:row r="270" ht="15.75" customHeight="1">
      <x:c r="A270" s="36"/>
      <x:c r="B270" s="36"/>
      <x:c r="C270" s="36"/>
      <x:c r="D270" s="36"/>
      <x:c r="E270" s="36"/>
      <x:c r="F270" s="36"/>
      <x:c r="G270" s="36"/>
      <x:c r="J270" s="37"/>
    </x:row>
    <x:row r="271" ht="15.75" customHeight="1">
      <x:c r="A271" s="36"/>
      <x:c r="B271" s="36"/>
      <x:c r="C271" s="36"/>
      <x:c r="D271" s="36"/>
      <x:c r="E271" s="36"/>
      <x:c r="F271" s="36"/>
      <x:c r="G271" s="36"/>
      <x:c r="J271" s="37"/>
    </x:row>
    <x:row r="272" ht="15.75" customHeight="1">
      <x:c r="A272" s="36"/>
      <x:c r="B272" s="36"/>
      <x:c r="C272" s="36"/>
      <x:c r="D272" s="36"/>
      <x:c r="E272" s="36"/>
      <x:c r="F272" s="36"/>
      <x:c r="G272" s="36"/>
      <x:c r="J272" s="37"/>
    </x:row>
    <x:row r="273" ht="15.75" customHeight="1">
      <x:c r="A273" s="36"/>
      <x:c r="B273" s="36"/>
      <x:c r="C273" s="36"/>
      <x:c r="D273" s="36"/>
      <x:c r="E273" s="36"/>
      <x:c r="F273" s="36"/>
      <x:c r="G273" s="36"/>
      <x:c r="J273" s="37"/>
    </x:row>
    <x:row r="274" ht="15.75" customHeight="1">
      <x:c r="A274" s="36"/>
      <x:c r="B274" s="36"/>
      <x:c r="C274" s="36"/>
      <x:c r="D274" s="36"/>
      <x:c r="E274" s="36"/>
      <x:c r="F274" s="36"/>
      <x:c r="G274" s="36"/>
      <x:c r="J274" s="37"/>
    </x:row>
    <x:row r="275" ht="15.75" customHeight="1">
      <x:c r="A275" s="36"/>
      <x:c r="B275" s="36"/>
      <x:c r="C275" s="36"/>
      <x:c r="D275" s="36"/>
      <x:c r="E275" s="36"/>
      <x:c r="F275" s="36"/>
      <x:c r="G275" s="36"/>
      <x:c r="J275" s="37"/>
    </x:row>
    <x:row r="276" ht="15.75" customHeight="1">
      <x:c r="A276" s="36"/>
      <x:c r="B276" s="36"/>
      <x:c r="C276" s="36"/>
      <x:c r="D276" s="36"/>
      <x:c r="E276" s="36"/>
      <x:c r="F276" s="36"/>
      <x:c r="G276" s="36"/>
      <x:c r="J276" s="37"/>
    </x:row>
    <x:row r="277" ht="15.75" customHeight="1">
      <x:c r="A277" s="36"/>
      <x:c r="B277" s="36"/>
      <x:c r="C277" s="36"/>
      <x:c r="D277" s="36"/>
      <x:c r="E277" s="36"/>
      <x:c r="F277" s="36"/>
      <x:c r="G277" s="36"/>
      <x:c r="J277" s="37"/>
    </x:row>
    <x:row r="278" ht="15.75" customHeight="1">
      <x:c r="A278" s="36"/>
      <x:c r="B278" s="36"/>
      <x:c r="C278" s="36"/>
      <x:c r="D278" s="36"/>
      <x:c r="E278" s="36"/>
      <x:c r="F278" s="36"/>
      <x:c r="G278" s="36"/>
      <x:c r="J278" s="37"/>
    </x:row>
    <x:row r="279" ht="15.75" customHeight="1">
      <x:c r="A279" s="36"/>
      <x:c r="B279" s="36"/>
      <x:c r="C279" s="36"/>
      <x:c r="D279" s="36"/>
      <x:c r="E279" s="36"/>
      <x:c r="F279" s="36"/>
      <x:c r="G279" s="36"/>
      <x:c r="J279" s="37"/>
    </x:row>
    <x:row r="280" ht="15.75" customHeight="1">
      <x:c r="A280" s="36"/>
      <x:c r="B280" s="36"/>
      <x:c r="C280" s="36"/>
      <x:c r="D280" s="36"/>
      <x:c r="E280" s="36"/>
      <x:c r="F280" s="36"/>
      <x:c r="G280" s="36"/>
      <x:c r="J280" s="37"/>
    </x:row>
    <x:row r="281" ht="15.75" customHeight="1">
      <x:c r="A281" s="36"/>
      <x:c r="B281" s="36"/>
      <x:c r="C281" s="36"/>
      <x:c r="D281" s="36"/>
      <x:c r="E281" s="36"/>
      <x:c r="F281" s="36"/>
      <x:c r="G281" s="36"/>
      <x:c r="J281" s="37"/>
    </x:row>
    <x:row r="282" ht="15.75" customHeight="1">
      <x:c r="A282" s="36"/>
      <x:c r="B282" s="36"/>
      <x:c r="C282" s="36"/>
      <x:c r="D282" s="36"/>
      <x:c r="E282" s="36"/>
      <x:c r="F282" s="36"/>
      <x:c r="G282" s="36"/>
      <x:c r="J282" s="37"/>
    </x:row>
    <x:row r="283" ht="15.75" customHeight="1">
      <x:c r="A283" s="36"/>
      <x:c r="B283" s="36"/>
      <x:c r="C283" s="36"/>
      <x:c r="D283" s="36"/>
      <x:c r="E283" s="36"/>
      <x:c r="F283" s="36"/>
      <x:c r="G283" s="36"/>
      <x:c r="J283" s="37"/>
    </x:row>
    <x:row r="284" ht="15.75" customHeight="1">
      <x:c r="A284" s="36"/>
      <x:c r="B284" s="36"/>
      <x:c r="C284" s="36"/>
      <x:c r="D284" s="36"/>
      <x:c r="E284" s="36"/>
      <x:c r="F284" s="36"/>
      <x:c r="G284" s="36"/>
      <x:c r="J284" s="37"/>
    </x:row>
    <x:row r="285" ht="15.75" customHeight="1">
      <x:c r="A285" s="36"/>
      <x:c r="B285" s="36"/>
      <x:c r="C285" s="36"/>
      <x:c r="D285" s="36"/>
      <x:c r="E285" s="36"/>
      <x:c r="F285" s="36"/>
      <x:c r="G285" s="36"/>
      <x:c r="J285" s="37"/>
    </x:row>
    <x:row r="286" ht="15.75" customHeight="1">
      <x:c r="A286" s="36"/>
      <x:c r="B286" s="36"/>
      <x:c r="C286" s="36"/>
      <x:c r="D286" s="36"/>
      <x:c r="E286" s="36"/>
      <x:c r="F286" s="36"/>
      <x:c r="G286" s="36"/>
      <x:c r="J286" s="37"/>
    </x:row>
    <x:row r="287" ht="15.75" customHeight="1">
      <x:c r="A287" s="36"/>
      <x:c r="B287" s="36"/>
      <x:c r="C287" s="36"/>
      <x:c r="D287" s="36"/>
      <x:c r="E287" s="36"/>
      <x:c r="F287" s="36"/>
      <x:c r="G287" s="36"/>
      <x:c r="J287" s="37"/>
    </x:row>
    <x:row r="288" ht="15.75" customHeight="1">
      <x:c r="A288" s="36"/>
      <x:c r="B288" s="36"/>
      <x:c r="C288" s="36"/>
      <x:c r="D288" s="36"/>
      <x:c r="E288" s="36"/>
      <x:c r="F288" s="36"/>
      <x:c r="G288" s="36"/>
      <x:c r="J288" s="37"/>
    </x:row>
    <x:row r="289" ht="15.75" customHeight="1">
      <x:c r="A289" s="36"/>
      <x:c r="B289" s="36"/>
      <x:c r="C289" s="36"/>
      <x:c r="D289" s="36"/>
      <x:c r="E289" s="36"/>
      <x:c r="F289" s="36"/>
      <x:c r="G289" s="36"/>
      <x:c r="J289" s="37"/>
    </x:row>
    <x:row r="290" ht="15.75" customHeight="1">
      <x:c r="A290" s="36"/>
      <x:c r="B290" s="36"/>
      <x:c r="C290" s="36"/>
      <x:c r="D290" s="36"/>
      <x:c r="E290" s="36"/>
      <x:c r="F290" s="36"/>
      <x:c r="G290" s="36"/>
      <x:c r="J290" s="37"/>
    </x:row>
    <x:row r="291" ht="15.75" customHeight="1">
      <x:c r="A291" s="36"/>
      <x:c r="B291" s="36"/>
      <x:c r="C291" s="36"/>
      <x:c r="D291" s="36"/>
      <x:c r="E291" s="36"/>
      <x:c r="F291" s="36"/>
      <x:c r="G291" s="36"/>
      <x:c r="J291" s="37"/>
    </x:row>
    <x:row r="292" ht="15.75" customHeight="1">
      <x:c r="A292" s="36"/>
      <x:c r="B292" s="36"/>
      <x:c r="C292" s="36"/>
      <x:c r="D292" s="36"/>
      <x:c r="E292" s="36"/>
      <x:c r="F292" s="36"/>
      <x:c r="G292" s="36"/>
      <x:c r="J292" s="37"/>
    </x:row>
    <x:row r="293" ht="15.75" customHeight="1">
      <x:c r="A293" s="36"/>
      <x:c r="B293" s="36"/>
      <x:c r="C293" s="36"/>
      <x:c r="D293" s="36"/>
      <x:c r="E293" s="36"/>
      <x:c r="F293" s="36"/>
      <x:c r="G293" s="36"/>
      <x:c r="J293" s="37"/>
    </x:row>
    <x:row r="294" ht="15.75" customHeight="1">
      <x:c r="A294" s="36"/>
      <x:c r="B294" s="36"/>
      <x:c r="C294" s="36"/>
      <x:c r="D294" s="36"/>
      <x:c r="E294" s="36"/>
      <x:c r="F294" s="36"/>
      <x:c r="G294" s="36"/>
      <x:c r="J294" s="37"/>
    </x:row>
    <x:row r="295" ht="15.75" customHeight="1">
      <x:c r="A295" s="36"/>
      <x:c r="B295" s="36"/>
      <x:c r="C295" s="36"/>
      <x:c r="D295" s="36"/>
      <x:c r="E295" s="36"/>
      <x:c r="F295" s="36"/>
      <x:c r="G295" s="36"/>
      <x:c r="J295" s="37"/>
    </x:row>
    <x:row r="296" ht="15.75" customHeight="1">
      <x:c r="A296" s="36"/>
      <x:c r="B296" s="36"/>
      <x:c r="C296" s="36"/>
      <x:c r="D296" s="36"/>
      <x:c r="E296" s="36"/>
      <x:c r="F296" s="36"/>
      <x:c r="G296" s="36"/>
      <x:c r="J296" s="37"/>
    </x:row>
    <x:row r="297" ht="15.75" customHeight="1">
      <x:c r="A297" s="36"/>
      <x:c r="B297" s="36"/>
      <x:c r="C297" s="36"/>
      <x:c r="D297" s="36"/>
      <x:c r="E297" s="36"/>
      <x:c r="F297" s="36"/>
      <x:c r="G297" s="36"/>
      <x:c r="J297" s="37"/>
    </x:row>
    <x:row r="298" ht="15.75" customHeight="1">
      <x:c r="A298" s="36"/>
      <x:c r="B298" s="36"/>
      <x:c r="C298" s="36"/>
      <x:c r="D298" s="36"/>
      <x:c r="E298" s="36"/>
      <x:c r="F298" s="36"/>
      <x:c r="G298" s="36"/>
      <x:c r="J298" s="37"/>
    </x:row>
    <x:row r="299" ht="15.75" customHeight="1">
      <x:c r="A299" s="36"/>
      <x:c r="B299" s="36"/>
      <x:c r="C299" s="36"/>
      <x:c r="D299" s="36"/>
      <x:c r="E299" s="36"/>
      <x:c r="F299" s="36"/>
      <x:c r="G299" s="36"/>
      <x:c r="J299" s="37"/>
    </x:row>
    <x:row r="300" ht="15.75" customHeight="1">
      <x:c r="A300" s="36"/>
      <x:c r="B300" s="36"/>
      <x:c r="C300" s="36"/>
      <x:c r="D300" s="36"/>
      <x:c r="E300" s="36"/>
      <x:c r="F300" s="36"/>
      <x:c r="G300" s="36"/>
      <x:c r="J300" s="37"/>
    </x:row>
    <x:row r="301" ht="15.75" customHeight="1">
      <x:c r="A301" s="36"/>
      <x:c r="B301" s="36"/>
      <x:c r="C301" s="36"/>
      <x:c r="D301" s="36"/>
      <x:c r="E301" s="36"/>
      <x:c r="F301" s="36"/>
      <x:c r="G301" s="36"/>
      <x:c r="J301" s="37"/>
    </x:row>
    <x:row r="302" ht="15.75" customHeight="1">
      <x:c r="A302" s="36"/>
      <x:c r="B302" s="36"/>
      <x:c r="C302" s="36"/>
      <x:c r="D302" s="36"/>
      <x:c r="E302" s="36"/>
      <x:c r="F302" s="36"/>
      <x:c r="G302" s="36"/>
      <x:c r="J302" s="37"/>
    </x:row>
    <x:row r="303" ht="15.75" customHeight="1">
      <x:c r="A303" s="36"/>
      <x:c r="B303" s="36"/>
      <x:c r="C303" s="36"/>
      <x:c r="D303" s="36"/>
      <x:c r="E303" s="36"/>
      <x:c r="F303" s="36"/>
      <x:c r="G303" s="36"/>
      <x:c r="J303" s="37"/>
    </x:row>
    <x:row r="304" ht="15.75" customHeight="1">
      <x:c r="A304" s="36"/>
      <x:c r="B304" s="36"/>
      <x:c r="C304" s="36"/>
      <x:c r="D304" s="36"/>
      <x:c r="E304" s="36"/>
      <x:c r="F304" s="36"/>
      <x:c r="G304" s="36"/>
      <x:c r="J304" s="37"/>
    </x:row>
    <x:row r="305" ht="15.75" customHeight="1">
      <x:c r="A305" s="36"/>
      <x:c r="B305" s="36"/>
      <x:c r="C305" s="36"/>
      <x:c r="D305" s="36"/>
      <x:c r="E305" s="36"/>
      <x:c r="F305" s="36"/>
      <x:c r="G305" s="36"/>
      <x:c r="J305" s="37"/>
    </x:row>
    <x:row r="306" ht="15.75" customHeight="1">
      <x:c r="A306" s="36"/>
      <x:c r="B306" s="36"/>
      <x:c r="C306" s="36"/>
      <x:c r="D306" s="36"/>
      <x:c r="E306" s="36"/>
      <x:c r="F306" s="36"/>
      <x:c r="G306" s="36"/>
      <x:c r="J306" s="37"/>
    </x:row>
    <x:row r="307" ht="15.75" customHeight="1">
      <x:c r="A307" s="36"/>
      <x:c r="B307" s="36"/>
      <x:c r="C307" s="36"/>
      <x:c r="D307" s="36"/>
      <x:c r="E307" s="36"/>
      <x:c r="F307" s="36"/>
      <x:c r="G307" s="36"/>
      <x:c r="J307" s="37"/>
    </x:row>
    <x:row r="308" ht="15.75" customHeight="1">
      <x:c r="A308" s="36"/>
      <x:c r="B308" s="36"/>
      <x:c r="C308" s="36"/>
      <x:c r="D308" s="36"/>
      <x:c r="E308" s="36"/>
      <x:c r="F308" s="36"/>
      <x:c r="G308" s="36"/>
      <x:c r="J308" s="37"/>
    </x:row>
    <x:row r="309" ht="15.75" customHeight="1">
      <x:c r="A309" s="36"/>
      <x:c r="B309" s="36"/>
      <x:c r="C309" s="36"/>
      <x:c r="D309" s="36"/>
      <x:c r="E309" s="36"/>
      <x:c r="F309" s="36"/>
      <x:c r="G309" s="36"/>
      <x:c r="J309" s="37"/>
    </x:row>
    <x:row r="310" ht="15.75" customHeight="1">
      <x:c r="A310" s="36"/>
      <x:c r="B310" s="36"/>
      <x:c r="C310" s="36"/>
      <x:c r="D310" s="36"/>
      <x:c r="E310" s="36"/>
      <x:c r="F310" s="36"/>
      <x:c r="G310" s="36"/>
      <x:c r="J310" s="37"/>
    </x:row>
    <x:row r="311" ht="15.75" customHeight="1">
      <x:c r="A311" s="36"/>
      <x:c r="B311" s="36"/>
      <x:c r="C311" s="36"/>
      <x:c r="D311" s="36"/>
      <x:c r="E311" s="36"/>
      <x:c r="F311" s="36"/>
      <x:c r="G311" s="36"/>
      <x:c r="J311" s="37"/>
    </x:row>
    <x:row r="312" ht="15.75" customHeight="1">
      <x:c r="A312" s="36"/>
      <x:c r="B312" s="36"/>
      <x:c r="C312" s="36"/>
      <x:c r="D312" s="36"/>
      <x:c r="E312" s="36"/>
      <x:c r="F312" s="36"/>
      <x:c r="G312" s="36"/>
      <x:c r="J312" s="37"/>
    </x:row>
    <x:row r="313" ht="15.75" customHeight="1">
      <x:c r="A313" s="36"/>
      <x:c r="B313" s="36"/>
      <x:c r="C313" s="36"/>
      <x:c r="D313" s="36"/>
      <x:c r="E313" s="36"/>
      <x:c r="F313" s="36"/>
      <x:c r="G313" s="36"/>
      <x:c r="J313" s="37"/>
    </x:row>
    <x:row r="314" ht="15.75" customHeight="1">
      <x:c r="A314" s="36"/>
      <x:c r="B314" s="36"/>
      <x:c r="C314" s="36"/>
      <x:c r="D314" s="36"/>
      <x:c r="E314" s="36"/>
      <x:c r="F314" s="36"/>
      <x:c r="G314" s="36"/>
      <x:c r="J314" s="37"/>
    </x:row>
    <x:row r="315" ht="15.75" customHeight="1">
      <x:c r="A315" s="36"/>
      <x:c r="B315" s="36"/>
      <x:c r="C315" s="36"/>
      <x:c r="D315" s="36"/>
      <x:c r="E315" s="36"/>
      <x:c r="F315" s="36"/>
      <x:c r="G315" s="36"/>
      <x:c r="J315" s="37"/>
    </x:row>
    <x:row r="316" ht="15.75" customHeight="1">
      <x:c r="A316" s="36"/>
      <x:c r="B316" s="36"/>
      <x:c r="C316" s="36"/>
      <x:c r="D316" s="36"/>
      <x:c r="E316" s="36"/>
      <x:c r="F316" s="36"/>
      <x:c r="G316" s="36"/>
      <x:c r="J316" s="37"/>
    </x:row>
    <x:row r="317" ht="15.75" customHeight="1">
      <x:c r="A317" s="36"/>
      <x:c r="B317" s="36"/>
      <x:c r="C317" s="36"/>
      <x:c r="D317" s="36"/>
      <x:c r="E317" s="36"/>
      <x:c r="F317" s="36"/>
      <x:c r="G317" s="36"/>
      <x:c r="J317" s="37"/>
    </x:row>
    <x:row r="318" ht="12.75" customHeight="1">
      <x:c r="J318" s="37"/>
    </x:row>
    <x:row r="319" ht="12.75" customHeight="1">
      <x:c r="J319" s="37"/>
    </x:row>
    <x:row r="320" ht="12.75" customHeight="1">
      <x:c r="J320" s="37"/>
    </x:row>
    <x:row r="321" ht="12.75" customHeight="1">
      <x:c r="J321" s="37"/>
    </x:row>
    <x:row r="322" ht="12.75" customHeight="1">
      <x:c r="J322" s="37"/>
    </x:row>
    <x:row r="323" ht="12.75" customHeight="1">
      <x:c r="J323" s="37"/>
    </x:row>
    <x:row r="324" ht="15.75" customHeight="1">
      <x:c r="J324" s="37"/>
    </x:row>
    <x:row r="325" ht="15.75" customHeight="1">
      <x:c r="J325" s="37"/>
    </x:row>
    <x:row r="326" ht="15.75" customHeight="1">
      <x:c r="J326" s="37"/>
    </x:row>
    <x:row r="327" ht="15.75" customHeight="1">
      <x:c r="J327" s="37"/>
    </x:row>
    <x:row r="328" ht="15.75" customHeight="1">
      <x:c r="J328" s="37"/>
    </x:row>
    <x:row r="329" ht="15.75" customHeight="1">
      <x:c r="J329" s="37"/>
    </x:row>
    <x:row r="330" ht="15.75" customHeight="1">
      <x:c r="J330" s="37"/>
    </x:row>
    <x:row r="331" ht="15.75" customHeight="1">
      <x:c r="J331" s="37"/>
    </x:row>
    <x:row r="332" ht="15.75" customHeight="1">
      <x:c r="J332" s="37"/>
    </x:row>
    <x:row r="333" ht="15.75" customHeight="1">
      <x:c r="J333" s="37"/>
    </x:row>
    <x:row r="334" ht="15.75" customHeight="1">
      <x:c r="J334" s="37"/>
    </x:row>
    <x:row r="335" ht="15.75" customHeight="1">
      <x:c r="J335" s="37"/>
    </x:row>
    <x:row r="336" ht="15.75" customHeight="1">
      <x:c r="J336" s="37"/>
    </x:row>
    <x:row r="337" ht="15.75" customHeight="1">
      <x:c r="J337" s="37"/>
    </x:row>
    <x:row r="338" ht="15.75" customHeight="1">
      <x:c r="J338" s="37"/>
    </x:row>
    <x:row r="339" ht="15.75" customHeight="1">
      <x:c r="J339" s="37"/>
    </x:row>
    <x:row r="340" ht="15.75" customHeight="1">
      <x:c r="J340" s="37"/>
    </x:row>
    <x:row r="341" ht="15.75" customHeight="1">
      <x:c r="J341" s="37"/>
    </x:row>
    <x:row r="342" ht="15.75" customHeight="1">
      <x:c r="J342" s="37"/>
    </x:row>
    <x:row r="343" ht="15.75" customHeight="1">
      <x:c r="J343" s="37"/>
    </x:row>
    <x:row r="344" ht="15.75" customHeight="1">
      <x:c r="J344" s="37"/>
    </x:row>
    <x:row r="345" ht="15.75" customHeight="1">
      <x:c r="J345" s="37"/>
    </x:row>
    <x:row r="346" ht="15.75" customHeight="1">
      <x:c r="J346" s="37"/>
    </x:row>
    <x:row r="347" ht="15.75" customHeight="1">
      <x:c r="J347" s="37"/>
    </x:row>
    <x:row r="348" ht="15.75" customHeight="1">
      <x:c r="J348" s="37"/>
    </x:row>
    <x:row r="349" ht="15.75" customHeight="1">
      <x:c r="J349" s="37"/>
    </x:row>
    <x:row r="350" ht="15.75" customHeight="1">
      <x:c r="J350" s="37"/>
    </x:row>
    <x:row r="351" ht="15.75" customHeight="1">
      <x:c r="J351" s="37"/>
    </x:row>
    <x:row r="352" ht="15.75" customHeight="1">
      <x:c r="J352" s="37"/>
    </x:row>
    <x:row r="353" ht="15.75" customHeight="1">
      <x:c r="J353" s="37"/>
    </x:row>
    <x:row r="354" ht="15.75" customHeight="1">
      <x:c r="J354" s="37"/>
    </x:row>
    <x:row r="355" ht="15.75" customHeight="1">
      <x:c r="J355" s="37"/>
    </x:row>
    <x:row r="356" ht="15.75" customHeight="1">
      <x:c r="J356" s="37"/>
    </x:row>
    <x:row r="357" ht="15.75" customHeight="1">
      <x:c r="J357" s="37"/>
    </x:row>
    <x:row r="358" ht="15.75" customHeight="1">
      <x:c r="J358" s="37"/>
    </x:row>
    <x:row r="359" ht="15.75" customHeight="1">
      <x:c r="J359" s="37"/>
    </x:row>
    <x:row r="360" ht="15.75" customHeight="1">
      <x:c r="J360" s="37"/>
    </x:row>
    <x:row r="361" ht="15.75" customHeight="1">
      <x:c r="J361" s="37"/>
    </x:row>
    <x:row r="362" ht="15.75" customHeight="1">
      <x:c r="J362" s="37"/>
    </x:row>
    <x:row r="363" ht="15.75" customHeight="1">
      <x:c r="J363" s="37"/>
    </x:row>
    <x:row r="364" ht="15.75" customHeight="1">
      <x:c r="J364" s="37"/>
    </x:row>
    <x:row r="365" ht="15.75" customHeight="1">
      <x:c r="J365" s="37"/>
    </x:row>
    <x:row r="366" ht="15.75" customHeight="1">
      <x:c r="J366" s="37"/>
    </x:row>
    <x:row r="367" ht="15.75" customHeight="1">
      <x:c r="J367" s="37"/>
    </x:row>
    <x:row r="368" ht="15.75" customHeight="1">
      <x:c r="J368" s="37"/>
    </x:row>
    <x:row r="369" ht="15.75" customHeight="1">
      <x:c r="J369" s="37"/>
    </x:row>
    <x:row r="370" ht="15.75" customHeight="1">
      <x:c r="J370" s="37"/>
    </x:row>
    <x:row r="371" ht="15.75" customHeight="1">
      <x:c r="J371" s="37"/>
    </x:row>
    <x:row r="372" ht="15.75" customHeight="1">
      <x:c r="J372" s="37"/>
    </x:row>
    <x:row r="373" ht="15.75" customHeight="1">
      <x:c r="J373" s="37"/>
    </x:row>
    <x:row r="374" ht="15.75" customHeight="1">
      <x:c r="J374" s="37"/>
    </x:row>
    <x:row r="375" ht="15.75" customHeight="1">
      <x:c r="J375" s="37"/>
    </x:row>
    <x:row r="376" ht="15.75" customHeight="1">
      <x:c r="J376" s="37"/>
    </x:row>
    <x:row r="377" ht="15.75" customHeight="1">
      <x:c r="J377" s="37"/>
    </x:row>
    <x:row r="378" ht="15.75" customHeight="1">
      <x:c r="J378" s="37"/>
    </x:row>
    <x:row r="379" ht="15.75" customHeight="1">
      <x:c r="J379" s="37"/>
    </x:row>
    <x:row r="380" ht="15.75" customHeight="1">
      <x:c r="J380" s="37"/>
    </x:row>
    <x:row r="381" ht="15.75" customHeight="1">
      <x:c r="J381" s="37"/>
    </x:row>
    <x:row r="382" ht="15.75" customHeight="1">
      <x:c r="J382" s="37"/>
    </x:row>
    <x:row r="383" ht="15.75" customHeight="1">
      <x:c r="J383" s="37"/>
    </x:row>
    <x:row r="384" ht="15.75" customHeight="1">
      <x:c r="J384" s="37"/>
    </x:row>
    <x:row r="385" ht="15.75" customHeight="1">
      <x:c r="J385" s="37"/>
    </x:row>
    <x:row r="386" ht="15.75" customHeight="1">
      <x:c r="J386" s="37"/>
    </x:row>
    <x:row r="387" ht="15.75" customHeight="1">
      <x:c r="J387" s="37"/>
    </x:row>
    <x:row r="388" ht="15.75" customHeight="1">
      <x:c r="J388" s="37"/>
    </x:row>
    <x:row r="389" ht="15.75" customHeight="1">
      <x:c r="J389" s="37"/>
    </x:row>
    <x:row r="390" ht="15.75" customHeight="1">
      <x:c r="J390" s="37"/>
    </x:row>
    <x:row r="391" ht="15.75" customHeight="1">
      <x:c r="J391" s="37"/>
    </x:row>
    <x:row r="392" ht="15.75" customHeight="1">
      <x:c r="J392" s="37"/>
    </x:row>
    <x:row r="393" ht="15.75" customHeight="1">
      <x:c r="J393" s="37"/>
    </x:row>
    <x:row r="394" ht="15.75" customHeight="1">
      <x:c r="J394" s="37"/>
    </x:row>
    <x:row r="395" ht="15.75" customHeight="1">
      <x:c r="J395" s="37"/>
    </x:row>
    <x:row r="396" ht="15.75" customHeight="1">
      <x:c r="J396" s="37"/>
    </x:row>
    <x:row r="397" ht="15.75" customHeight="1">
      <x:c r="J397" s="37"/>
    </x:row>
    <x:row r="398" ht="15.75" customHeight="1">
      <x:c r="J398" s="37"/>
    </x:row>
    <x:row r="399" ht="15.75" customHeight="1">
      <x:c r="J399" s="37"/>
    </x:row>
    <x:row r="400" ht="15.75" customHeight="1">
      <x:c r="J400" s="37"/>
    </x:row>
    <x:row r="401" ht="15.75" customHeight="1">
      <x:c r="J401" s="37"/>
    </x:row>
    <x:row r="402" ht="15.75" customHeight="1">
      <x:c r="J402" s="37"/>
    </x:row>
    <x:row r="403" ht="15.75" customHeight="1">
      <x:c r="J403" s="37"/>
    </x:row>
    <x:row r="404" ht="15.75" customHeight="1">
      <x:c r="J404" s="37"/>
    </x:row>
    <x:row r="405" ht="15.75" customHeight="1">
      <x:c r="J405" s="37"/>
    </x:row>
    <x:row r="406" ht="15.75" customHeight="1">
      <x:c r="J406" s="37"/>
    </x:row>
    <x:row r="407" ht="15.75" customHeight="1">
      <x:c r="J407" s="37"/>
    </x:row>
    <x:row r="408" ht="15.75" customHeight="1">
      <x:c r="J408" s="37"/>
    </x:row>
    <x:row r="409" ht="15.75" customHeight="1">
      <x:c r="J409" s="37"/>
    </x:row>
    <x:row r="410" ht="15.75" customHeight="1">
      <x:c r="J410" s="37"/>
    </x:row>
    <x:row r="411" ht="15.75" customHeight="1">
      <x:c r="J411" s="37"/>
    </x:row>
    <x:row r="412" ht="15.75" customHeight="1">
      <x:c r="J412" s="37"/>
    </x:row>
    <x:row r="413" ht="15.75" customHeight="1">
      <x:c r="J413" s="37"/>
    </x:row>
    <x:row r="414" ht="15.75" customHeight="1">
      <x:c r="J414" s="37"/>
    </x:row>
    <x:row r="415" ht="15.75" customHeight="1">
      <x:c r="J415" s="37"/>
    </x:row>
    <x:row r="416" ht="15.75" customHeight="1">
      <x:c r="J416" s="37"/>
    </x:row>
    <x:row r="417" ht="15.75" customHeight="1">
      <x:c r="J417" s="37"/>
    </x:row>
    <x:row r="418" ht="15.75" customHeight="1">
      <x:c r="J418" s="37"/>
    </x:row>
    <x:row r="419" ht="15.75" customHeight="1">
      <x:c r="J419" s="37"/>
    </x:row>
    <x:row r="420" ht="15.75" customHeight="1">
      <x:c r="J420" s="37"/>
    </x:row>
    <x:row r="421" ht="15.75" customHeight="1">
      <x:c r="J421" s="37"/>
    </x:row>
    <x:row r="422" ht="15.75" customHeight="1">
      <x:c r="J422" s="37"/>
    </x:row>
    <x:row r="423" ht="15.75" customHeight="1">
      <x:c r="J423" s="37"/>
    </x:row>
    <x:row r="424" ht="15.75" customHeight="1">
      <x:c r="J424" s="37"/>
    </x:row>
    <x:row r="425" ht="15.75" customHeight="1">
      <x:c r="J425" s="37"/>
    </x:row>
    <x:row r="426" ht="15.75" customHeight="1">
      <x:c r="J426" s="37"/>
    </x:row>
    <x:row r="427" ht="15.75" customHeight="1">
      <x:c r="J427" s="37"/>
    </x:row>
    <x:row r="428" ht="15.75" customHeight="1">
      <x:c r="J428" s="37"/>
    </x:row>
    <x:row r="429" ht="15.75" customHeight="1">
      <x:c r="J429" s="37"/>
    </x:row>
    <x:row r="430" ht="15.75" customHeight="1">
      <x:c r="J430" s="37"/>
    </x:row>
    <x:row r="431" ht="15.75" customHeight="1">
      <x:c r="J431" s="37"/>
    </x:row>
    <x:row r="432" ht="15.75" customHeight="1">
      <x:c r="J432" s="37"/>
    </x:row>
    <x:row r="433" ht="15.75" customHeight="1">
      <x:c r="J433" s="37"/>
    </x:row>
    <x:row r="434" ht="15.75" customHeight="1">
      <x:c r="J434" s="37"/>
    </x:row>
    <x:row r="435" ht="15.75" customHeight="1">
      <x:c r="J435" s="37"/>
    </x:row>
    <x:row r="436" ht="15.75" customHeight="1">
      <x:c r="J436" s="37"/>
    </x:row>
    <x:row r="437" ht="15.75" customHeight="1">
      <x:c r="J437" s="37"/>
    </x:row>
    <x:row r="438" ht="15.75" customHeight="1">
      <x:c r="J438" s="37"/>
    </x:row>
    <x:row r="439" ht="15.75" customHeight="1">
      <x:c r="J439" s="37"/>
    </x:row>
    <x:row r="440" ht="15.75" customHeight="1">
      <x:c r="J440" s="37"/>
    </x:row>
    <x:row r="441" ht="15.75" customHeight="1">
      <x:c r="J441" s="37"/>
    </x:row>
    <x:row r="442" ht="15.75" customHeight="1">
      <x:c r="J442" s="37"/>
    </x:row>
    <x:row r="443" ht="15.75" customHeight="1">
      <x:c r="J443" s="37"/>
    </x:row>
    <x:row r="444" ht="15.75" customHeight="1">
      <x:c r="J444" s="37"/>
    </x:row>
    <x:row r="445" ht="15.75" customHeight="1">
      <x:c r="J445" s="37"/>
    </x:row>
    <x:row r="446" ht="15.75" customHeight="1">
      <x:c r="J446" s="37"/>
    </x:row>
    <x:row r="447" ht="15.75" customHeight="1">
      <x:c r="J447" s="37"/>
    </x:row>
    <x:row r="448" ht="15.75" customHeight="1">
      <x:c r="J448" s="37"/>
    </x:row>
    <x:row r="449" ht="15.75" customHeight="1">
      <x:c r="J449" s="37"/>
    </x:row>
    <x:row r="450" ht="15.75" customHeight="1">
      <x:c r="J450" s="37"/>
    </x:row>
    <x:row r="451" ht="15.75" customHeight="1">
      <x:c r="J451" s="37"/>
    </x:row>
    <x:row r="452" ht="15.75" customHeight="1">
      <x:c r="J452" s="37"/>
    </x:row>
    <x:row r="453" ht="15.75" customHeight="1">
      <x:c r="J453" s="37"/>
    </x:row>
    <x:row r="454" ht="15.75" customHeight="1">
      <x:c r="J454" s="37"/>
    </x:row>
    <x:row r="455" ht="15.75" customHeight="1">
      <x:c r="J455" s="37"/>
    </x:row>
    <x:row r="456" ht="15.75" customHeight="1">
      <x:c r="J456" s="37"/>
    </x:row>
    <x:row r="457" ht="15.75" customHeight="1">
      <x:c r="J457" s="37"/>
    </x:row>
    <x:row r="458" ht="15.75" customHeight="1">
      <x:c r="J458" s="37"/>
    </x:row>
    <x:row r="459" ht="15.75" customHeight="1">
      <x:c r="J459" s="37"/>
    </x:row>
    <x:row r="460" ht="15.75" customHeight="1">
      <x:c r="J460" s="37"/>
    </x:row>
    <x:row r="461" ht="15.75" customHeight="1">
      <x:c r="J461" s="37"/>
    </x:row>
    <x:row r="462" ht="15.75" customHeight="1">
      <x:c r="J462" s="37"/>
    </x:row>
    <x:row r="463" ht="15.75" customHeight="1">
      <x:c r="J463" s="37"/>
    </x:row>
    <x:row r="464" ht="15.75" customHeight="1">
      <x:c r="J464" s="37"/>
    </x:row>
    <x:row r="465" ht="15.75" customHeight="1">
      <x:c r="J465" s="37"/>
    </x:row>
    <x:row r="466" ht="15.75" customHeight="1">
      <x:c r="J466" s="37"/>
    </x:row>
    <x:row r="467" ht="15.75" customHeight="1">
      <x:c r="J467" s="37"/>
    </x:row>
    <x:row r="468" ht="15.75" customHeight="1">
      <x:c r="J468" s="37"/>
    </x:row>
    <x:row r="469" ht="15.75" customHeight="1">
      <x:c r="J469" s="37"/>
    </x:row>
    <x:row r="470" ht="15.75" customHeight="1">
      <x:c r="J470" s="37"/>
    </x:row>
    <x:row r="471" ht="15.75" customHeight="1">
      <x:c r="J471" s="37"/>
    </x:row>
    <x:row r="472" ht="15.75" customHeight="1">
      <x:c r="J472" s="37"/>
    </x:row>
    <x:row r="473" ht="15.75" customHeight="1">
      <x:c r="J473" s="37"/>
    </x:row>
    <x:row r="474" ht="15.75" customHeight="1">
      <x:c r="J474" s="37"/>
    </x:row>
    <x:row r="475" ht="15.75" customHeight="1">
      <x:c r="J475" s="37"/>
    </x:row>
    <x:row r="476" ht="15.75" customHeight="1">
      <x:c r="J476" s="37"/>
    </x:row>
    <x:row r="477" ht="15.75" customHeight="1">
      <x:c r="J477" s="37"/>
    </x:row>
    <x:row r="478" ht="15.75" customHeight="1">
      <x:c r="J478" s="37"/>
    </x:row>
    <x:row r="479" ht="15.75" customHeight="1">
      <x:c r="J479" s="37"/>
    </x:row>
    <x:row r="480" ht="15.75" customHeight="1">
      <x:c r="J480" s="37"/>
    </x:row>
    <x:row r="481" ht="15.75" customHeight="1">
      <x:c r="J481" s="37"/>
    </x:row>
    <x:row r="482" ht="15.75" customHeight="1">
      <x:c r="J482" s="37"/>
    </x:row>
    <x:row r="483" ht="15.75" customHeight="1">
      <x:c r="J483" s="37"/>
    </x:row>
    <x:row r="484" ht="15.75" customHeight="1">
      <x:c r="J484" s="37"/>
    </x:row>
    <x:row r="485" ht="15.75" customHeight="1">
      <x:c r="J485" s="37"/>
    </x:row>
    <x:row r="486" ht="15.75" customHeight="1">
      <x:c r="J486" s="37"/>
    </x:row>
    <x:row r="487" ht="15.75" customHeight="1">
      <x:c r="J487" s="37"/>
    </x:row>
    <x:row r="488" ht="15.75" customHeight="1">
      <x:c r="J488" s="37"/>
    </x:row>
    <x:row r="489" ht="15.75" customHeight="1">
      <x:c r="J489" s="37"/>
    </x:row>
    <x:row r="490" ht="15.75" customHeight="1">
      <x:c r="J490" s="37"/>
    </x:row>
    <x:row r="491" ht="15.75" customHeight="1">
      <x:c r="J491" s="37"/>
    </x:row>
    <x:row r="492" ht="15.75" customHeight="1">
      <x:c r="J492" s="37"/>
    </x:row>
    <x:row r="493" ht="15.75" customHeight="1">
      <x:c r="J493" s="37"/>
    </x:row>
    <x:row r="494" ht="15.75" customHeight="1">
      <x:c r="J494" s="37"/>
    </x:row>
    <x:row r="495" ht="15.75" customHeight="1">
      <x:c r="J495" s="37"/>
    </x:row>
    <x:row r="496" ht="15.75" customHeight="1">
      <x:c r="J496" s="37"/>
    </x:row>
    <x:row r="497" ht="15.75" customHeight="1">
      <x:c r="J497" s="37"/>
    </x:row>
    <x:row r="498" ht="15.75" customHeight="1">
      <x:c r="J498" s="37"/>
    </x:row>
    <x:row r="499" ht="15.75" customHeight="1">
      <x:c r="J499" s="37"/>
    </x:row>
    <x:row r="500" ht="15.75" customHeight="1">
      <x:c r="J500" s="37"/>
    </x:row>
    <x:row r="501" ht="15.75" customHeight="1">
      <x:c r="J501" s="37"/>
    </x:row>
    <x:row r="502" ht="15.75" customHeight="1">
      <x:c r="J502" s="37"/>
    </x:row>
    <x:row r="503" ht="15.75" customHeight="1">
      <x:c r="J503" s="37"/>
    </x:row>
    <x:row r="504" ht="15.75" customHeight="1">
      <x:c r="J504" s="37"/>
    </x:row>
    <x:row r="505" ht="15.75" customHeight="1">
      <x:c r="J505" s="37"/>
    </x:row>
    <x:row r="506" ht="15.75" customHeight="1">
      <x:c r="J506" s="37"/>
    </x:row>
    <x:row r="507" ht="15.75" customHeight="1">
      <x:c r="J507" s="37"/>
    </x:row>
    <x:row r="508" ht="15.75" customHeight="1">
      <x:c r="J508" s="37"/>
    </x:row>
    <x:row r="509" ht="15.75" customHeight="1">
      <x:c r="J509" s="37"/>
    </x:row>
    <x:row r="510" ht="15.75" customHeight="1">
      <x:c r="J510" s="37"/>
    </x:row>
    <x:row r="511" ht="15.75" customHeight="1">
      <x:c r="J511" s="37"/>
    </x:row>
    <x:row r="512" ht="15.75" customHeight="1">
      <x:c r="J512" s="37"/>
    </x:row>
    <x:row r="513" ht="15.75" customHeight="1">
      <x:c r="J513" s="37"/>
    </x:row>
    <x:row r="514" ht="15.75" customHeight="1">
      <x:c r="J514" s="37"/>
    </x:row>
    <x:row r="515" ht="15.75" customHeight="1">
      <x:c r="J515" s="37"/>
    </x:row>
    <x:row r="516" ht="15.75" customHeight="1">
      <x:c r="J516" s="37"/>
    </x:row>
    <x:row r="517" ht="15.75" customHeight="1">
      <x:c r="J517" s="37"/>
    </x:row>
    <x:row r="518" ht="15.75" customHeight="1">
      <x:c r="J518" s="37"/>
    </x:row>
    <x:row r="519" ht="15.75" customHeight="1">
      <x:c r="J519" s="37"/>
    </x:row>
    <x:row r="520" ht="15.75" customHeight="1">
      <x:c r="J520" s="37"/>
    </x:row>
    <x:row r="521" ht="15.75" customHeight="1">
      <x:c r="J521" s="37"/>
    </x:row>
    <x:row r="522" ht="15.75" customHeight="1">
      <x:c r="J522" s="37"/>
    </x:row>
    <x:row r="523" ht="15.75" customHeight="1">
      <x:c r="J523" s="37"/>
    </x:row>
    <x:row r="524" ht="15.75" customHeight="1">
      <x:c r="J524" s="37"/>
    </x:row>
    <x:row r="525" ht="15.75" customHeight="1">
      <x:c r="J525" s="37"/>
    </x:row>
    <x:row r="526" ht="15.75" customHeight="1">
      <x:c r="J526" s="37"/>
    </x:row>
    <x:row r="527" ht="15.75" customHeight="1">
      <x:c r="J527" s="37"/>
    </x:row>
    <x:row r="528" ht="15.75" customHeight="1">
      <x:c r="J528" s="37"/>
    </x:row>
    <x:row r="529" ht="15.75" customHeight="1">
      <x:c r="J529" s="37"/>
    </x:row>
    <x:row r="530" ht="15.75" customHeight="1">
      <x:c r="J530" s="37"/>
    </x:row>
    <x:row r="531" ht="15.75" customHeight="1">
      <x:c r="J531" s="37"/>
    </x:row>
    <x:row r="532" ht="15.75" customHeight="1">
      <x:c r="J532" s="37"/>
    </x:row>
    <x:row r="533" ht="15.75" customHeight="1">
      <x:c r="J533" s="37"/>
    </x:row>
    <x:row r="534" ht="15.75" customHeight="1">
      <x:c r="J534" s="37"/>
    </x:row>
    <x:row r="535" ht="15.75" customHeight="1">
      <x:c r="J535" s="37"/>
    </x:row>
    <x:row r="536" ht="15.75" customHeight="1">
      <x:c r="J536" s="37"/>
    </x:row>
    <x:row r="537" ht="15.75" customHeight="1">
      <x:c r="J537" s="37"/>
    </x:row>
    <x:row r="538" ht="15.75" customHeight="1">
      <x:c r="J538" s="37"/>
    </x:row>
    <x:row r="539" ht="15.75" customHeight="1">
      <x:c r="J539" s="37"/>
    </x:row>
    <x:row r="540" ht="15.75" customHeight="1">
      <x:c r="J540" s="37"/>
    </x:row>
    <x:row r="541" ht="15.75" customHeight="1">
      <x:c r="J541" s="37"/>
    </x:row>
    <x:row r="542" ht="15.75" customHeight="1">
      <x:c r="J542" s="37"/>
    </x:row>
    <x:row r="543" ht="15.75" customHeight="1">
      <x:c r="J543" s="37"/>
    </x:row>
    <x:row r="544" ht="15.75" customHeight="1">
      <x:c r="J544" s="37"/>
    </x:row>
    <x:row r="545" ht="15.75" customHeight="1">
      <x:c r="J545" s="37"/>
    </x:row>
    <x:row r="546" ht="15.75" customHeight="1">
      <x:c r="J546" s="37"/>
    </x:row>
    <x:row r="547" ht="15.75" customHeight="1">
      <x:c r="J547" s="37"/>
    </x:row>
    <x:row r="548" ht="15.75" customHeight="1">
      <x:c r="J548" s="37"/>
    </x:row>
    <x:row r="549" ht="15.75" customHeight="1">
      <x:c r="J549" s="37"/>
    </x:row>
    <x:row r="550" ht="15.75" customHeight="1">
      <x:c r="J550" s="37"/>
    </x:row>
    <x:row r="551" ht="15.75" customHeight="1">
      <x:c r="J551" s="37"/>
    </x:row>
    <x:row r="552" ht="15.75" customHeight="1">
      <x:c r="J552" s="37"/>
    </x:row>
    <x:row r="553" ht="15.75" customHeight="1">
      <x:c r="J553" s="37"/>
    </x:row>
    <x:row r="554" ht="15.75" customHeight="1">
      <x:c r="J554" s="37"/>
    </x:row>
    <x:row r="555" ht="15.75" customHeight="1">
      <x:c r="J555" s="37"/>
    </x:row>
    <x:row r="556" ht="15.75" customHeight="1">
      <x:c r="J556" s="37"/>
    </x:row>
    <x:row r="557" ht="15.75" customHeight="1">
      <x:c r="J557" s="37"/>
    </x:row>
    <x:row r="558" ht="15.75" customHeight="1">
      <x:c r="J558" s="37"/>
    </x:row>
    <x:row r="559" ht="15.75" customHeight="1">
      <x:c r="J559" s="37"/>
    </x:row>
    <x:row r="560" ht="15.75" customHeight="1">
      <x:c r="J560" s="37"/>
    </x:row>
    <x:row r="561" ht="15.75" customHeight="1">
      <x:c r="J561" s="37"/>
    </x:row>
    <x:row r="562" ht="15.75" customHeight="1">
      <x:c r="J562" s="37"/>
    </x:row>
    <x:row r="563" ht="15.75" customHeight="1">
      <x:c r="J563" s="37"/>
    </x:row>
    <x:row r="564" ht="15.75" customHeight="1">
      <x:c r="J564" s="37"/>
    </x:row>
    <x:row r="565" ht="15.75" customHeight="1">
      <x:c r="J565" s="37"/>
    </x:row>
    <x:row r="566" ht="15.75" customHeight="1">
      <x:c r="J566" s="37"/>
    </x:row>
    <x:row r="567" ht="15.75" customHeight="1">
      <x:c r="J567" s="37"/>
    </x:row>
    <x:row r="568" ht="15.75" customHeight="1">
      <x:c r="J568" s="37"/>
    </x:row>
    <x:row r="569" ht="15.75" customHeight="1">
      <x:c r="J569" s="37"/>
    </x:row>
    <x:row r="570" ht="15.75" customHeight="1">
      <x:c r="J570" s="37"/>
    </x:row>
    <x:row r="571" ht="15.75" customHeight="1">
      <x:c r="J571" s="37"/>
    </x:row>
    <x:row r="572" ht="15.75" customHeight="1">
      <x:c r="J572" s="37"/>
    </x:row>
    <x:row r="573" ht="15.75" customHeight="1">
      <x:c r="J573" s="37"/>
    </x:row>
    <x:row r="574" ht="15.75" customHeight="1">
      <x:c r="J574" s="37"/>
    </x:row>
    <x:row r="575" ht="15.75" customHeight="1">
      <x:c r="J575" s="37"/>
    </x:row>
    <x:row r="576" ht="15.75" customHeight="1">
      <x:c r="J576" s="37"/>
    </x:row>
    <x:row r="577" ht="15.75" customHeight="1">
      <x:c r="J577" s="37"/>
    </x:row>
    <x:row r="578" ht="15.75" customHeight="1">
      <x:c r="J578" s="37"/>
    </x:row>
    <x:row r="579" ht="15.75" customHeight="1">
      <x:c r="J579" s="37"/>
    </x:row>
    <x:row r="580" ht="15.75" customHeight="1">
      <x:c r="J580" s="37"/>
    </x:row>
    <x:row r="581" ht="15.75" customHeight="1">
      <x:c r="J581" s="37"/>
    </x:row>
    <x:row r="582" ht="15.75" customHeight="1">
      <x:c r="J582" s="37"/>
    </x:row>
    <x:row r="583" ht="15.75" customHeight="1">
      <x:c r="J583" s="37"/>
    </x:row>
    <x:row r="584" ht="15.75" customHeight="1">
      <x:c r="J584" s="37"/>
    </x:row>
    <x:row r="585" ht="15.75" customHeight="1">
      <x:c r="J585" s="37"/>
    </x:row>
    <x:row r="586" ht="15.75" customHeight="1">
      <x:c r="J586" s="37"/>
    </x:row>
    <x:row r="587" ht="15.75" customHeight="1">
      <x:c r="J587" s="37"/>
    </x:row>
    <x:row r="588" ht="15.75" customHeight="1">
      <x:c r="J588" s="37"/>
    </x:row>
    <x:row r="589" ht="15.75" customHeight="1">
      <x:c r="J589" s="37"/>
    </x:row>
    <x:row r="590" ht="15.75" customHeight="1">
      <x:c r="J590" s="37"/>
    </x:row>
    <x:row r="591" ht="15.75" customHeight="1">
      <x:c r="J591" s="37"/>
    </x:row>
    <x:row r="592" ht="15.75" customHeight="1">
      <x:c r="J592" s="37"/>
    </x:row>
    <x:row r="593" ht="15.75" customHeight="1">
      <x:c r="J593" s="37"/>
    </x:row>
    <x:row r="594" ht="15.75" customHeight="1">
      <x:c r="J594" s="37"/>
    </x:row>
    <x:row r="595" ht="15.75" customHeight="1">
      <x:c r="J595" s="37"/>
    </x:row>
    <x:row r="596" ht="15.75" customHeight="1">
      <x:c r="J596" s="37"/>
    </x:row>
    <x:row r="597" ht="15.75" customHeight="1">
      <x:c r="J597" s="37"/>
    </x:row>
    <x:row r="598" ht="15.75" customHeight="1">
      <x:c r="J598" s="37"/>
    </x:row>
    <x:row r="599" ht="15.75" customHeight="1">
      <x:c r="J599" s="37"/>
    </x:row>
    <x:row r="600" ht="15.75" customHeight="1">
      <x:c r="J600" s="37"/>
    </x:row>
    <x:row r="601" ht="15.75" customHeight="1">
      <x:c r="J601" s="37"/>
    </x:row>
    <x:row r="602" ht="15.75" customHeight="1">
      <x:c r="J602" s="37"/>
    </x:row>
    <x:row r="603" ht="15.75" customHeight="1">
      <x:c r="J603" s="37"/>
    </x:row>
    <x:row r="604" ht="15.75" customHeight="1">
      <x:c r="J604" s="37"/>
    </x:row>
    <x:row r="605" ht="15.75" customHeight="1">
      <x:c r="J605" s="37"/>
    </x:row>
    <x:row r="606" ht="15.75" customHeight="1">
      <x:c r="J606" s="37"/>
    </x:row>
    <x:row r="607" ht="15.75" customHeight="1">
      <x:c r="J607" s="37"/>
    </x:row>
    <x:row r="608" ht="15.75" customHeight="1">
      <x:c r="J608" s="37"/>
    </x:row>
    <x:row r="609" ht="15.75" customHeight="1">
      <x:c r="J609" s="37"/>
    </x:row>
    <x:row r="610" ht="15.75" customHeight="1">
      <x:c r="J610" s="37"/>
    </x:row>
    <x:row r="611" ht="15.75" customHeight="1">
      <x:c r="J611" s="37"/>
    </x:row>
    <x:row r="612" ht="15.75" customHeight="1">
      <x:c r="J612" s="37"/>
    </x:row>
    <x:row r="613" ht="15.75" customHeight="1">
      <x:c r="J613" s="37"/>
    </x:row>
    <x:row r="614" ht="15.75" customHeight="1">
      <x:c r="J614" s="37"/>
    </x:row>
    <x:row r="615" ht="15.75" customHeight="1">
      <x:c r="J615" s="37"/>
    </x:row>
    <x:row r="616" ht="15.75" customHeight="1">
      <x:c r="J616" s="37"/>
    </x:row>
    <x:row r="617" ht="15.75" customHeight="1">
      <x:c r="J617" s="37"/>
    </x:row>
    <x:row r="618" ht="15.75" customHeight="1">
      <x:c r="J618" s="37"/>
    </x:row>
    <x:row r="619" ht="15.75" customHeight="1">
      <x:c r="J619" s="37"/>
    </x:row>
    <x:row r="620" ht="15.75" customHeight="1">
      <x:c r="J620" s="37"/>
    </x:row>
    <x:row r="621" ht="15.75" customHeight="1">
      <x:c r="J621" s="37"/>
    </x:row>
    <x:row r="622" ht="15.75" customHeight="1">
      <x:c r="J622" s="37"/>
    </x:row>
    <x:row r="623" ht="15.75" customHeight="1">
      <x:c r="J623" s="37"/>
    </x:row>
    <x:row r="624" ht="15.75" customHeight="1">
      <x:c r="J624" s="37"/>
    </x:row>
    <x:row r="625" ht="15.75" customHeight="1">
      <x:c r="J625" s="37"/>
    </x:row>
    <x:row r="626" ht="15.75" customHeight="1">
      <x:c r="J626" s="37"/>
    </x:row>
    <x:row r="627" ht="15.75" customHeight="1">
      <x:c r="J627" s="37"/>
    </x:row>
    <x:row r="628" ht="15.75" customHeight="1">
      <x:c r="J628" s="37"/>
    </x:row>
    <x:row r="629" ht="15.75" customHeight="1">
      <x:c r="J629" s="37"/>
    </x:row>
    <x:row r="630" ht="15.75" customHeight="1">
      <x:c r="J630" s="37"/>
    </x:row>
    <x:row r="631" ht="15.75" customHeight="1">
      <x:c r="J631" s="37"/>
    </x:row>
    <x:row r="632" ht="15.75" customHeight="1">
      <x:c r="J632" s="37"/>
    </x:row>
    <x:row r="633" ht="15.75" customHeight="1">
      <x:c r="J633" s="37"/>
    </x:row>
    <x:row r="634" ht="15.75" customHeight="1">
      <x:c r="J634" s="37"/>
    </x:row>
    <x:row r="635" ht="15.75" customHeight="1">
      <x:c r="J635" s="37"/>
    </x:row>
    <x:row r="636" ht="15.75" customHeight="1">
      <x:c r="J636" s="37"/>
    </x:row>
    <x:row r="637" ht="15.75" customHeight="1">
      <x:c r="J637" s="37"/>
    </x:row>
    <x:row r="638" ht="15.75" customHeight="1">
      <x:c r="J638" s="37"/>
    </x:row>
    <x:row r="639" ht="15.75" customHeight="1">
      <x:c r="J639" s="37"/>
    </x:row>
    <x:row r="640" ht="15.75" customHeight="1">
      <x:c r="J640" s="37"/>
    </x:row>
    <x:row r="641" ht="15.75" customHeight="1">
      <x:c r="J641" s="37"/>
    </x:row>
    <x:row r="642" ht="15.75" customHeight="1">
      <x:c r="J642" s="37"/>
    </x:row>
    <x:row r="643" ht="15.75" customHeight="1">
      <x:c r="J643" s="37"/>
    </x:row>
    <x:row r="644" ht="15.75" customHeight="1">
      <x:c r="J644" s="37"/>
    </x:row>
    <x:row r="645" ht="15.75" customHeight="1">
      <x:c r="J645" s="37"/>
    </x:row>
    <x:row r="646" ht="15.75" customHeight="1">
      <x:c r="J646" s="37"/>
    </x:row>
    <x:row r="647" ht="15.75" customHeight="1">
      <x:c r="J647" s="37"/>
    </x:row>
    <x:row r="648" ht="15.75" customHeight="1">
      <x:c r="J648" s="37"/>
    </x:row>
    <x:row r="649" ht="15.75" customHeight="1">
      <x:c r="J649" s="37"/>
    </x:row>
    <x:row r="650" ht="15.75" customHeight="1">
      <x:c r="J650" s="37"/>
    </x:row>
    <x:row r="651" ht="15.75" customHeight="1">
      <x:c r="J651" s="37"/>
    </x:row>
    <x:row r="652" ht="15.75" customHeight="1">
      <x:c r="J652" s="37"/>
    </x:row>
    <x:row r="653" ht="15.75" customHeight="1">
      <x:c r="J653" s="37"/>
    </x:row>
    <x:row r="654" ht="15.75" customHeight="1">
      <x:c r="J654" s="37"/>
    </x:row>
    <x:row r="655" ht="15.75" customHeight="1">
      <x:c r="J655" s="37"/>
    </x:row>
    <x:row r="656" ht="15.75" customHeight="1">
      <x:c r="J656" s="37"/>
    </x:row>
    <x:row r="657" ht="15.75" customHeight="1">
      <x:c r="J657" s="37"/>
    </x:row>
    <x:row r="658" ht="15.75" customHeight="1">
      <x:c r="J658" s="37"/>
    </x:row>
    <x:row r="659" ht="15.75" customHeight="1">
      <x:c r="J659" s="37"/>
    </x:row>
    <x:row r="660" ht="15.75" customHeight="1">
      <x:c r="J660" s="37"/>
    </x:row>
    <x:row r="661" ht="15.75" customHeight="1">
      <x:c r="J661" s="37"/>
    </x:row>
    <x:row r="662" ht="15.75" customHeight="1">
      <x:c r="J662" s="37"/>
    </x:row>
    <x:row r="663" ht="15.75" customHeight="1">
      <x:c r="J663" s="37"/>
    </x:row>
    <x:row r="664" ht="15.75" customHeight="1">
      <x:c r="J664" s="37"/>
    </x:row>
    <x:row r="665" ht="15.75" customHeight="1">
      <x:c r="J665" s="37"/>
    </x:row>
    <x:row r="666" ht="15.75" customHeight="1">
      <x:c r="J666" s="37"/>
    </x:row>
    <x:row r="667" ht="15.75" customHeight="1">
      <x:c r="J667" s="37"/>
    </x:row>
    <x:row r="668" ht="15.75" customHeight="1">
      <x:c r="J668" s="37"/>
    </x:row>
    <x:row r="669" ht="15.75" customHeight="1">
      <x:c r="J669" s="37"/>
    </x:row>
    <x:row r="670" ht="15.75" customHeight="1">
      <x:c r="J670" s="37"/>
    </x:row>
    <x:row r="671" ht="15.75" customHeight="1">
      <x:c r="J671" s="37"/>
    </x:row>
    <x:row r="672" ht="15.75" customHeight="1">
      <x:c r="J672" s="37"/>
    </x:row>
    <x:row r="673" ht="15.75" customHeight="1">
      <x:c r="J673" s="37"/>
    </x:row>
    <x:row r="674" ht="15.75" customHeight="1">
      <x:c r="J674" s="37"/>
    </x:row>
    <x:row r="675" ht="15.75" customHeight="1">
      <x:c r="J675" s="37"/>
    </x:row>
    <x:row r="676" ht="15.75" customHeight="1">
      <x:c r="J676" s="37"/>
    </x:row>
    <x:row r="677" ht="15.75" customHeight="1">
      <x:c r="J677" s="37"/>
    </x:row>
    <x:row r="678" ht="15.75" customHeight="1">
      <x:c r="J678" s="37"/>
    </x:row>
    <x:row r="679" ht="15.75" customHeight="1">
      <x:c r="J679" s="37"/>
    </x:row>
    <x:row r="680" ht="15.75" customHeight="1">
      <x:c r="J680" s="37"/>
    </x:row>
    <x:row r="681" ht="15.75" customHeight="1">
      <x:c r="J681" s="37"/>
    </x:row>
    <x:row r="682" ht="15.75" customHeight="1">
      <x:c r="J682" s="37"/>
    </x:row>
    <x:row r="683" ht="15.75" customHeight="1">
      <x:c r="J683" s="37"/>
    </x:row>
    <x:row r="684" ht="15.75" customHeight="1">
      <x:c r="J684" s="37"/>
    </x:row>
    <x:row r="685" ht="15.75" customHeight="1">
      <x:c r="J685" s="37"/>
    </x:row>
    <x:row r="686" ht="15.75" customHeight="1">
      <x:c r="J686" s="37"/>
    </x:row>
    <x:row r="687" ht="15.75" customHeight="1">
      <x:c r="J687" s="37"/>
    </x:row>
    <x:row r="688" ht="15.75" customHeight="1">
      <x:c r="J688" s="37"/>
    </x:row>
    <x:row r="689" ht="15.75" customHeight="1">
      <x:c r="J689" s="37"/>
    </x:row>
    <x:row r="690" ht="15.75" customHeight="1">
      <x:c r="J690" s="37"/>
    </x:row>
    <x:row r="691" ht="15.75" customHeight="1">
      <x:c r="J691" s="37"/>
    </x:row>
    <x:row r="692" ht="15.75" customHeight="1">
      <x:c r="J692" s="37"/>
    </x:row>
    <x:row r="693" ht="15.75" customHeight="1">
      <x:c r="J693" s="37"/>
    </x:row>
    <x:row r="694" ht="15.75" customHeight="1">
      <x:c r="J694" s="37"/>
    </x:row>
    <x:row r="695" ht="15.75" customHeight="1">
      <x:c r="J695" s="37"/>
    </x:row>
    <x:row r="696" ht="15.75" customHeight="1">
      <x:c r="J696" s="37"/>
    </x:row>
    <x:row r="697" ht="15.75" customHeight="1">
      <x:c r="J697" s="37"/>
    </x:row>
    <x:row r="698" ht="15.75" customHeight="1">
      <x:c r="J698" s="37"/>
    </x:row>
    <x:row r="699" ht="15.75" customHeight="1">
      <x:c r="J699" s="37"/>
    </x:row>
    <x:row r="700" ht="15.75" customHeight="1">
      <x:c r="J700" s="37"/>
    </x:row>
    <x:row r="701" ht="15.75" customHeight="1">
      <x:c r="J701" s="37"/>
    </x:row>
    <x:row r="702" ht="15.75" customHeight="1">
      <x:c r="J702" s="37"/>
    </x:row>
    <x:row r="703" ht="15.75" customHeight="1">
      <x:c r="J703" s="37"/>
    </x:row>
    <x:row r="704" ht="15.75" customHeight="1">
      <x:c r="J704" s="37"/>
    </x:row>
    <x:row r="705" ht="15.75" customHeight="1">
      <x:c r="J705" s="37"/>
    </x:row>
    <x:row r="706" ht="15.75" customHeight="1">
      <x:c r="J706" s="37"/>
    </x:row>
    <x:row r="707" ht="15.75" customHeight="1">
      <x:c r="J707" s="37"/>
    </x:row>
    <x:row r="708" ht="15.75" customHeight="1">
      <x:c r="J708" s="37"/>
    </x:row>
    <x:row r="709" ht="15.75" customHeight="1">
      <x:c r="J709" s="37"/>
    </x:row>
    <x:row r="710" ht="15.75" customHeight="1">
      <x:c r="J710" s="37"/>
    </x:row>
    <x:row r="711" ht="15.75" customHeight="1">
      <x:c r="J711" s="37"/>
    </x:row>
    <x:row r="712" ht="15.75" customHeight="1">
      <x:c r="J712" s="37"/>
    </x:row>
    <x:row r="713" ht="15.75" customHeight="1">
      <x:c r="J713" s="37"/>
    </x:row>
    <x:row r="714" ht="15.75" customHeight="1">
      <x:c r="J714" s="37"/>
    </x:row>
    <x:row r="715" ht="15.75" customHeight="1">
      <x:c r="J715" s="37"/>
    </x:row>
    <x:row r="716" ht="15.75" customHeight="1">
      <x:c r="J716" s="37"/>
    </x:row>
    <x:row r="717" ht="15.75" customHeight="1">
      <x:c r="J717" s="37"/>
    </x:row>
    <x:row r="718" ht="15.75" customHeight="1">
      <x:c r="J718" s="37"/>
    </x:row>
    <x:row r="719" ht="15.75" customHeight="1">
      <x:c r="J719" s="37"/>
    </x:row>
    <x:row r="720" ht="15.75" customHeight="1">
      <x:c r="J720" s="37"/>
    </x:row>
    <x:row r="721" ht="15.75" customHeight="1">
      <x:c r="J721" s="37"/>
    </x:row>
    <x:row r="722" ht="15.75" customHeight="1">
      <x:c r="J722" s="37"/>
    </x:row>
    <x:row r="723" ht="15.75" customHeight="1">
      <x:c r="J723" s="37"/>
    </x:row>
    <x:row r="724" ht="15.75" customHeight="1">
      <x:c r="J724" s="37"/>
    </x:row>
    <x:row r="725" ht="15.75" customHeight="1">
      <x:c r="J725" s="37"/>
    </x:row>
    <x:row r="726" ht="15.75" customHeight="1">
      <x:c r="J726" s="37"/>
    </x:row>
    <x:row r="727" ht="15.75" customHeight="1">
      <x:c r="J727" s="37"/>
    </x:row>
    <x:row r="728" ht="15.75" customHeight="1">
      <x:c r="J728" s="37"/>
    </x:row>
    <x:row r="729" ht="15.75" customHeight="1">
      <x:c r="J729" s="37"/>
    </x:row>
    <x:row r="730" ht="15.75" customHeight="1">
      <x:c r="J730" s="37"/>
    </x:row>
    <x:row r="731" ht="15.75" customHeight="1">
      <x:c r="J731" s="37"/>
    </x:row>
    <x:row r="732" ht="15.75" customHeight="1">
      <x:c r="J732" s="37"/>
    </x:row>
    <x:row r="733" ht="15.75" customHeight="1">
      <x:c r="J733" s="37"/>
    </x:row>
    <x:row r="734" ht="15.75" customHeight="1">
      <x:c r="J734" s="37"/>
    </x:row>
    <x:row r="735" ht="15.75" customHeight="1">
      <x:c r="J735" s="37"/>
    </x:row>
    <x:row r="736" ht="15.75" customHeight="1">
      <x:c r="J736" s="37"/>
    </x:row>
    <x:row r="737" ht="15.75" customHeight="1">
      <x:c r="J737" s="37"/>
    </x:row>
    <x:row r="738" ht="15.75" customHeight="1">
      <x:c r="J738" s="37"/>
    </x:row>
    <x:row r="739" ht="15.75" customHeight="1">
      <x:c r="J739" s="37"/>
    </x:row>
    <x:row r="740" ht="15.75" customHeight="1">
      <x:c r="J740" s="37"/>
    </x:row>
    <x:row r="741" ht="15.75" customHeight="1">
      <x:c r="J741" s="37"/>
    </x:row>
    <x:row r="742" ht="15.75" customHeight="1">
      <x:c r="J742" s="37"/>
    </x:row>
    <x:row r="743" ht="15.75" customHeight="1">
      <x:c r="J743" s="37"/>
    </x:row>
    <x:row r="744" ht="15.75" customHeight="1">
      <x:c r="J744" s="37"/>
    </x:row>
    <x:row r="745" ht="15.75" customHeight="1">
      <x:c r="J745" s="37"/>
    </x:row>
    <x:row r="746" ht="15.75" customHeight="1">
      <x:c r="J746" s="37"/>
    </x:row>
    <x:row r="747" ht="15.75" customHeight="1">
      <x:c r="J747" s="37"/>
    </x:row>
    <x:row r="748" ht="15.75" customHeight="1">
      <x:c r="J748" s="37"/>
    </x:row>
    <x:row r="749" ht="15.75" customHeight="1">
      <x:c r="J749" s="37"/>
    </x:row>
    <x:row r="750" ht="15.75" customHeight="1">
      <x:c r="J750" s="37"/>
    </x:row>
    <x:row r="751" ht="15.75" customHeight="1">
      <x:c r="J751" s="37"/>
    </x:row>
    <x:row r="752" ht="15.75" customHeight="1">
      <x:c r="J752" s="37"/>
    </x:row>
    <x:row r="753" ht="15.75" customHeight="1">
      <x:c r="J753" s="37"/>
    </x:row>
    <x:row r="754" ht="15.75" customHeight="1">
      <x:c r="J754" s="37"/>
    </x:row>
    <x:row r="755" ht="15.75" customHeight="1">
      <x:c r="J755" s="37"/>
    </x:row>
    <x:row r="756" ht="15.75" customHeight="1">
      <x:c r="J756" s="37"/>
    </x:row>
    <x:row r="757" ht="15.75" customHeight="1">
      <x:c r="J757" s="37"/>
    </x:row>
    <x:row r="758" ht="15.75" customHeight="1">
      <x:c r="J758" s="37"/>
    </x:row>
    <x:row r="759" ht="15.75" customHeight="1">
      <x:c r="J759" s="37"/>
    </x:row>
    <x:row r="760" ht="15.75" customHeight="1">
      <x:c r="J760" s="37"/>
    </x:row>
    <x:row r="761" ht="15.75" customHeight="1">
      <x:c r="J761" s="37"/>
    </x:row>
    <x:row r="762" ht="15.75" customHeight="1">
      <x:c r="J762" s="37"/>
    </x:row>
    <x:row r="763" ht="15.75" customHeight="1">
      <x:c r="J763" s="37"/>
    </x:row>
    <x:row r="764" ht="15.75" customHeight="1">
      <x:c r="J764" s="37"/>
    </x:row>
    <x:row r="765" ht="15.75" customHeight="1">
      <x:c r="J765" s="37"/>
    </x:row>
    <x:row r="766" ht="15.75" customHeight="1">
      <x:c r="J766" s="37"/>
    </x:row>
    <x:row r="767" ht="15.75" customHeight="1">
      <x:c r="J767" s="37"/>
    </x:row>
    <x:row r="768" ht="15.75" customHeight="1">
      <x:c r="J768" s="37"/>
    </x:row>
    <x:row r="769" ht="15.75" customHeight="1">
      <x:c r="J769" s="37"/>
    </x:row>
    <x:row r="770" ht="15.75" customHeight="1">
      <x:c r="J770" s="37"/>
    </x:row>
    <x:row r="771" ht="15.75" customHeight="1">
      <x:c r="J771" s="37"/>
    </x:row>
    <x:row r="772" ht="15.75" customHeight="1">
      <x:c r="J772" s="37"/>
    </x:row>
    <x:row r="773" ht="15.75" customHeight="1">
      <x:c r="J773" s="37"/>
    </x:row>
    <x:row r="774" ht="15.75" customHeight="1">
      <x:c r="J774" s="37"/>
    </x:row>
    <x:row r="775" ht="15.75" customHeight="1">
      <x:c r="J775" s="37"/>
    </x:row>
    <x:row r="776" ht="15.75" customHeight="1">
      <x:c r="J776" s="37"/>
    </x:row>
    <x:row r="777" ht="15.75" customHeight="1">
      <x:c r="J777" s="37"/>
    </x:row>
    <x:row r="778" ht="15.75" customHeight="1">
      <x:c r="J778" s="37"/>
    </x:row>
    <x:row r="779" ht="15.75" customHeight="1">
      <x:c r="J779" s="37"/>
    </x:row>
    <x:row r="780" ht="15.75" customHeight="1">
      <x:c r="J780" s="37"/>
    </x:row>
    <x:row r="781" ht="15.75" customHeight="1">
      <x:c r="J781" s="37"/>
    </x:row>
    <x:row r="782" ht="15.75" customHeight="1">
      <x:c r="J782" s="37"/>
    </x:row>
    <x:row r="783" ht="15.75" customHeight="1">
      <x:c r="J783" s="37"/>
    </x:row>
    <x:row r="784" ht="15.75" customHeight="1">
      <x:c r="J784" s="37"/>
    </x:row>
    <x:row r="785" ht="15.75" customHeight="1">
      <x:c r="J785" s="37"/>
    </x:row>
    <x:row r="786" ht="15.75" customHeight="1">
      <x:c r="J786" s="37"/>
    </x:row>
    <x:row r="787" ht="15.75" customHeight="1">
      <x:c r="J787" s="37"/>
    </x:row>
    <x:row r="788" ht="15.75" customHeight="1">
      <x:c r="J788" s="37"/>
    </x:row>
    <x:row r="789" ht="15.75" customHeight="1">
      <x:c r="J789" s="37"/>
    </x:row>
    <x:row r="790" ht="15.75" customHeight="1">
      <x:c r="J790" s="37"/>
    </x:row>
    <x:row r="791" ht="15.75" customHeight="1">
      <x:c r="J791" s="37"/>
    </x:row>
    <x:row r="792" ht="15.75" customHeight="1">
      <x:c r="J792" s="37"/>
    </x:row>
    <x:row r="793" ht="15.75" customHeight="1">
      <x:c r="J793" s="37"/>
    </x:row>
    <x:row r="794" ht="15.75" customHeight="1">
      <x:c r="J794" s="37"/>
    </x:row>
    <x:row r="795" ht="15.75" customHeight="1">
      <x:c r="J795" s="37"/>
    </x:row>
    <x:row r="796" ht="15.75" customHeight="1">
      <x:c r="J796" s="37"/>
    </x:row>
    <x:row r="797" ht="15.75" customHeight="1">
      <x:c r="J797" s="37"/>
    </x:row>
    <x:row r="798" ht="15.75" customHeight="1">
      <x:c r="J798" s="37"/>
    </x:row>
    <x:row r="799" ht="15.75" customHeight="1">
      <x:c r="J799" s="37"/>
    </x:row>
    <x:row r="800" ht="15.75" customHeight="1">
      <x:c r="J800" s="37"/>
    </x:row>
    <x:row r="801" ht="15.75" customHeight="1">
      <x:c r="J801" s="37"/>
    </x:row>
    <x:row r="802" ht="15.75" customHeight="1">
      <x:c r="J802" s="37"/>
    </x:row>
    <x:row r="803" ht="15.75" customHeight="1">
      <x:c r="J803" s="37"/>
    </x:row>
    <x:row r="804" ht="15.75" customHeight="1">
      <x:c r="J804" s="37"/>
    </x:row>
    <x:row r="805" ht="15.75" customHeight="1">
      <x:c r="J805" s="37"/>
    </x:row>
    <x:row r="806" ht="15.75" customHeight="1">
      <x:c r="J806" s="37"/>
    </x:row>
    <x:row r="807" ht="15.75" customHeight="1">
      <x:c r="J807" s="37"/>
    </x:row>
    <x:row r="808" ht="15.75" customHeight="1">
      <x:c r="J808" s="37"/>
    </x:row>
    <x:row r="809" ht="15.75" customHeight="1">
      <x:c r="J809" s="37"/>
    </x:row>
    <x:row r="810" ht="15.75" customHeight="1">
      <x:c r="J810" s="37"/>
    </x:row>
    <x:row r="811" ht="15.75" customHeight="1">
      <x:c r="J811" s="37"/>
    </x:row>
    <x:row r="812" ht="15.75" customHeight="1">
      <x:c r="J812" s="37"/>
    </x:row>
    <x:row r="813" ht="15.75" customHeight="1">
      <x:c r="J813" s="37"/>
    </x:row>
    <x:row r="814" ht="15.75" customHeight="1">
      <x:c r="J814" s="37"/>
    </x:row>
    <x:row r="815" ht="15.75" customHeight="1">
      <x:c r="J815" s="37"/>
    </x:row>
    <x:row r="816" ht="15.75" customHeight="1">
      <x:c r="J816" s="37"/>
    </x:row>
    <x:row r="817" ht="15.75" customHeight="1">
      <x:c r="J817" s="37"/>
    </x:row>
    <x:row r="818" ht="15.75" customHeight="1">
      <x:c r="J818" s="37"/>
    </x:row>
    <x:row r="819" ht="15.75" customHeight="1">
      <x:c r="J819" s="37"/>
    </x:row>
    <x:row r="820" ht="15.75" customHeight="1">
      <x:c r="J820" s="37"/>
    </x:row>
    <x:row r="821" ht="15.75" customHeight="1">
      <x:c r="J821" s="37"/>
    </x:row>
    <x:row r="822" ht="15.75" customHeight="1">
      <x:c r="J822" s="37"/>
    </x:row>
    <x:row r="823" ht="15.75" customHeight="1">
      <x:c r="J823" s="37"/>
    </x:row>
    <x:row r="824" ht="15.75" customHeight="1">
      <x:c r="J824" s="37"/>
    </x:row>
    <x:row r="825" ht="15.75" customHeight="1">
      <x:c r="J825" s="37"/>
    </x:row>
    <x:row r="826" ht="15.75" customHeight="1">
      <x:c r="J826" s="37"/>
    </x:row>
    <x:row r="827" ht="15.75" customHeight="1">
      <x:c r="J827" s="37"/>
    </x:row>
    <x:row r="828" ht="15.75" customHeight="1">
      <x:c r="J828" s="37"/>
    </x:row>
    <x:row r="829" ht="15.75" customHeight="1">
      <x:c r="J829" s="37"/>
    </x:row>
    <x:row r="830" ht="15.75" customHeight="1">
      <x:c r="J830" s="37"/>
    </x:row>
    <x:row r="831" ht="15.75" customHeight="1">
      <x:c r="J831" s="37"/>
    </x:row>
    <x:row r="832" ht="15.75" customHeight="1">
      <x:c r="J832" s="37"/>
    </x:row>
    <x:row r="833" ht="15.75" customHeight="1">
      <x:c r="J833" s="37"/>
    </x:row>
    <x:row r="834" ht="15.75" customHeight="1">
      <x:c r="J834" s="37"/>
    </x:row>
    <x:row r="835" ht="15.75" customHeight="1">
      <x:c r="J835" s="37"/>
    </x:row>
    <x:row r="836" ht="15.75" customHeight="1">
      <x:c r="J836" s="37"/>
    </x:row>
    <x:row r="837" ht="15.75" customHeight="1">
      <x:c r="J837" s="37"/>
    </x:row>
    <x:row r="838" ht="15.75" customHeight="1">
      <x:c r="J838" s="37"/>
    </x:row>
    <x:row r="839" ht="15.75" customHeight="1">
      <x:c r="J839" s="37"/>
    </x:row>
    <x:row r="840" ht="15.75" customHeight="1">
      <x:c r="J840" s="37"/>
    </x:row>
    <x:row r="841" ht="15.75" customHeight="1">
      <x:c r="J841" s="37"/>
    </x:row>
    <x:row r="842" ht="15.75" customHeight="1">
      <x:c r="J842" s="37"/>
    </x:row>
    <x:row r="843" ht="15.75" customHeight="1">
      <x:c r="J843" s="37"/>
    </x:row>
    <x:row r="844" ht="15.75" customHeight="1">
      <x:c r="J844" s="37"/>
    </x:row>
    <x:row r="845" ht="15.75" customHeight="1">
      <x:c r="J845" s="37"/>
    </x:row>
    <x:row r="846" ht="15.75" customHeight="1">
      <x:c r="J846" s="37"/>
    </x:row>
    <x:row r="847" ht="15.75" customHeight="1">
      <x:c r="J847" s="37"/>
    </x:row>
    <x:row r="848" ht="15.75" customHeight="1">
      <x:c r="J848" s="37"/>
    </x:row>
    <x:row r="849" ht="15.75" customHeight="1">
      <x:c r="J849" s="37"/>
    </x:row>
    <x:row r="850" ht="15.75" customHeight="1">
      <x:c r="J850" s="37"/>
    </x:row>
    <x:row r="851" ht="15.75" customHeight="1">
      <x:c r="J851" s="37"/>
    </x:row>
    <x:row r="852" ht="15.75" customHeight="1">
      <x:c r="J852" s="37"/>
    </x:row>
    <x:row r="853" ht="15.75" customHeight="1">
      <x:c r="J853" s="37"/>
    </x:row>
    <x:row r="854" ht="15.75" customHeight="1">
      <x:c r="J854" s="37"/>
    </x:row>
    <x:row r="855" ht="15.75" customHeight="1">
      <x:c r="J855" s="37"/>
    </x:row>
    <x:row r="856" ht="15.75" customHeight="1">
      <x:c r="J856" s="37"/>
    </x:row>
    <x:row r="857" ht="15.75" customHeight="1">
      <x:c r="J857" s="37"/>
    </x:row>
    <x:row r="858" ht="15.75" customHeight="1">
      <x:c r="J858" s="37"/>
    </x:row>
    <x:row r="859" ht="15.75" customHeight="1">
      <x:c r="J859" s="37"/>
    </x:row>
    <x:row r="860" ht="15.75" customHeight="1">
      <x:c r="J860" s="37"/>
    </x:row>
    <x:row r="861" ht="15.75" customHeight="1">
      <x:c r="J861" s="37"/>
    </x:row>
    <x:row r="862" ht="15.75" customHeight="1">
      <x:c r="J862" s="37"/>
    </x:row>
    <x:row r="863" ht="15.75" customHeight="1">
      <x:c r="J863" s="37"/>
    </x:row>
    <x:row r="864" ht="15.75" customHeight="1">
      <x:c r="J864" s="37"/>
    </x:row>
    <x:row r="865" ht="15.75" customHeight="1">
      <x:c r="J865" s="37"/>
    </x:row>
    <x:row r="866" ht="15.75" customHeight="1">
      <x:c r="J866" s="37"/>
    </x:row>
    <x:row r="867" ht="15.75" customHeight="1">
      <x:c r="J867" s="37"/>
    </x:row>
    <x:row r="868" ht="15.75" customHeight="1">
      <x:c r="J868" s="37"/>
    </x:row>
    <x:row r="869" ht="15.75" customHeight="1">
      <x:c r="J869" s="37"/>
    </x:row>
    <x:row r="870" ht="15.75" customHeight="1">
      <x:c r="J870" s="37"/>
    </x:row>
    <x:row r="871" ht="15.75" customHeight="1">
      <x:c r="J871" s="37"/>
    </x:row>
    <x:row r="872" ht="15.75" customHeight="1">
      <x:c r="J872" s="37"/>
    </x:row>
    <x:row r="873" ht="15.75" customHeight="1">
      <x:c r="J873" s="37"/>
    </x:row>
    <x:row r="874" ht="15.75" customHeight="1">
      <x:c r="J874" s="37"/>
    </x:row>
    <x:row r="875" ht="15.75" customHeight="1">
      <x:c r="J875" s="37"/>
    </x:row>
    <x:row r="876" ht="15.75" customHeight="1">
      <x:c r="J876" s="37"/>
    </x:row>
    <x:row r="877" ht="15.75" customHeight="1">
      <x:c r="J877" s="37"/>
    </x:row>
    <x:row r="878" ht="15.75" customHeight="1">
      <x:c r="J878" s="37"/>
    </x:row>
    <x:row r="879" ht="15.75" customHeight="1">
      <x:c r="J879" s="37"/>
    </x:row>
    <x:row r="880" ht="15.75" customHeight="1">
      <x:c r="J880" s="37"/>
    </x:row>
    <x:row r="881" ht="15.75" customHeight="1">
      <x:c r="J881" s="37"/>
    </x:row>
    <x:row r="882" ht="15.75" customHeight="1">
      <x:c r="J882" s="37"/>
    </x:row>
    <x:row r="883" ht="15.75" customHeight="1">
      <x:c r="J883" s="37"/>
    </x:row>
    <x:row r="884" ht="15.75" customHeight="1">
      <x:c r="J884" s="37"/>
    </x:row>
    <x:row r="885" ht="15.75" customHeight="1">
      <x:c r="J885" s="37"/>
    </x:row>
    <x:row r="886" ht="15.75" customHeight="1">
      <x:c r="J886" s="37"/>
    </x:row>
    <x:row r="887" ht="15.75" customHeight="1">
      <x:c r="J887" s="37"/>
    </x:row>
    <x:row r="888" ht="15.75" customHeight="1">
      <x:c r="J888" s="37"/>
    </x:row>
    <x:row r="889" ht="15.75" customHeight="1">
      <x:c r="J889" s="37"/>
    </x:row>
    <x:row r="890" ht="15.75" customHeight="1">
      <x:c r="J890" s="37"/>
    </x:row>
    <x:row r="891" ht="15.75" customHeight="1">
      <x:c r="J891" s="37"/>
    </x:row>
    <x:row r="892" ht="15.75" customHeight="1">
      <x:c r="J892" s="37"/>
    </x:row>
    <x:row r="893" ht="15.75" customHeight="1">
      <x:c r="J893" s="37"/>
    </x:row>
    <x:row r="894" ht="15.75" customHeight="1">
      <x:c r="J894" s="37"/>
    </x:row>
    <x:row r="895" ht="15.75" customHeight="1">
      <x:c r="J895" s="37"/>
    </x:row>
    <x:row r="896" ht="15.75" customHeight="1">
      <x:c r="J896" s="37"/>
    </x:row>
    <x:row r="897" ht="15.75" customHeight="1">
      <x:c r="J897" s="37"/>
    </x:row>
    <x:row r="898" ht="15.75" customHeight="1">
      <x:c r="J898" s="37"/>
    </x:row>
    <x:row r="899" ht="15.75" customHeight="1">
      <x:c r="J899" s="37"/>
    </x:row>
    <x:row r="900" ht="15.75" customHeight="1">
      <x:c r="J900" s="37"/>
    </x:row>
    <x:row r="901" ht="15.75" customHeight="1">
      <x:c r="J901" s="37"/>
    </x:row>
    <x:row r="902" ht="15.75" customHeight="1">
      <x:c r="J902" s="37"/>
    </x:row>
    <x:row r="903" ht="15.75" customHeight="1">
      <x:c r="J903" s="37"/>
    </x:row>
    <x:row r="904" ht="15.75" customHeight="1">
      <x:c r="J904" s="37"/>
    </x:row>
    <x:row r="905" ht="15.75" customHeight="1">
      <x:c r="J905" s="37"/>
    </x:row>
    <x:row r="906" ht="15.75" customHeight="1">
      <x:c r="J906" s="37"/>
    </x:row>
    <x:row r="907" ht="15.75" customHeight="1">
      <x:c r="J907" s="37"/>
    </x:row>
    <x:row r="908" ht="15.75" customHeight="1">
      <x:c r="J908" s="37"/>
    </x:row>
    <x:row r="909" ht="15.75" customHeight="1">
      <x:c r="J909" s="37"/>
    </x:row>
    <x:row r="910" ht="15.75" customHeight="1">
      <x:c r="J910" s="37"/>
    </x:row>
    <x:row r="911" ht="15.75" customHeight="1">
      <x:c r="J911" s="37"/>
    </x:row>
    <x:row r="912" ht="15.75" customHeight="1">
      <x:c r="J912" s="37"/>
    </x:row>
    <x:row r="913" ht="15.75" customHeight="1">
      <x:c r="J913" s="37"/>
    </x:row>
    <x:row r="914" ht="15.75" customHeight="1">
      <x:c r="J914" s="37"/>
    </x:row>
    <x:row r="915" ht="15.75" customHeight="1">
      <x:c r="J915" s="37"/>
    </x:row>
    <x:row r="916" ht="15.75" customHeight="1">
      <x:c r="J916" s="37"/>
    </x:row>
    <x:row r="917" ht="15.75" customHeight="1">
      <x:c r="J917" s="37"/>
    </x:row>
    <x:row r="918" ht="15.75" customHeight="1">
      <x:c r="J918" s="37"/>
    </x:row>
    <x:row r="919" ht="15.75" customHeight="1">
      <x:c r="J919" s="37"/>
    </x:row>
    <x:row r="920" ht="15.75" customHeight="1">
      <x:c r="J920" s="37"/>
    </x:row>
    <x:row r="921" ht="15.75" customHeight="1">
      <x:c r="J921" s="37"/>
    </x:row>
    <x:row r="922" ht="15.75" customHeight="1">
      <x:c r="J922" s="37"/>
    </x:row>
    <x:row r="923" ht="15.75" customHeight="1">
      <x:c r="J923" s="37"/>
    </x:row>
    <x:row r="924" ht="15.75" customHeight="1">
      <x:c r="J924" s="37"/>
    </x:row>
    <x:row r="925" ht="15.75" customHeight="1">
      <x:c r="J925" s="37"/>
    </x:row>
    <x:row r="926" ht="15.75" customHeight="1">
      <x:c r="J926" s="37"/>
    </x:row>
    <x:row r="927" ht="15.75" customHeight="1">
      <x:c r="J927" s="37"/>
    </x:row>
    <x:row r="928" ht="15.75" customHeight="1">
      <x:c r="J928" s="37"/>
    </x:row>
    <x:row r="929" ht="15.75" customHeight="1">
      <x:c r="J929" s="37"/>
    </x:row>
    <x:row r="930" ht="15.75" customHeight="1">
      <x:c r="J930" s="37"/>
    </x:row>
    <x:row r="931" ht="15.75" customHeight="1">
      <x:c r="J931" s="37"/>
    </x:row>
    <x:row r="932" ht="15.75" customHeight="1">
      <x:c r="J932" s="37"/>
    </x:row>
    <x:row r="933" ht="15.75" customHeight="1">
      <x:c r="J933" s="37"/>
    </x:row>
    <x:row r="934" ht="15.75" customHeight="1">
      <x:c r="J934" s="37"/>
    </x:row>
    <x:row r="935" ht="15.75" customHeight="1">
      <x:c r="J935" s="37"/>
    </x:row>
    <x:row r="936" ht="15.75" customHeight="1">
      <x:c r="J936" s="37"/>
    </x:row>
    <x:row r="937" ht="15.75" customHeight="1">
      <x:c r="J937" s="37"/>
    </x:row>
    <x:row r="938" ht="15.75" customHeight="1">
      <x:c r="J938" s="37"/>
    </x:row>
    <x:row r="939" ht="15.75" customHeight="1">
      <x:c r="J939" s="37"/>
    </x:row>
    <x:row r="940" ht="15.75" customHeight="1">
      <x:c r="J940" s="37"/>
    </x:row>
    <x:row r="941" ht="15.75" customHeight="1">
      <x:c r="J941" s="37"/>
    </x:row>
    <x:row r="942" ht="15.75" customHeight="1">
      <x:c r="J942" s="37"/>
    </x:row>
    <x:row r="943" ht="15.75" customHeight="1">
      <x:c r="J943" s="37"/>
    </x:row>
    <x:row r="944" ht="15.75" customHeight="1">
      <x:c r="J944" s="37"/>
    </x:row>
    <x:row r="945" ht="15.75" customHeight="1">
      <x:c r="J945" s="37"/>
    </x:row>
    <x:row r="946" ht="15.75" customHeight="1">
      <x:c r="J946" s="37"/>
    </x:row>
    <x:row r="947" ht="15.75" customHeight="1">
      <x:c r="J947" s="37"/>
    </x:row>
    <x:row r="948" ht="15.75" customHeight="1">
      <x:c r="J948" s="37"/>
    </x:row>
    <x:row r="949" ht="15.75" customHeight="1">
      <x:c r="J949" s="37"/>
    </x:row>
    <x:row r="950" ht="15.75" customHeight="1">
      <x:c r="J950" s="37"/>
    </x:row>
    <x:row r="951" ht="15.75" customHeight="1">
      <x:c r="J951" s="37"/>
    </x:row>
    <x:row r="952" ht="15.75" customHeight="1">
      <x:c r="J952" s="37"/>
    </x:row>
    <x:row r="953" ht="15.75" customHeight="1">
      <x:c r="J953" s="37"/>
    </x:row>
    <x:row r="954" ht="15.75" customHeight="1">
      <x:c r="J954" s="37"/>
    </x:row>
    <x:row r="955" ht="15.75" customHeight="1">
      <x:c r="J955" s="37"/>
    </x:row>
    <x:row r="956" ht="15.75" customHeight="1">
      <x:c r="J956" s="37"/>
    </x:row>
    <x:row r="957" ht="15.75" customHeight="1">
      <x:c r="J957" s="37"/>
    </x:row>
    <x:row r="958" ht="15.75" customHeight="1">
      <x:c r="J958" s="37"/>
    </x:row>
    <x:row r="959" ht="15.75" customHeight="1">
      <x:c r="J959" s="37"/>
    </x:row>
    <x:row r="960" ht="15.75" customHeight="1">
      <x:c r="J960" s="37"/>
    </x:row>
    <x:row r="961" ht="15.75" customHeight="1">
      <x:c r="J961" s="37"/>
    </x:row>
    <x:row r="962" ht="15.75" customHeight="1">
      <x:c r="J962" s="37"/>
    </x:row>
    <x:row r="963" ht="15.75" customHeight="1">
      <x:c r="J963" s="37"/>
    </x:row>
    <x:row r="964" ht="15.75" customHeight="1">
      <x:c r="J964" s="37"/>
    </x:row>
    <x:row r="965" ht="15.75" customHeight="1">
      <x:c r="J965" s="37"/>
    </x:row>
    <x:row r="966" ht="15.75" customHeight="1">
      <x:c r="J966" s="37"/>
    </x:row>
    <x:row r="967" ht="15.75" customHeight="1">
      <x:c r="J967" s="37"/>
    </x:row>
    <x:row r="968" ht="15.75" customHeight="1">
      <x:c r="J968" s="37"/>
    </x:row>
    <x:row r="969" ht="15.75" customHeight="1">
      <x:c r="J969" s="37"/>
    </x:row>
    <x:row r="970" ht="15.75" customHeight="1">
      <x:c r="J970" s="37"/>
    </x:row>
    <x:row r="971" ht="15.75" customHeight="1">
      <x:c r="J971" s="37"/>
    </x:row>
    <x:row r="972" ht="15.75" customHeight="1">
      <x:c r="J972" s="37"/>
    </x:row>
    <x:row r="973" ht="15.75" customHeight="1">
      <x:c r="J973" s="37"/>
    </x:row>
    <x:row r="974" ht="15.75" customHeight="1">
      <x:c r="J974" s="37"/>
    </x:row>
    <x:row r="975" ht="15.75" customHeight="1">
      <x:c r="J975" s="37"/>
    </x:row>
    <x:row r="976" ht="15.75" customHeight="1">
      <x:c r="J976" s="37"/>
    </x:row>
    <x:row r="977" ht="15.75" customHeight="1">
      <x:c r="J977" s="37"/>
    </x:row>
    <x:row r="978" ht="15.75" customHeight="1">
      <x:c r="J978" s="37"/>
    </x:row>
    <x:row r="979" ht="15.75" customHeight="1">
      <x:c r="J979" s="37"/>
    </x:row>
    <x:row r="980" ht="15.75" customHeight="1">
      <x:c r="J980" s="37"/>
    </x:row>
    <x:row r="981" ht="15.75" customHeight="1">
      <x:c r="J981" s="37"/>
    </x:row>
    <x:row r="982" ht="15.75" customHeight="1">
      <x:c r="J982" s="37"/>
    </x:row>
    <x:row r="983" ht="15.75" customHeight="1">
      <x:c r="J983" s="37"/>
    </x:row>
    <x:row r="984" ht="15.75" customHeight="1">
      <x:c r="J984" s="37"/>
    </x:row>
    <x:row r="985" ht="15.75" customHeight="1">
      <x:c r="J985" s="37"/>
    </x:row>
    <x:row r="986" ht="15.75" customHeight="1">
      <x:c r="J986" s="37"/>
    </x:row>
    <x:row r="987" ht="15.75" customHeight="1">
      <x:c r="J987" s="37"/>
    </x:row>
    <x:row r="988" ht="15.75" customHeight="1">
      <x:c r="J988" s="37"/>
    </x:row>
    <x:row r="989" ht="15.75" customHeight="1">
      <x:c r="J989" s="37"/>
    </x:row>
    <x:row r="990" ht="15.75" customHeight="1">
      <x:c r="J990" s="37"/>
    </x:row>
    <x:row r="991" ht="15.75" customHeight="1">
      <x:c r="J991" s="37"/>
    </x:row>
    <x:row r="992" ht="15.75" customHeight="1">
      <x:c r="J992" s="37"/>
    </x:row>
    <x:row r="993" ht="15.75" customHeight="1">
      <x:c r="J993" s="37"/>
    </x:row>
    <x:row r="994" ht="15.75" customHeight="1">
      <x:c r="J994" s="37"/>
    </x:row>
    <x:row r="995" ht="15.75" customHeight="1">
      <x:c r="J995" s="37"/>
    </x:row>
    <x:row r="996" ht="15.75" customHeight="1">
      <x:c r="J996" s="37"/>
    </x:row>
    <x:row r="997" ht="15.75" customHeight="1">
      <x:c r="J997" s="37"/>
    </x:row>
    <x:row r="998" ht="15.75" customHeight="1">
      <x:c r="J998" s="37"/>
    </x:row>
    <x:row r="999" ht="15.75" customHeight="1">
      <x:c r="J999" s="37"/>
    </x:row>
    <x:row r="1000" ht="15.75" customHeight="1">
      <x:c r="J1000" s="37"/>
    </x:row>
  </x:sheetData>
  <x:conditionalFormatting sqref="S2:T123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4.3984375" defaultRowHeight="15"/>
  <x:cols>
    <x:col min="1" max="1" width="23.19921875" customWidth="1"/>
    <x:col min="2" max="2" width="115" customWidth="1"/>
    <x:col min="3" max="3" width="10.3984375" customWidth="1"/>
    <x:col min="4" max="4" width="9.796875" customWidth="1"/>
    <x:col min="5" max="5" width="6.796875" customWidth="1"/>
    <x:col min="6" max="6" width="15.3984375" customWidth="1"/>
    <x:col min="7" max="7" width="14.19921875" customWidth="1"/>
    <x:col min="8" max="8" width="13.796875" customWidth="1"/>
    <x:col min="9" max="9" width="48" customWidth="1"/>
    <x:col min="10" max="10" width="14.19921875" customWidth="1"/>
    <x:col min="11" max="11" width="19.796875" customWidth="1"/>
    <x:col min="12" max="12" width="12.796875" customWidth="1"/>
  </x:cols>
  <x:sheetData>
    <x:row r="1">
      <x:c r="A1" s="2"/>
      <x:c r="B1" s="5"/>
      <x:c r="C1" s="5"/>
      <x:c r="D1" s="5"/>
      <x:c r="E1" s="2"/>
      <x:c r="F1" s="5"/>
      <x:c r="G1" s="5"/>
      <x:c r="H1" s="5"/>
      <x:c r="I1" s="5"/>
      <x:c r="J1" s="8" t="s">
        <x:v>202</x:v>
      </x:c>
      <x:c r="K1" s="8" t="s">
        <x:v>203</x:v>
      </x:c>
      <x:c r="L1" s="8" t="s">
        <x:v>204</x:v>
      </x:c>
    </x:row>
    <x:row r="2">
      <x:c r="A2" s="11" t="s">
        <x:v>205</x:v>
      </x:c>
      <x:c r="B2" s="13" t="s">
        <x:v>206</x:v>
      </x:c>
      <x:c r="C2" s="13" t="s">
        <x:v>207</x:v>
      </x:c>
      <x:c r="D2" s="13" t="s">
        <x:v>208</x:v>
      </x:c>
      <x:c r="E2" s="11" t="s">
        <x:v>209</x:v>
      </x:c>
      <x:c r="F2" s="13" t="s">
        <x:v>210</x:v>
      </x:c>
      <x:c r="G2" s="13" t="s">
        <x:v>211</x:v>
      </x:c>
      <x:c r="H2" s="16" t="s">
        <x:v>212</x:v>
      </x:c>
      <x:c r="I2" s="13" t="s">
        <x:v>213</x:v>
      </x:c>
      <x:c r="J2" s="13" t="s">
        <x:v>214</x:v>
      </x:c>
      <x:c r="K2" s="13" t="s">
        <x:v>215</x:v>
      </x:c>
      <x:c r="L2" s="13" t="s">
        <x:v>216</x:v>
      </x:c>
    </x:row>
    <x:row r="3">
      <x:c r="A3" s="18" t="s">
        <x:v>217</x:v>
      </x:c>
      <x:c r="B3" s="19" t="s">
        <x:v>218</x:v>
      </x:c>
      <x:c r="C3" s="20">
        <x:v>84289090</x:v>
      </x:c>
      <x:c r="D3" s="20">
        <x:v>32</x:v>
      </x:c>
      <x:c r="E3" s="18"/>
      <x:c r="F3" s="19" t="s">
        <x:v>87</x:v>
      </x:c>
      <x:c r="G3" s="20">
        <x:v>0</x:v>
      </x:c>
      <x:c r="H3" s="20">
        <x:v>180</x:v>
      </x:c>
      <x:c r="I3" s="21"/>
      <x:c r="J3" s="22">
        <x:v>0</x:v>
      </x:c>
      <x:c r="K3" s="22">
        <x:v>0</x:v>
      </x:c>
      <x:c r="L3" s="23">
        <x:v>0</x:v>
      </x:c>
    </x:row>
    <x:row r="4">
      <x:c r="A4" s="18" t="s">
        <x:v>219</x:v>
      </x:c>
      <x:c r="B4" s="19" t="s">
        <x:v>220</x:v>
      </x:c>
      <x:c r="C4" s="20">
        <x:v>39241090</x:v>
      </x:c>
      <x:c r="D4" s="20">
        <x:v>700</x:v>
      </x:c>
      <x:c r="E4" s="18"/>
      <x:c r="F4" s="19" t="s">
        <x:v>11</x:v>
      </x:c>
      <x:c r="G4" s="20">
        <x:v>0</x:v>
      </x:c>
      <x:c r="H4" s="21"/>
      <x:c r="I4" s="21"/>
      <x:c r="J4" s="22">
        <x:v>0</x:v>
      </x:c>
      <x:c r="K4" s="22">
        <x:v>0</x:v>
      </x:c>
      <x:c r="L4" s="23">
        <x:v>0</x:v>
      </x:c>
    </x:row>
    <x:row r="5">
      <x:c r="A5" s="18" t="s">
        <x:v>221</x:v>
      </x:c>
      <x:c r="B5" s="19" t="s">
        <x:v>222</x:v>
      </x:c>
      <x:c r="C5" s="20">
        <x:v>44034200</x:v>
      </x:c>
      <x:c r="D5" s="20">
        <x:v>421650</x:v>
      </x:c>
      <x:c r="E5" s="18"/>
      <x:c r="F5" s="19" t="s">
        <x:v>11</x:v>
      </x:c>
      <x:c r="G5" s="20">
        <x:v>0</x:v>
      </x:c>
      <x:c r="H5" s="21"/>
      <x:c r="I5" s="21"/>
      <x:c r="J5" s="22">
        <x:v>0</x:v>
      </x:c>
      <x:c r="K5" s="22">
        <x:v>0</x:v>
      </x:c>
      <x:c r="L5" s="23">
        <x:v>0</x:v>
      </x:c>
    </x:row>
    <x:row r="6">
      <x:c r="A6" s="18" t="s">
        <x:v>223</x:v>
      </x:c>
      <x:c r="B6" s="19" t="s">
        <x:v>224</x:v>
      </x:c>
      <x:c r="C6" s="20">
        <x:v>84279000</x:v>
      </x:c>
      <x:c r="D6" s="20">
        <x:v>0</x:v>
      </x:c>
      <x:c r="E6" s="18"/>
      <x:c r="F6" s="19" t="s">
        <x:v>87</x:v>
      </x:c>
      <x:c r="G6" s="20">
        <x:v>0</x:v>
      </x:c>
      <x:c r="H6" s="21"/>
      <x:c r="I6" s="21"/>
      <x:c r="J6" s="22">
        <x:v>0</x:v>
      </x:c>
      <x:c r="K6" s="22">
        <x:v>0</x:v>
      </x:c>
      <x:c r="L6" s="23">
        <x:v>0</x:v>
      </x:c>
    </x:row>
    <x:row r="7">
      <x:c r="A7" s="18" t="s">
        <x:v>225</x:v>
      </x:c>
      <x:c r="B7" s="19" t="s">
        <x:v>226</x:v>
      </x:c>
      <x:c r="C7" s="20">
        <x:v>39249090</x:v>
      </x:c>
      <x:c r="D7" s="20">
        <x:v>188.78</x:v>
      </x:c>
      <x:c r="E7" s="18" t="s">
        <x:v>227</x:v>
      </x:c>
      <x:c r="F7" s="19" t="s">
        <x:v>11</x:v>
      </x:c>
      <x:c r="G7" s="20">
        <x:v>32</x:v>
      </x:c>
      <x:c r="H7" s="20">
        <x:v>52.95</x:v>
      </x:c>
      <x:c r="I7" s="26" t="s">
        <x:v>228</x:v>
      </x:c>
      <x:c r="J7" s="22">
        <x:v>0</x:v>
      </x:c>
      <x:c r="K7" s="22">
        <x:v>0</x:v>
      </x:c>
      <x:c r="L7" s="23">
        <x:v>0</x:v>
      </x:c>
    </x:row>
    <x:row r="8">
      <x:c r="A8" s="18" t="s">
        <x:v>229</x:v>
      </x:c>
      <x:c r="B8" s="19" t="s">
        <x:v>230</x:v>
      </x:c>
      <x:c r="C8" s="20">
        <x:v>39249090</x:v>
      </x:c>
      <x:c r="D8" s="20">
        <x:v>303.22000000000003</x:v>
      </x:c>
      <x:c r="E8" s="18" t="s">
        <x:v>227</x:v>
      </x:c>
      <x:c r="F8" s="19" t="s">
        <x:v>11</x:v>
      </x:c>
      <x:c r="G8" s="20">
        <x:v>34</x:v>
      </x:c>
      <x:c r="H8" s="20">
        <x:v>117.3</x:v>
      </x:c>
      <x:c r="I8" s="21" t="s">
        <x:v>228</x:v>
      </x:c>
      <x:c r="J8" s="23">
        <x:v>366</x:v>
      </x:c>
      <x:c r="K8" s="23">
        <x:v>12444</x:v>
      </x:c>
      <x:c r="L8" s="23">
        <x:v>366</x:v>
      </x:c>
    </x:row>
    <x:row r="9">
      <x:c r="A9" s="18" t="s">
        <x:v>231</x:v>
      </x:c>
      <x:c r="B9" s="19" t="s">
        <x:v>232</x:v>
      </x:c>
      <x:c r="C9" s="20">
        <x:v>73269099</x:v>
      </x:c>
      <x:c r="D9" s="20">
        <x:v>291.47000000000003</x:v>
      </x:c>
      <x:c r="E9" s="18" t="s">
        <x:v>227</x:v>
      </x:c>
      <x:c r="F9" s="19" t="s">
        <x:v>11</x:v>
      </x:c>
      <x:c r="G9" s="20">
        <x:v>950</x:v>
      </x:c>
      <x:c r="H9" s="20">
        <x:v>0</x:v>
      </x:c>
      <x:c r="I9" s="26" t="s">
        <x:v>233</x:v>
      </x:c>
      <x:c r="J9" s="22">
        <x:v>0</x:v>
      </x:c>
      <x:c r="K9" s="22">
        <x:v>0</x:v>
      </x:c>
      <x:c r="L9" s="23">
        <x:v>0</x:v>
      </x:c>
    </x:row>
    <x:row r="10">
      <x:c r="A10" s="18" t="s">
        <x:v>234</x:v>
      </x:c>
      <x:c r="B10" s="19" t="s">
        <x:v>235</x:v>
      </x:c>
      <x:c r="C10" s="20">
        <x:v>39073010</x:v>
      </x:c>
      <x:c r="D10" s="20">
        <x:v>47.5</x:v>
      </x:c>
      <x:c r="E10" s="18" t="s">
        <x:v>227</x:v>
      </x:c>
      <x:c r="F10" s="19" t="s">
        <x:v>236</x:v>
      </x:c>
      <x:c r="G10" s="20">
        <x:v>0</x:v>
      </x:c>
      <x:c r="H10" s="21"/>
      <x:c r="I10" s="21"/>
      <x:c r="J10" s="22">
        <x:v>0</x:v>
      </x:c>
      <x:c r="K10" s="22">
        <x:v>0</x:v>
      </x:c>
      <x:c r="L10" s="23">
        <x:v>0</x:v>
      </x:c>
    </x:row>
    <x:row r="11">
      <x:c r="A11" s="18" t="s">
        <x:v>237</x:v>
      </x:c>
      <x:c r="B11" s="19" t="s">
        <x:v>238</x:v>
      </x:c>
      <x:c r="C11" s="20">
        <x:v>76012090</x:v>
      </x:c>
      <x:c r="D11" s="20">
        <x:v>1636.07</x:v>
      </x:c>
      <x:c r="E11" s="18" t="s">
        <x:v>227</x:v>
      </x:c>
      <x:c r="F11" s="19" t="s">
        <x:v>11</x:v>
      </x:c>
      <x:c r="G11" s="20">
        <x:v>0</x:v>
      </x:c>
      <x:c r="H11" s="20">
        <x:v>0.25</x:v>
      </x:c>
      <x:c r="I11" s="21"/>
      <x:c r="J11" s="22">
        <x:v>0</x:v>
      </x:c>
      <x:c r="K11" s="22">
        <x:v>0</x:v>
      </x:c>
      <x:c r="L11" s="23">
        <x:v>0</x:v>
      </x:c>
    </x:row>
    <x:row r="12">
      <x:c r="A12" s="18" t="s">
        <x:v>239</x:v>
      </x:c>
      <x:c r="B12" s="19" t="s">
        <x:v>240</x:v>
      </x:c>
      <x:c r="C12" s="20">
        <x:v>76012090</x:v>
      </x:c>
      <x:c r="D12" s="20">
        <x:v>90.84</x:v>
      </x:c>
      <x:c r="E12" s="18" t="s">
        <x:v>227</x:v>
      </x:c>
      <x:c r="F12" s="19" t="s">
        <x:v>11</x:v>
      </x:c>
      <x:c r="G12" s="20">
        <x:v>0</x:v>
      </x:c>
      <x:c r="H12" s="20">
        <x:v>608.63</x:v>
      </x:c>
      <x:c r="I12" s="21"/>
      <x:c r="J12" s="22">
        <x:v>0</x:v>
      </x:c>
      <x:c r="K12" s="22">
        <x:v>0</x:v>
      </x:c>
      <x:c r="L12" s="23">
        <x:v>0</x:v>
      </x:c>
    </x:row>
    <x:row r="13">
      <x:c r="A13" s="18" t="s">
        <x:v>241</x:v>
      </x:c>
      <x:c r="B13" s="19" t="s">
        <x:v>242</x:v>
      </x:c>
      <x:c r="C13" s="20">
        <x:v>76042930</x:v>
      </x:c>
      <x:c r="D13" s="20">
        <x:v>3300.76</x:v>
      </x:c>
      <x:c r="E13" s="18" t="s">
        <x:v>227</x:v>
      </x:c>
      <x:c r="F13" s="19" t="s">
        <x:v>41</x:v>
      </x:c>
      <x:c r="G13" s="20">
        <x:v>216.55</x:v>
      </x:c>
      <x:c r="H13" s="20">
        <x:v>19.75</x:v>
      </x:c>
      <x:c r="I13" s="21"/>
      <x:c r="J13" s="23">
        <x:v>463.4</x:v>
      </x:c>
      <x:c r="K13" s="23">
        <x:v>100251.81</x:v>
      </x:c>
      <x:c r="L13" s="23">
        <x:v>212.2</x:v>
      </x:c>
    </x:row>
    <x:row r="14">
      <x:c r="A14" s="18" t="s">
        <x:v>243</x:v>
      </x:c>
      <x:c r="B14" s="19" t="s">
        <x:v>244</x:v>
      </x:c>
      <x:c r="C14" s="20">
        <x:v>76042930</x:v>
      </x:c>
      <x:c r="D14" s="20">
        <x:v>1754.4</x:v>
      </x:c>
      <x:c r="E14" s="18" t="s">
        <x:v>227</x:v>
      </x:c>
      <x:c r="F14" s="19" t="s">
        <x:v>41</x:v>
      </x:c>
      <x:c r="G14" s="20">
        <x:v>407.5</x:v>
      </x:c>
      <x:c r="H14" s="21"/>
      <x:c r="I14" s="26" t="s">
        <x:v>245</x:v>
      </x:c>
      <x:c r="J14" s="22">
        <x:v>0</x:v>
      </x:c>
      <x:c r="K14" s="22">
        <x:v>0</x:v>
      </x:c>
      <x:c r="L14" s="23">
        <x:v>212.1</x:v>
      </x:c>
    </x:row>
    <x:row r="15">
      <x:c r="A15" s="18" t="s">
        <x:v>246</x:v>
      </x:c>
      <x:c r="B15" s="19" t="s">
        <x:v>247</x:v>
      </x:c>
      <x:c r="C15" s="20">
        <x:v>76012090</x:v>
      </x:c>
      <x:c r="D15" s="20">
        <x:v>417.09</x:v>
      </x:c>
      <x:c r="E15" s="18" t="s">
        <x:v>227</x:v>
      </x:c>
      <x:c r="F15" s="19" t="s">
        <x:v>236</x:v>
      </x:c>
      <x:c r="G15" s="20">
        <x:v>355</x:v>
      </x:c>
      <x:c r="H15" s="21"/>
      <x:c r="I15" s="21"/>
      <x:c r="J15" s="23">
        <x:v>18.920000000000002</x:v>
      </x:c>
      <x:c r="K15" s="23">
        <x:v>6716.6</x:v>
      </x:c>
      <x:c r="L15" s="23">
        <x:v>18.920000000000002</x:v>
      </x:c>
    </x:row>
    <x:row r="16">
      <x:c r="A16" s="18" t="s">
        <x:v>248</x:v>
      </x:c>
      <x:c r="B16" s="19" t="s">
        <x:v>249</x:v>
      </x:c>
      <x:c r="C16" s="20">
        <x:v>76012090</x:v>
      </x:c>
      <x:c r="D16" s="20">
        <x:v>372.63</x:v>
      </x:c>
      <x:c r="E16" s="18" t="s">
        <x:v>227</x:v>
      </x:c>
      <x:c r="F16" s="19" t="s">
        <x:v>11</x:v>
      </x:c>
      <x:c r="G16" s="20">
        <x:v>67.66</x:v>
      </x:c>
      <x:c r="H16" s="20">
        <x:v>130</x:v>
      </x:c>
      <x:c r="I16" s="21"/>
      <x:c r="J16" s="22">
        <x:v>0</x:v>
      </x:c>
      <x:c r="K16" s="22">
        <x:v>0</x:v>
      </x:c>
      <x:c r="L16" s="23">
        <x:v>16</x:v>
      </x:c>
    </x:row>
    <x:row r="17">
      <x:c r="A17" s="18" t="s">
        <x:v>250</x:v>
      </x:c>
      <x:c r="B17" s="19" t="s">
        <x:v>251</x:v>
      </x:c>
      <x:c r="C17" s="20">
        <x:v>76012090</x:v>
      </x:c>
      <x:c r="D17" s="20">
        <x:v>427.15</x:v>
      </x:c>
      <x:c r="E17" s="18" t="s">
        <x:v>227</x:v>
      </x:c>
      <x:c r="F17" s="19" t="s">
        <x:v>11</x:v>
      </x:c>
      <x:c r="G17" s="20">
        <x:v>76.59</x:v>
      </x:c>
      <x:c r="H17" s="20">
        <x:v>0</x:v>
      </x:c>
      <x:c r="I17" s="26" t="s">
        <x:v>252</x:v>
      </x:c>
      <x:c r="J17" s="22">
        <x:v>0</x:v>
      </x:c>
      <x:c r="K17" s="22">
        <x:v>0</x:v>
      </x:c>
      <x:c r="L17" s="23">
        <x:v>2</x:v>
      </x:c>
    </x:row>
    <x:row r="18">
      <x:c r="A18" s="18" t="s">
        <x:v>253</x:v>
      </x:c>
      <x:c r="B18" s="19" t="s">
        <x:v>254</x:v>
      </x:c>
      <x:c r="C18" s="20">
        <x:v>76012090</x:v>
      </x:c>
      <x:c r="D18" s="20">
        <x:v>457.17</x:v>
      </x:c>
      <x:c r="E18" s="18" t="s">
        <x:v>227</x:v>
      </x:c>
      <x:c r="F18" s="19" t="s">
        <x:v>11</x:v>
      </x:c>
      <x:c r="G18" s="20">
        <x:v>120</x:v>
      </x:c>
      <x:c r="H18" s="20">
        <x:v>0</x:v>
      </x:c>
      <x:c r="I18" s="26" t="s">
        <x:v>255</x:v>
      </x:c>
      <x:c r="J18" s="22">
        <x:v>0</x:v>
      </x:c>
      <x:c r="K18" s="22">
        <x:v>0</x:v>
      </x:c>
      <x:c r="L18" s="23">
        <x:v>100</x:v>
      </x:c>
    </x:row>
    <x:row r="19">
      <x:c r="A19" s="18" t="s">
        <x:v>256</x:v>
      </x:c>
      <x:c r="B19" s="19" t="s">
        <x:v>257</x:v>
      </x:c>
      <x:c r="C19" s="20">
        <x:v>76042930</x:v>
      </x:c>
      <x:c r="D19" s="20">
        <x:v>798.05</x:v>
      </x:c>
      <x:c r="E19" s="18" t="s">
        <x:v>227</x:v>
      </x:c>
      <x:c r="F19" s="19" t="s">
        <x:v>41</x:v>
      </x:c>
      <x:c r="G19" s="20">
        <x:v>0</x:v>
      </x:c>
      <x:c r="H19" s="20">
        <x:v>0</x:v>
      </x:c>
      <x:c r="I19" s="21"/>
      <x:c r="J19" s="22">
        <x:v>0</x:v>
      </x:c>
      <x:c r="K19" s="22">
        <x:v>0</x:v>
      </x:c>
      <x:c r="L19" s="23">
        <x:v>0</x:v>
      </x:c>
    </x:row>
    <x:row r="20">
      <x:c r="A20" s="18" t="s">
        <x:v>258</x:v>
      </x:c>
      <x:c r="B20" s="19" t="s">
        <x:v>259</x:v>
      </x:c>
      <x:c r="C20" s="20">
        <x:v>76042930</x:v>
      </x:c>
      <x:c r="D20" s="20">
        <x:v>517.62</x:v>
      </x:c>
      <x:c r="E20" s="18" t="s">
        <x:v>227</x:v>
      </x:c>
      <x:c r="F20" s="19" t="s">
        <x:v>11</x:v>
      </x:c>
      <x:c r="G20" s="20">
        <x:v>1636.1</x:v>
      </x:c>
      <x:c r="H20" s="20">
        <x:v>0</x:v>
      </x:c>
      <x:c r="I20" s="21"/>
      <x:c r="J20" s="23">
        <x:v>6</x:v>
      </x:c>
      <x:c r="K20" s="23">
        <x:v>9816.4</x:v>
      </x:c>
      <x:c r="L20" s="23">
        <x:v>6</x:v>
      </x:c>
    </x:row>
    <x:row r="21">
      <x:c r="A21" s="18" t="s">
        <x:v>260</x:v>
      </x:c>
      <x:c r="B21" s="19" t="s">
        <x:v>261</x:v>
      </x:c>
      <x:c r="C21" s="20">
        <x:v>76042930</x:v>
      </x:c>
      <x:c r="D21" s="20">
        <x:v>593.36</x:v>
      </x:c>
      <x:c r="E21" s="18" t="s">
        <x:v>227</x:v>
      </x:c>
      <x:c r="F21" s="19" t="s">
        <x:v>11</x:v>
      </x:c>
      <x:c r="G21" s="20">
        <x:v>0</x:v>
      </x:c>
      <x:c r="H21" s="20">
        <x:v>0</x:v>
      </x:c>
      <x:c r="I21" s="21"/>
      <x:c r="J21" s="22">
        <x:v>0</x:v>
      </x:c>
      <x:c r="K21" s="22">
        <x:v>0</x:v>
      </x:c>
      <x:c r="L21" s="23">
        <x:v>0</x:v>
      </x:c>
    </x:row>
    <x:row r="22">
      <x:c r="A22" s="18" t="s">
        <x:v>262</x:v>
      </x:c>
      <x:c r="B22" s="19" t="s">
        <x:v>263</x:v>
      </x:c>
      <x:c r="C22" s="20">
        <x:v>76042930</x:v>
      </x:c>
      <x:c r="D22" s="20">
        <x:v>49.81</x:v>
      </x:c>
      <x:c r="E22" s="18" t="s">
        <x:v>227</x:v>
      </x:c>
      <x:c r="F22" s="19" t="s">
        <x:v>11</x:v>
      </x:c>
      <x:c r="G22" s="20">
        <x:v>0</x:v>
      </x:c>
      <x:c r="H22" s="21"/>
      <x:c r="I22" s="21"/>
      <x:c r="J22" s="22">
        <x:v>0</x:v>
      </x:c>
      <x:c r="K22" s="22">
        <x:v>0</x:v>
      </x:c>
      <x:c r="L22" s="23">
        <x:v>0</x:v>
      </x:c>
    </x:row>
    <x:row r="23">
      <x:c r="A23" s="18" t="s">
        <x:v>264</x:v>
      </x:c>
      <x:c r="B23" s="19" t="s">
        <x:v>265</x:v>
      </x:c>
      <x:c r="C23" s="20">
        <x:v>76012090</x:v>
      </x:c>
      <x:c r="D23" s="20">
        <x:v>47.96</x:v>
      </x:c>
      <x:c r="E23" s="18" t="s">
        <x:v>227</x:v>
      </x:c>
      <x:c r="F23" s="19" t="s">
        <x:v>41</x:v>
      </x:c>
      <x:c r="G23" s="20">
        <x:v>0</x:v>
      </x:c>
      <x:c r="H23" s="21"/>
      <x:c r="I23" s="21"/>
      <x:c r="J23" s="22">
        <x:v>0</x:v>
      </x:c>
      <x:c r="K23" s="22">
        <x:v>0</x:v>
      </x:c>
      <x:c r="L23" s="23">
        <x:v>0</x:v>
      </x:c>
    </x:row>
    <x:row r="24">
      <x:c r="A24" s="18" t="s">
        <x:v>266</x:v>
      </x:c>
      <x:c r="B24" s="19" t="s">
        <x:v>267</x:v>
      </x:c>
      <x:c r="C24" s="20">
        <x:v>76042930</x:v>
      </x:c>
      <x:c r="D24" s="20">
        <x:v>57.09</x:v>
      </x:c>
      <x:c r="E24" s="18" t="s">
        <x:v>227</x:v>
      </x:c>
      <x:c r="F24" s="19" t="s">
        <x:v>41</x:v>
      </x:c>
      <x:c r="G24" s="20">
        <x:v>115.43</x:v>
      </x:c>
      <x:c r="H24" s="20">
        <x:v>6</x:v>
      </x:c>
      <x:c r="I24" s="26" t="s">
        <x:v>245</x:v>
      </x:c>
      <x:c r="J24" s="23">
        <x:v>1254</x:v>
      </x:c>
      <x:c r="K24" s="23">
        <x:v>133486.62</x:v>
      </x:c>
      <x:c r="L24" s="23">
        <x:v>0</x:v>
      </x:c>
    </x:row>
    <x:row r="25">
      <x:c r="A25" s="18" t="s">
        <x:v>268</x:v>
      </x:c>
      <x:c r="B25" s="19" t="s">
        <x:v>269</x:v>
      </x:c>
      <x:c r="C25" s="20">
        <x:v>76012090</x:v>
      </x:c>
      <x:c r="D25" s="20">
        <x:v>54.98</x:v>
      </x:c>
      <x:c r="E25" s="18" t="s">
        <x:v>227</x:v>
      </x:c>
      <x:c r="F25" s="19" t="s">
        <x:v>11</x:v>
      </x:c>
      <x:c r="G25" s="20">
        <x:v>0</x:v>
      </x:c>
      <x:c r="H25" s="20">
        <x:v>0</x:v>
      </x:c>
      <x:c r="I25" s="21"/>
      <x:c r="J25" s="23">
        <x:v>1</x:v>
      </x:c>
      <x:c r="K25" s="23">
        <x:v>2783.88</x:v>
      </x:c>
      <x:c r="L25" s="23">
        <x:v>0</x:v>
      </x:c>
    </x:row>
    <x:row r="26">
      <x:c r="A26" s="18" t="s">
        <x:v>270</x:v>
      </x:c>
      <x:c r="B26" s="19" t="s">
        <x:v>271</x:v>
      </x:c>
      <x:c r="C26" s="20">
        <x:v>76042930</x:v>
      </x:c>
      <x:c r="D26" s="20">
        <x:v>59.95</x:v>
      </x:c>
      <x:c r="E26" s="18" t="s">
        <x:v>227</x:v>
      </x:c>
      <x:c r="F26" s="19" t="s">
        <x:v>41</x:v>
      </x:c>
      <x:c r="G26" s="20">
        <x:v>119.78</x:v>
      </x:c>
      <x:c r="H26" s="20">
        <x:v>0</x:v>
      </x:c>
      <x:c r="I26" s="26" t="s">
        <x:v>272</x:v>
      </x:c>
      <x:c r="J26" s="22">
        <x:v>0</x:v>
      </x:c>
      <x:c r="K26" s="22">
        <x:v>0</x:v>
      </x:c>
      <x:c r="L26" s="23">
        <x:v>150</x:v>
      </x:c>
    </x:row>
    <x:row r="27">
      <x:c r="A27" s="18" t="s">
        <x:v>273</x:v>
      </x:c>
      <x:c r="B27" s="19" t="s">
        <x:v>274</x:v>
      </x:c>
      <x:c r="C27" s="20">
        <x:v>76012090</x:v>
      </x:c>
      <x:c r="D27" s="20">
        <x:v>57.73</x:v>
      </x:c>
      <x:c r="E27" s="18" t="s">
        <x:v>227</x:v>
      </x:c>
      <x:c r="F27" s="19" t="s">
        <x:v>11</x:v>
      </x:c>
      <x:c r="G27" s="20">
        <x:v>5330</x:v>
      </x:c>
      <x:c r="H27" s="20">
        <x:v>0</x:v>
      </x:c>
      <x:c r="I27" s="26" t="s">
        <x:v>275</x:v>
      </x:c>
      <x:c r="J27" s="22">
        <x:v>0</x:v>
      </x:c>
      <x:c r="K27" s="22">
        <x:v>0</x:v>
      </x:c>
      <x:c r="L27" s="23">
        <x:v>3</x:v>
      </x:c>
    </x:row>
    <x:row r="28">
      <x:c r="A28" s="18" t="s">
        <x:v>276</x:v>
      </x:c>
      <x:c r="B28" s="19" t="s">
        <x:v>277</x:v>
      </x:c>
      <x:c r="C28" s="20">
        <x:v>76012090</x:v>
      </x:c>
      <x:c r="D28" s="20">
        <x:v>123.23</x:v>
      </x:c>
      <x:c r="E28" s="18" t="s">
        <x:v>227</x:v>
      </x:c>
      <x:c r="F28" s="19" t="s">
        <x:v>11</x:v>
      </x:c>
      <x:c r="G28" s="20">
        <x:v>0</x:v>
      </x:c>
      <x:c r="H28" s="21"/>
      <x:c r="I28" s="21"/>
      <x:c r="J28" s="22">
        <x:v>0</x:v>
      </x:c>
      <x:c r="K28" s="22">
        <x:v>0</x:v>
      </x:c>
      <x:c r="L28" s="23">
        <x:v>18</x:v>
      </x:c>
    </x:row>
    <x:row r="29">
      <x:c r="A29" s="18" t="s">
        <x:v>278</x:v>
      </x:c>
      <x:c r="B29" s="19" t="s">
        <x:v>279</x:v>
      </x:c>
      <x:c r="C29" s="20">
        <x:v>76012090</x:v>
      </x:c>
      <x:c r="D29" s="20">
        <x:v>408.02</x:v>
      </x:c>
      <x:c r="E29" s="18" t="s">
        <x:v>227</x:v>
      </x:c>
      <x:c r="F29" s="19" t="s">
        <x:v>11</x:v>
      </x:c>
      <x:c r="G29" s="20">
        <x:v>0</x:v>
      </x:c>
      <x:c r="H29" s="20">
        <x:v>230</x:v>
      </x:c>
      <x:c r="I29" s="21"/>
      <x:c r="J29" s="22">
        <x:v>0</x:v>
      </x:c>
      <x:c r="K29" s="22">
        <x:v>0</x:v>
      </x:c>
      <x:c r="L29" s="23">
        <x:v>20</x:v>
      </x:c>
    </x:row>
    <x:row r="30">
      <x:c r="A30" s="18" t="s">
        <x:v>280</x:v>
      </x:c>
      <x:c r="B30" s="19" t="s">
        <x:v>281</x:v>
      </x:c>
      <x:c r="C30" s="20">
        <x:v>76012090</x:v>
      </x:c>
      <x:c r="D30" s="20">
        <x:v>255.44</x:v>
      </x:c>
      <x:c r="E30" s="18" t="s">
        <x:v>227</x:v>
      </x:c>
      <x:c r="F30" s="19" t="s">
        <x:v>11</x:v>
      </x:c>
      <x:c r="G30" s="20">
        <x:v>0</x:v>
      </x:c>
      <x:c r="H30" s="20">
        <x:v>0</x:v>
      </x:c>
      <x:c r="I30" s="21"/>
      <x:c r="J30" s="22">
        <x:v>0</x:v>
      </x:c>
      <x:c r="K30" s="22">
        <x:v>0</x:v>
      </x:c>
      <x:c r="L30" s="23">
        <x:v>23</x:v>
      </x:c>
    </x:row>
    <x:row r="31">
      <x:c r="A31" s="18" t="s">
        <x:v>282</x:v>
      </x:c>
      <x:c r="B31" s="19" t="s">
        <x:v>283</x:v>
      </x:c>
      <x:c r="C31" s="20">
        <x:v>76012090</x:v>
      </x:c>
      <x:c r="D31" s="20">
        <x:v>242.49</x:v>
      </x:c>
      <x:c r="E31" s="18" t="s">
        <x:v>227</x:v>
      </x:c>
      <x:c r="F31" s="19" t="s">
        <x:v>11</x:v>
      </x:c>
      <x:c r="G31" s="20">
        <x:v>0</x:v>
      </x:c>
      <x:c r="H31" s="20">
        <x:v>0</x:v>
      </x:c>
      <x:c r="I31" s="21"/>
      <x:c r="J31" s="22">
        <x:v>0</x:v>
      </x:c>
      <x:c r="K31" s="22">
        <x:v>0</x:v>
      </x:c>
      <x:c r="L31" s="23">
        <x:v>320</x:v>
      </x:c>
    </x:row>
    <x:row r="32">
      <x:c r="A32" s="18" t="s">
        <x:v>284</x:v>
      </x:c>
      <x:c r="B32" s="19" t="s">
        <x:v>285</x:v>
      </x:c>
      <x:c r="C32" s="20">
        <x:v>76012090</x:v>
      </x:c>
      <x:c r="D32" s="20">
        <x:v>151.82</x:v>
      </x:c>
      <x:c r="E32" s="18" t="s">
        <x:v>227</x:v>
      </x:c>
      <x:c r="F32" s="19" t="s">
        <x:v>11</x:v>
      </x:c>
      <x:c r="G32" s="20">
        <x:v>0</x:v>
      </x:c>
      <x:c r="H32" s="20">
        <x:v>0</x:v>
      </x:c>
      <x:c r="I32" s="21"/>
      <x:c r="J32" s="22">
        <x:v>0</x:v>
      </x:c>
      <x:c r="K32" s="22">
        <x:v>0</x:v>
      </x:c>
      <x:c r="L32" s="23">
        <x:v>0</x:v>
      </x:c>
    </x:row>
    <x:row r="33">
      <x:c r="A33" s="18" t="s">
        <x:v>286</x:v>
      </x:c>
      <x:c r="B33" s="19" t="s">
        <x:v>287</x:v>
      </x:c>
      <x:c r="C33" s="20">
        <x:v>76012090</x:v>
      </x:c>
      <x:c r="D33" s="20">
        <x:v>159.41</x:v>
      </x:c>
      <x:c r="E33" s="18" t="s">
        <x:v>227</x:v>
      </x:c>
      <x:c r="F33" s="19" t="s">
        <x:v>41</x:v>
      </x:c>
      <x:c r="G33" s="20">
        <x:v>0</x:v>
      </x:c>
      <x:c r="H33" s="20">
        <x:v>0</x:v>
      </x:c>
      <x:c r="I33" s="21"/>
      <x:c r="J33" s="22">
        <x:v>0</x:v>
      </x:c>
      <x:c r="K33" s="22">
        <x:v>0</x:v>
      </x:c>
      <x:c r="L33" s="23">
        <x:v>0</x:v>
      </x:c>
    </x:row>
    <x:row r="34">
      <x:c r="A34" s="18" t="s">
        <x:v>288</x:v>
      </x:c>
      <x:c r="B34" s="19" t="s">
        <x:v>289</x:v>
      </x:c>
      <x:c r="C34" s="20">
        <x:v>76012090</x:v>
      </x:c>
      <x:c r="D34" s="20">
        <x:v>267.32</x:v>
      </x:c>
      <x:c r="E34" s="18" t="s">
        <x:v>227</x:v>
      </x:c>
      <x:c r="F34" s="19" t="s">
        <x:v>41</x:v>
      </x:c>
      <x:c r="G34" s="20">
        <x:v>0</x:v>
      </x:c>
      <x:c r="H34" s="21"/>
      <x:c r="I34" s="21"/>
      <x:c r="J34" s="22">
        <x:v>0</x:v>
      </x:c>
      <x:c r="K34" s="22">
        <x:v>0</x:v>
      </x:c>
      <x:c r="L34" s="23">
        <x:v>0</x:v>
      </x:c>
    </x:row>
    <x:row r="35">
      <x:c r="A35" s="18" t="s">
        <x:v>290</x:v>
      </x:c>
      <x:c r="B35" s="19" t="s">
        <x:v>291</x:v>
      </x:c>
      <x:c r="C35" s="20">
        <x:v>76012090</x:v>
      </x:c>
      <x:c r="D35" s="20">
        <x:v>911.76</x:v>
      </x:c>
      <x:c r="E35" s="18" t="s">
        <x:v>227</x:v>
      </x:c>
      <x:c r="F35" s="19" t="s">
        <x:v>41</x:v>
      </x:c>
      <x:c r="G35" s="20">
        <x:v>0</x:v>
      </x:c>
      <x:c r="H35" s="20">
        <x:v>5.25</x:v>
      </x:c>
      <x:c r="I35" s="21"/>
      <x:c r="J35" s="22">
        <x:v>0</x:v>
      </x:c>
      <x:c r="K35" s="22">
        <x:v>0</x:v>
      </x:c>
      <x:c r="L35" s="23">
        <x:v>0</x:v>
      </x:c>
    </x:row>
    <x:row r="36">
      <x:c r="A36" s="18" t="s">
        <x:v>292</x:v>
      </x:c>
      <x:c r="B36" s="19" t="s">
        <x:v>293</x:v>
      </x:c>
      <x:c r="C36" s="20">
        <x:v>76012090</x:v>
      </x:c>
      <x:c r="D36" s="20">
        <x:v>1493.95</x:v>
      </x:c>
      <x:c r="E36" s="18" t="s">
        <x:v>227</x:v>
      </x:c>
      <x:c r="F36" s="19" t="s">
        <x:v>41</x:v>
      </x:c>
      <x:c r="G36" s="20">
        <x:v>0</x:v>
      </x:c>
      <x:c r="H36" s="20">
        <x:v>1.25</x:v>
      </x:c>
      <x:c r="I36" s="21"/>
      <x:c r="J36" s="22">
        <x:v>0</x:v>
      </x:c>
      <x:c r="K36" s="22">
        <x:v>0</x:v>
      </x:c>
      <x:c r="L36" s="23">
        <x:v>0</x:v>
      </x:c>
    </x:row>
    <x:row r="37">
      <x:c r="A37" s="18" t="s">
        <x:v>294</x:v>
      </x:c>
      <x:c r="B37" s="19" t="s">
        <x:v>295</x:v>
      </x:c>
      <x:c r="C37" s="20">
        <x:v>76012090</x:v>
      </x:c>
      <x:c r="D37" s="20">
        <x:v>1620.2</x:v>
      </x:c>
      <x:c r="E37" s="18" t="s">
        <x:v>227</x:v>
      </x:c>
      <x:c r="F37" s="19" t="s">
        <x:v>41</x:v>
      </x:c>
      <x:c r="G37" s="20">
        <x:v>0</x:v>
      </x:c>
      <x:c r="H37" s="20">
        <x:v>0</x:v>
      </x:c>
      <x:c r="I37" s="21"/>
      <x:c r="J37" s="22">
        <x:v>0</x:v>
      </x:c>
      <x:c r="K37" s="22">
        <x:v>0</x:v>
      </x:c>
      <x:c r="L37" s="23">
        <x:v>0</x:v>
      </x:c>
    </x:row>
    <x:row r="38">
      <x:c r="A38" s="18" t="s">
        <x:v>296</x:v>
      </x:c>
      <x:c r="B38" s="19" t="s">
        <x:v>297</x:v>
      </x:c>
      <x:c r="C38" s="20">
        <x:v>76012090</x:v>
      </x:c>
      <x:c r="D38" s="20">
        <x:v>1493.95</x:v>
      </x:c>
      <x:c r="E38" s="18" t="s">
        <x:v>227</x:v>
      </x:c>
      <x:c r="F38" s="19" t="s">
        <x:v>41</x:v>
      </x:c>
      <x:c r="G38" s="20">
        <x:v>1330</x:v>
      </x:c>
      <x:c r="H38" s="20">
        <x:v>4.5</x:v>
      </x:c>
      <x:c r="I38" s="26" t="s">
        <x:v>275</x:v>
      </x:c>
      <x:c r="J38" s="22">
        <x:v>0</x:v>
      </x:c>
      <x:c r="K38" s="22">
        <x:v>0</x:v>
      </x:c>
      <x:c r="L38" s="23">
        <x:v>0</x:v>
      </x:c>
    </x:row>
    <x:row r="39">
      <x:c r="A39" s="18" t="s">
        <x:v>298</x:v>
      </x:c>
      <x:c r="B39" s="19" t="s">
        <x:v>299</x:v>
      </x:c>
      <x:c r="C39" s="20">
        <x:v>76012090</x:v>
      </x:c>
      <x:c r="D39" s="20">
        <x:v>1636.04</x:v>
      </x:c>
      <x:c r="E39" s="18" t="s">
        <x:v>227</x:v>
      </x:c>
      <x:c r="F39" s="19" t="s">
        <x:v>236</x:v>
      </x:c>
      <x:c r="G39" s="20">
        <x:v>0</x:v>
      </x:c>
      <x:c r="H39" s="20">
        <x:v>0.5</x:v>
      </x:c>
      <x:c r="I39" s="21"/>
      <x:c r="J39" s="22">
        <x:v>0</x:v>
      </x:c>
      <x:c r="K39" s="22">
        <x:v>0</x:v>
      </x:c>
      <x:c r="L39" s="23">
        <x:v>0</x:v>
      </x:c>
    </x:row>
    <x:row r="40">
      <x:c r="A40" s="18" t="s">
        <x:v>300</x:v>
      </x:c>
      <x:c r="B40" s="19" t="s">
        <x:v>301</x:v>
      </x:c>
      <x:c r="C40" s="20">
        <x:v>76012090</x:v>
      </x:c>
      <x:c r="D40" s="20">
        <x:v>1620.2</x:v>
      </x:c>
      <x:c r="E40" s="18" t="s">
        <x:v>227</x:v>
      </x:c>
      <x:c r="F40" s="19" t="s">
        <x:v>236</x:v>
      </x:c>
      <x:c r="G40" s="20">
        <x:v>0</x:v>
      </x:c>
      <x:c r="H40" s="20">
        <x:v>0.25</x:v>
      </x:c>
      <x:c r="I40" s="21"/>
      <x:c r="J40" s="23">
        <x:v>15</x:v>
      </x:c>
      <x:c r="K40" s="23">
        <x:v>4770</x:v>
      </x:c>
      <x:c r="L40" s="23">
        <x:v>0</x:v>
      </x:c>
    </x:row>
    <x:row r="41">
      <x:c r="A41" s="18" t="s">
        <x:v>302</x:v>
      </x:c>
      <x:c r="B41" s="19" t="s">
        <x:v>303</x:v>
      </x:c>
      <x:c r="C41" s="20">
        <x:v>76012090</x:v>
      </x:c>
      <x:c r="D41" s="20">
        <x:v>3157.3</x:v>
      </x:c>
      <x:c r="E41" s="18" t="s">
        <x:v>227</x:v>
      </x:c>
      <x:c r="F41" s="19" t="s">
        <x:v>11</x:v>
      </x:c>
      <x:c r="G41" s="20">
        <x:v>0</x:v>
      </x:c>
      <x:c r="H41" s="20">
        <x:v>1.5</x:v>
      </x:c>
      <x:c r="I41" s="21"/>
      <x:c r="J41" s="23">
        <x:v>53</x:v>
      </x:c>
      <x:c r="K41" s="23">
        <x:v>4953.5</x:v>
      </x:c>
      <x:c r="L41" s="23">
        <x:v>58</x:v>
      </x:c>
    </x:row>
    <x:row r="42">
      <x:c r="A42" s="18" t="s">
        <x:v>304</x:v>
      </x:c>
      <x:c r="B42" s="19" t="s">
        <x:v>305</x:v>
      </x:c>
      <x:c r="C42" s="20">
        <x:v>76012090</x:v>
      </x:c>
      <x:c r="D42" s="20">
        <x:v>3157.3</x:v>
      </x:c>
      <x:c r="E42" s="18" t="s">
        <x:v>227</x:v>
      </x:c>
      <x:c r="F42" s="19" t="s">
        <x:v>11</x:v>
      </x:c>
      <x:c r="G42" s="20">
        <x:v>0</x:v>
      </x:c>
      <x:c r="H42" s="20">
        <x:v>1.5</x:v>
      </x:c>
      <x:c r="I42" s="21"/>
      <x:c r="J42" s="23">
        <x:v>82</x:v>
      </x:c>
      <x:c r="K42" s="23">
        <x:v>7027.4</x:v>
      </x:c>
      <x:c r="L42" s="23">
        <x:v>65</x:v>
      </x:c>
    </x:row>
    <x:row r="43">
      <x:c r="A43" s="18" t="s">
        <x:v>306</x:v>
      </x:c>
      <x:c r="B43" s="19" t="s">
        <x:v>307</x:v>
      </x:c>
      <x:c r="C43" s="20">
        <x:v>76012090</x:v>
      </x:c>
      <x:c r="D43" s="20">
        <x:v>263.05</x:v>
      </x:c>
      <x:c r="E43" s="18" t="s">
        <x:v>227</x:v>
      </x:c>
      <x:c r="F43" s="19" t="s">
        <x:v>11</x:v>
      </x:c>
      <x:c r="G43" s="20">
        <x:v>0</x:v>
      </x:c>
      <x:c r="H43" s="20">
        <x:v>9</x:v>
      </x:c>
      <x:c r="I43" s="21"/>
      <x:c r="J43" s="23">
        <x:v>13</x:v>
      </x:c>
      <x:c r="K43" s="23">
        <x:v>1199.9000000000001</x:v>
      </x:c>
      <x:c r="L43" s="23">
        <x:v>13</x:v>
      </x:c>
    </x:row>
    <x:row r="44">
      <x:c r="A44" s="18" t="s">
        <x:v>308</x:v>
      </x:c>
      <x:c r="B44" s="19" t="s">
        <x:v>309</x:v>
      </x:c>
      <x:c r="C44" s="20">
        <x:v>76012090</x:v>
      </x:c>
      <x:c r="D44" s="20">
        <x:v>301.54000000000002</x:v>
      </x:c>
      <x:c r="E44" s="18" t="s">
        <x:v>227</x:v>
      </x:c>
      <x:c r="F44" s="19" t="s">
        <x:v>11</x:v>
      </x:c>
      <x:c r="G44" s="20">
        <x:v>0</x:v>
      </x:c>
      <x:c r="H44" s="20">
        <x:v>0</x:v>
      </x:c>
      <x:c r="I44" s="21"/>
      <x:c r="J44" s="23">
        <x:v>11</x:v>
      </x:c>
      <x:c r="K44" s="23">
        <x:v>990</x:v>
      </x:c>
      <x:c r="L44" s="23">
        <x:v>2</x:v>
      </x:c>
    </x:row>
    <x:row r="45">
      <x:c r="A45" s="18" t="s">
        <x:v>310</x:v>
      </x:c>
      <x:c r="B45" s="19" t="s">
        <x:v>311</x:v>
      </x:c>
      <x:c r="C45" s="20">
        <x:v>76012090</x:v>
      </x:c>
      <x:c r="D45" s="20">
        <x:v>316.61</x:v>
      </x:c>
      <x:c r="E45" s="18" t="s">
        <x:v>227</x:v>
      </x:c>
      <x:c r="F45" s="19" t="s">
        <x:v>11</x:v>
      </x:c>
      <x:c r="G45" s="20">
        <x:v>0</x:v>
      </x:c>
      <x:c r="H45" s="20">
        <x:v>0</x:v>
      </x:c>
      <x:c r="I45" s="21"/>
      <x:c r="J45" s="23">
        <x:v>14</x:v>
      </x:c>
      <x:c r="K45" s="23">
        <x:v>1292.2</x:v>
      </x:c>
      <x:c r="L45" s="23">
        <x:v>14</x:v>
      </x:c>
    </x:row>
    <x:row r="46">
      <x:c r="A46" s="18" t="s">
        <x:v>312</x:v>
      </x:c>
      <x:c r="B46" s="19" t="s">
        <x:v>313</x:v>
      </x:c>
      <x:c r="C46" s="20">
        <x:v>76012090</x:v>
      </x:c>
      <x:c r="D46" s="20">
        <x:v>281.02999999999997</x:v>
      </x:c>
      <x:c r="E46" s="18" t="s">
        <x:v>227</x:v>
      </x:c>
      <x:c r="F46" s="19" t="s">
        <x:v>11</x:v>
      </x:c>
      <x:c r="G46" s="20">
        <x:v>0</x:v>
      </x:c>
      <x:c r="H46" s="20">
        <x:v>0</x:v>
      </x:c>
      <x:c r="I46" s="21"/>
      <x:c r="J46" s="23">
        <x:v>5</x:v>
      </x:c>
      <x:c r="K46" s="23">
        <x:v>1150</x:v>
      </x:c>
      <x:c r="L46" s="23">
        <x:v>20</x:v>
      </x:c>
    </x:row>
    <x:row r="47">
      <x:c r="A47" s="18" t="s">
        <x:v>314</x:v>
      </x:c>
      <x:c r="B47" s="19" t="s">
        <x:v>315</x:v>
      </x:c>
      <x:c r="C47" s="20">
        <x:v>76012090</x:v>
      </x:c>
      <x:c r="D47" s="20">
        <x:v>74.89</x:v>
      </x:c>
      <x:c r="E47" s="18" t="s">
        <x:v>227</x:v>
      </x:c>
      <x:c r="F47" s="19" t="s">
        <x:v>11</x:v>
      </x:c>
      <x:c r="G47" s="20">
        <x:v>0</x:v>
      </x:c>
      <x:c r="H47" s="21"/>
      <x:c r="I47" s="21"/>
      <x:c r="J47" s="23">
        <x:v>6</x:v>
      </x:c>
      <x:c r="K47" s="23">
        <x:v>1140</x:v>
      </x:c>
      <x:c r="L47" s="23">
        <x:v>9</x:v>
      </x:c>
    </x:row>
    <x:row r="48">
      <x:c r="A48" s="18" t="s">
        <x:v>316</x:v>
      </x:c>
      <x:c r="B48" s="19" t="s">
        <x:v>317</x:v>
      </x:c>
      <x:c r="C48" s="20">
        <x:v>76012090</x:v>
      </x:c>
      <x:c r="D48" s="20">
        <x:v>237.66</x:v>
      </x:c>
      <x:c r="E48" s="18" t="s">
        <x:v>227</x:v>
      </x:c>
      <x:c r="F48" s="19" t="s">
        <x:v>11</x:v>
      </x:c>
      <x:c r="G48" s="20">
        <x:v>0</x:v>
      </x:c>
      <x:c r="H48" s="20">
        <x:v>400</x:v>
      </x:c>
      <x:c r="I48" s="21"/>
      <x:c r="J48" s="23">
        <x:v>17</x:v>
      </x:c>
      <x:c r="K48" s="23">
        <x:v>2550</x:v>
      </x:c>
      <x:c r="L48" s="23">
        <x:v>1</x:v>
      </x:c>
    </x:row>
    <x:row r="49">
      <x:c r="A49" s="18" t="s">
        <x:v>318</x:v>
      </x:c>
      <x:c r="B49" s="19" t="s">
        <x:v>319</x:v>
      </x:c>
      <x:c r="C49" s="20">
        <x:v>76012090</x:v>
      </x:c>
      <x:c r="D49" s="20">
        <x:v>148.86000000000001</x:v>
      </x:c>
      <x:c r="E49" s="18" t="s">
        <x:v>227</x:v>
      </x:c>
      <x:c r="F49" s="19" t="s">
        <x:v>11</x:v>
      </x:c>
      <x:c r="G49" s="20">
        <x:v>0</x:v>
      </x:c>
      <x:c r="H49" s="20">
        <x:v>0</x:v>
      </x:c>
      <x:c r="I49" s="21"/>
      <x:c r="J49" s="23">
        <x:v>14</x:v>
      </x:c>
      <x:c r="K49" s="23">
        <x:v>1680</x:v>
      </x:c>
      <x:c r="L49" s="23">
        <x:v>14</x:v>
      </x:c>
    </x:row>
    <x:row r="50">
      <x:c r="A50" s="18" t="s">
        <x:v>320</x:v>
      </x:c>
      <x:c r="B50" s="19" t="s">
        <x:v>321</x:v>
      </x:c>
      <x:c r="C50" s="20">
        <x:v>76012090</x:v>
      </x:c>
      <x:c r="D50" s="20">
        <x:v>156.31</x:v>
      </x:c>
      <x:c r="E50" s="18" t="s">
        <x:v>227</x:v>
      </x:c>
      <x:c r="F50" s="19" t="s">
        <x:v>11</x:v>
      </x:c>
      <x:c r="G50" s="20">
        <x:v>0</x:v>
      </x:c>
      <x:c r="H50" s="20">
        <x:v>0</x:v>
      </x:c>
      <x:c r="I50" s="21"/>
      <x:c r="J50" s="23">
        <x:v>13</x:v>
      </x:c>
      <x:c r="K50" s="23">
        <x:v>1235</x:v>
      </x:c>
      <x:c r="L50" s="23">
        <x:v>14</x:v>
      </x:c>
    </x:row>
    <x:row r="51">
      <x:c r="A51" s="18" t="s">
        <x:v>322</x:v>
      </x:c>
      <x:c r="B51" s="19" t="s">
        <x:v>323</x:v>
      </x:c>
      <x:c r="C51" s="20">
        <x:v>76012090</x:v>
      </x:c>
      <x:c r="D51" s="20">
        <x:v>96</x:v>
      </x:c>
      <x:c r="E51" s="18" t="s">
        <x:v>227</x:v>
      </x:c>
      <x:c r="F51" s="19" t="s">
        <x:v>11</x:v>
      </x:c>
      <x:c r="G51" s="20">
        <x:v>0</x:v>
      </x:c>
      <x:c r="H51" s="20">
        <x:v>13.5</x:v>
      </x:c>
      <x:c r="I51" s="21"/>
      <x:c r="J51" s="23">
        <x:v>180</x:v>
      </x:c>
      <x:c r="K51" s="23">
        <x:v>8910</x:v>
      </x:c>
      <x:c r="L51" s="23">
        <x:v>144</x:v>
      </x:c>
    </x:row>
    <x:row r="52">
      <x:c r="A52" s="18" t="s">
        <x:v>324</x:v>
      </x:c>
      <x:c r="B52" s="19" t="s">
        <x:v>325</x:v>
      </x:c>
      <x:c r="C52" s="20">
        <x:v>76012090</x:v>
      </x:c>
      <x:c r="D52" s="20">
        <x:v>281</x:v>
      </x:c>
      <x:c r="E52" s="18" t="s">
        <x:v>227</x:v>
      </x:c>
      <x:c r="F52" s="19" t="s">
        <x:v>11</x:v>
      </x:c>
      <x:c r="G52" s="20">
        <x:v>0</x:v>
      </x:c>
      <x:c r="H52" s="20">
        <x:v>250</x:v>
      </x:c>
      <x:c r="I52" s="21"/>
      <x:c r="J52" s="23">
        <x:v>19</x:v>
      </x:c>
      <x:c r="K52" s="23">
        <x:v>1100</x:v>
      </x:c>
      <x:c r="L52" s="23">
        <x:v>23</x:v>
      </x:c>
    </x:row>
    <x:row r="53">
      <x:c r="A53" s="18" t="s">
        <x:v>326</x:v>
      </x:c>
      <x:c r="B53" s="19" t="s">
        <x:v>327</x:v>
      </x:c>
      <x:c r="C53" s="20">
        <x:v>76012090</x:v>
      </x:c>
      <x:c r="D53" s="20">
        <x:v>161.96</x:v>
      </x:c>
      <x:c r="E53" s="18" t="s">
        <x:v>227</x:v>
      </x:c>
      <x:c r="F53" s="19" t="s">
        <x:v>11</x:v>
      </x:c>
      <x:c r="G53" s="20">
        <x:v>0</x:v>
      </x:c>
      <x:c r="H53" s="20">
        <x:v>60.024999999999999</x:v>
      </x:c>
      <x:c r="I53" s="21"/>
      <x:c r="J53" s="23">
        <x:v>41</x:v>
      </x:c>
      <x:c r="K53" s="23">
        <x:v>2435</x:v>
      </x:c>
      <x:c r="L53" s="23">
        <x:v>42</x:v>
      </x:c>
    </x:row>
    <x:row r="54">
      <x:c r="A54" s="18" t="s">
        <x:v>328</x:v>
      </x:c>
      <x:c r="B54" s="19" t="s">
        <x:v>329</x:v>
      </x:c>
      <x:c r="C54" s="20">
        <x:v>76012090</x:v>
      </x:c>
      <x:c r="D54" s="20">
        <x:v>185.66</x:v>
      </x:c>
      <x:c r="E54" s="18" t="s">
        <x:v>227</x:v>
      </x:c>
      <x:c r="F54" s="19" t="s">
        <x:v>11</x:v>
      </x:c>
      <x:c r="G54" s="20">
        <x:v>0</x:v>
      </x:c>
      <x:c r="H54" s="20">
        <x:v>0</x:v>
      </x:c>
      <x:c r="I54" s="21"/>
      <x:c r="J54" s="23">
        <x:v>22</x:v>
      </x:c>
      <x:c r="K54" s="23">
        <x:v>8150</x:v>
      </x:c>
      <x:c r="L54" s="23">
        <x:v>17</x:v>
      </x:c>
    </x:row>
    <x:row r="55">
      <x:c r="A55" s="18" t="s">
        <x:v>330</x:v>
      </x:c>
      <x:c r="B55" s="19" t="s">
        <x:v>331</x:v>
      </x:c>
      <x:c r="C55" s="20">
        <x:v>76012090</x:v>
      </x:c>
      <x:c r="D55" s="20">
        <x:v>194.94</x:v>
      </x:c>
      <x:c r="E55" s="18" t="s">
        <x:v>227</x:v>
      </x:c>
      <x:c r="F55" s="19" t="s">
        <x:v>11</x:v>
      </x:c>
      <x:c r="G55" s="20">
        <x:v>0</x:v>
      </x:c>
      <x:c r="H55" s="20">
        <x:v>0</x:v>
      </x:c>
      <x:c r="I55" s="21"/>
      <x:c r="J55" s="23">
        <x:v>17</x:v>
      </x:c>
      <x:c r="K55" s="23">
        <x:v>1530</x:v>
      </x:c>
      <x:c r="L55" s="23">
        <x:v>17</x:v>
      </x:c>
    </x:row>
    <x:row r="56">
      <x:c r="A56" s="18" t="s">
        <x:v>332</x:v>
      </x:c>
      <x:c r="B56" s="19" t="s">
        <x:v>333</x:v>
      </x:c>
      <x:c r="C56" s="20">
        <x:v>76012090</x:v>
      </x:c>
      <x:c r="D56" s="20">
        <x:v>476.66</x:v>
      </x:c>
      <x:c r="E56" s="18" t="s">
        <x:v>227</x:v>
      </x:c>
      <x:c r="F56" s="19" t="s">
        <x:v>11</x:v>
      </x:c>
      <x:c r="G56" s="20">
        <x:v>0</x:v>
      </x:c>
      <x:c r="H56" s="21"/>
      <x:c r="I56" s="21"/>
      <x:c r="J56" s="23">
        <x:v>33</x:v>
      </x:c>
      <x:c r="K56" s="23">
        <x:v>9550</x:v>
      </x:c>
      <x:c r="L56" s="23">
        <x:v>21</x:v>
      </x:c>
    </x:row>
    <x:row r="57">
      <x:c r="A57" s="18" t="s">
        <x:v>334</x:v>
      </x:c>
      <x:c r="B57" s="19" t="s">
        <x:v>335</x:v>
      </x:c>
      <x:c r="C57" s="20">
        <x:v>76012090</x:v>
      </x:c>
      <x:c r="D57" s="20">
        <x:v>246.83</x:v>
      </x:c>
      <x:c r="E57" s="18" t="s">
        <x:v>227</x:v>
      </x:c>
      <x:c r="F57" s="19" t="s">
        <x:v>11</x:v>
      </x:c>
      <x:c r="G57" s="20">
        <x:v>0</x:v>
      </x:c>
      <x:c r="H57" s="20">
        <x:v>306</x:v>
      </x:c>
      <x:c r="I57" s="21"/>
      <x:c r="J57" s="23">
        <x:v>1142</x:v>
      </x:c>
      <x:c r="K57" s="23">
        <x:v>59002.8</x:v>
      </x:c>
      <x:c r="L57" s="23">
        <x:v>860</x:v>
      </x:c>
    </x:row>
    <x:row r="58">
      <x:c r="A58" s="18" t="s">
        <x:v>336</x:v>
      </x:c>
      <x:c r="B58" s="19" t="s">
        <x:v>337</x:v>
      </x:c>
      <x:c r="C58" s="20">
        <x:v>76012090</x:v>
      </x:c>
      <x:c r="D58" s="20">
        <x:v>269.13</x:v>
      </x:c>
      <x:c r="E58" s="18" t="s">
        <x:v>227</x:v>
      </x:c>
      <x:c r="F58" s="19" t="s">
        <x:v>11</x:v>
      </x:c>
      <x:c r="G58" s="20">
        <x:v>0</x:v>
      </x:c>
      <x:c r="H58" s="21"/>
      <x:c r="I58" s="21"/>
      <x:c r="J58" s="23">
        <x:v>13</x:v>
      </x:c>
      <x:c r="K58" s="23">
        <x:v>1199.9000000000001</x:v>
      </x:c>
      <x:c r="L58" s="23">
        <x:v>13</x:v>
      </x:c>
    </x:row>
    <x:row r="59">
      <x:c r="A59" s="18" t="s">
        <x:v>338</x:v>
      </x:c>
      <x:c r="B59" s="19" t="s">
        <x:v>339</x:v>
      </x:c>
      <x:c r="C59" s="20">
        <x:v>76012090</x:v>
      </x:c>
      <x:c r="D59" s="20">
        <x:v>72.8</x:v>
      </x:c>
      <x:c r="E59" s="18" t="s">
        <x:v>227</x:v>
      </x:c>
      <x:c r="F59" s="19" t="s">
        <x:v>11</x:v>
      </x:c>
      <x:c r="G59" s="20">
        <x:v>0</x:v>
      </x:c>
      <x:c r="H59" s="21"/>
      <x:c r="I59" s="21"/>
      <x:c r="J59" s="23">
        <x:v>10</x:v>
      </x:c>
      <x:c r="K59" s="23">
        <x:v>923</x:v>
      </x:c>
      <x:c r="L59" s="23">
        <x:v>10</x:v>
      </x:c>
    </x:row>
    <x:row r="60">
      <x:c r="A60" s="18" t="s">
        <x:v>340</x:v>
      </x:c>
      <x:c r="B60" s="19" t="s">
        <x:v>341</x:v>
      </x:c>
      <x:c r="C60" s="20">
        <x:v>76012090</x:v>
      </x:c>
      <x:c r="D60" s="20">
        <x:v>1856.91</x:v>
      </x:c>
      <x:c r="E60" s="18" t="s">
        <x:v>227</x:v>
      </x:c>
      <x:c r="F60" s="19" t="s">
        <x:v>11</x:v>
      </x:c>
      <x:c r="G60" s="20">
        <x:v>0</x:v>
      </x:c>
      <x:c r="H60" s="21"/>
      <x:c r="I60" s="21"/>
      <x:c r="J60" s="23">
        <x:v>146</x:v>
      </x:c>
      <x:c r="K60" s="23">
        <x:v>10950</x:v>
      </x:c>
      <x:c r="L60" s="23">
        <x:v>36</x:v>
      </x:c>
    </x:row>
    <x:row r="61">
      <x:c r="A61" s="18" t="s">
        <x:v>342</x:v>
      </x:c>
      <x:c r="B61" s="19" t="s">
        <x:v>343</x:v>
      </x:c>
      <x:c r="C61" s="20">
        <x:v>76012090</x:v>
      </x:c>
      <x:c r="D61" s="20">
        <x:v>615.4</x:v>
      </x:c>
      <x:c r="E61" s="18" t="s">
        <x:v>227</x:v>
      </x:c>
      <x:c r="F61" s="19" t="s">
        <x:v>11</x:v>
      </x:c>
      <x:c r="G61" s="20">
        <x:v>0</x:v>
      </x:c>
      <x:c r="H61" s="21"/>
      <x:c r="I61" s="21"/>
      <x:c r="J61" s="23">
        <x:v>41</x:v>
      </x:c>
      <x:c r="K61" s="23">
        <x:v>6210</x:v>
      </x:c>
      <x:c r="L61" s="23">
        <x:v>105</x:v>
      </x:c>
    </x:row>
    <x:row r="62">
      <x:c r="A62" s="18" t="s">
        <x:v>344</x:v>
      </x:c>
      <x:c r="B62" s="19" t="s">
        <x:v>345</x:v>
      </x:c>
      <x:c r="C62" s="20">
        <x:v>76012090</x:v>
      </x:c>
      <x:c r="D62" s="20">
        <x:v>906.1</x:v>
      </x:c>
      <x:c r="E62" s="18" t="s">
        <x:v>227</x:v>
      </x:c>
      <x:c r="F62" s="19" t="s">
        <x:v>11</x:v>
      </x:c>
      <x:c r="G62" s="20">
        <x:v>0</x:v>
      </x:c>
      <x:c r="H62" s="21"/>
      <x:c r="I62" s="21"/>
      <x:c r="J62" s="23">
        <x:v>174</x:v>
      </x:c>
      <x:c r="K62" s="23">
        <x:v>25470.26</x:v>
      </x:c>
      <x:c r="L62" s="23">
        <x:v>149</x:v>
      </x:c>
    </x:row>
    <x:row r="63">
      <x:c r="A63" s="18" t="s">
        <x:v>346</x:v>
      </x:c>
      <x:c r="B63" s="19" t="s">
        <x:v>347</x:v>
      </x:c>
      <x:c r="C63" s="20">
        <x:v>76012090</x:v>
      </x:c>
      <x:c r="D63" s="20">
        <x:v>247.28</x:v>
      </x:c>
      <x:c r="E63" s="18" t="s">
        <x:v>227</x:v>
      </x:c>
      <x:c r="F63" s="19" t="s">
        <x:v>11</x:v>
      </x:c>
      <x:c r="G63" s="20">
        <x:v>0</x:v>
      </x:c>
      <x:c r="H63" s="21"/>
      <x:c r="I63" s="21"/>
      <x:c r="J63" s="23">
        <x:v>8</x:v>
      </x:c>
      <x:c r="K63" s="23">
        <x:v>738.4</x:v>
      </x:c>
      <x:c r="L63" s="23">
        <x:v>8</x:v>
      </x:c>
    </x:row>
    <x:row r="64">
      <x:c r="A64" s="18" t="s">
        <x:v>348</x:v>
      </x:c>
      <x:c r="B64" s="19" t="s">
        <x:v>349</x:v>
      </x:c>
      <x:c r="C64" s="20">
        <x:v>76012090</x:v>
      </x:c>
      <x:c r="D64" s="20">
        <x:v>522.5</x:v>
      </x:c>
      <x:c r="E64" s="18" t="s">
        <x:v>227</x:v>
      </x:c>
      <x:c r="F64" s="19" t="s">
        <x:v>11</x:v>
      </x:c>
      <x:c r="G64" s="20">
        <x:v>0</x:v>
      </x:c>
      <x:c r="H64" s="21"/>
      <x:c r="I64" s="21"/>
      <x:c r="J64" s="23">
        <x:v>38</x:v>
      </x:c>
      <x:c r="K64" s="23">
        <x:v>3507.4</x:v>
      </x:c>
      <x:c r="L64" s="23">
        <x:v>38</x:v>
      </x:c>
    </x:row>
    <x:row r="65">
      <x:c r="A65" s="18" t="s">
        <x:v>350</x:v>
      </x:c>
      <x:c r="B65" s="19" t="s">
        <x:v>351</x:v>
      </x:c>
      <x:c r="C65" s="20">
        <x:v>76012090</x:v>
      </x:c>
      <x:c r="D65" s="20">
        <x:v>179.38</x:v>
      </x:c>
      <x:c r="E65" s="18" t="s">
        <x:v>227</x:v>
      </x:c>
      <x:c r="F65" s="19" t="s">
        <x:v>11</x:v>
      </x:c>
      <x:c r="G65" s="20">
        <x:v>0</x:v>
      </x:c>
      <x:c r="H65" s="21"/>
      <x:c r="I65" s="21"/>
      <x:c r="J65" s="23">
        <x:v>11</x:v>
      </x:c>
      <x:c r="K65" s="23">
        <x:v>1015.3</x:v>
      </x:c>
      <x:c r="L65" s="23">
        <x:v>16</x:v>
      </x:c>
    </x:row>
    <x:row r="66">
      <x:c r="A66" s="18" t="s">
        <x:v>352</x:v>
      </x:c>
      <x:c r="B66" s="19" t="s">
        <x:v>353</x:v>
      </x:c>
      <x:c r="C66" s="20">
        <x:v>76012090</x:v>
      </x:c>
      <x:c r="D66" s="20">
        <x:v>181.46</x:v>
      </x:c>
      <x:c r="E66" s="18" t="s">
        <x:v>227</x:v>
      </x:c>
      <x:c r="F66" s="19" t="s">
        <x:v>11</x:v>
      </x:c>
      <x:c r="G66" s="20">
        <x:v>0</x:v>
      </x:c>
      <x:c r="H66" s="20">
        <x:v>2620</x:v>
      </x:c>
      <x:c r="I66" s="21"/>
      <x:c r="J66" s="23">
        <x:v>6</x:v>
      </x:c>
      <x:c r="K66" s="23">
        <x:v>552</x:v>
      </x:c>
      <x:c r="L66" s="23">
        <x:v>11</x:v>
      </x:c>
    </x:row>
    <x:row r="67">
      <x:c r="A67" s="18" t="s">
        <x:v>354</x:v>
      </x:c>
      <x:c r="B67" s="19" t="s">
        <x:v>355</x:v>
      </x:c>
      <x:c r="C67" s="20">
        <x:v>76012090</x:v>
      </x:c>
      <x:c r="D67" s="20">
        <x:v>121.18</x:v>
      </x:c>
      <x:c r="E67" s="18" t="s">
        <x:v>227</x:v>
      </x:c>
      <x:c r="F67" s="19" t="s">
        <x:v>11</x:v>
      </x:c>
      <x:c r="G67" s="20">
        <x:v>0</x:v>
      </x:c>
      <x:c r="H67" s="21"/>
      <x:c r="I67" s="21"/>
      <x:c r="J67" s="23">
        <x:v>6</x:v>
      </x:c>
      <x:c r="K67" s="23">
        <x:v>552</x:v>
      </x:c>
      <x:c r="L67" s="23">
        <x:v>11</x:v>
      </x:c>
    </x:row>
    <x:row r="68">
      <x:c r="A68" s="18" t="s">
        <x:v>356</x:v>
      </x:c>
      <x:c r="B68" s="19" t="s">
        <x:v>357</x:v>
      </x:c>
      <x:c r="C68" s="20">
        <x:v>76012090</x:v>
      </x:c>
      <x:c r="D68" s="20">
        <x:v>4717.5</x:v>
      </x:c>
      <x:c r="E68" s="18" t="s">
        <x:v>227</x:v>
      </x:c>
      <x:c r="F68" s="19" t="s">
        <x:v>11</x:v>
      </x:c>
      <x:c r="G68" s="20">
        <x:v>0</x:v>
      </x:c>
      <x:c r="H68" s="21"/>
      <x:c r="I68" s="21"/>
      <x:c r="J68" s="23">
        <x:v>10</x:v>
      </x:c>
      <x:c r="K68" s="23">
        <x:v>923</x:v>
      </x:c>
      <x:c r="L68" s="23">
        <x:v>10</x:v>
      </x:c>
    </x:row>
    <x:row r="69">
      <x:c r="A69" s="18" t="s">
        <x:v>358</x:v>
      </x:c>
      <x:c r="B69" s="19" t="s">
        <x:v>359</x:v>
      </x:c>
      <x:c r="C69" s="20">
        <x:v>76012090</x:v>
      </x:c>
      <x:c r="D69" s="20">
        <x:v>211.95</x:v>
      </x:c>
      <x:c r="E69" s="18" t="s">
        <x:v>227</x:v>
      </x:c>
      <x:c r="F69" s="19" t="s">
        <x:v>11</x:v>
      </x:c>
      <x:c r="G69" s="20">
        <x:v>0</x:v>
      </x:c>
      <x:c r="H69" s="21"/>
      <x:c r="I69" s="21"/>
      <x:c r="J69" s="23">
        <x:v>7</x:v>
      </x:c>
      <x:c r="K69" s="23">
        <x:v>646.1</x:v>
      </x:c>
      <x:c r="L69" s="23">
        <x:v>7</x:v>
      </x:c>
    </x:row>
    <x:row r="70">
      <x:c r="A70" s="18" t="s">
        <x:v>360</x:v>
      </x:c>
      <x:c r="B70" s="19" t="s">
        <x:v>361</x:v>
      </x:c>
      <x:c r="C70" s="20">
        <x:v>76012090</x:v>
      </x:c>
      <x:c r="D70" s="20">
        <x:v>175.96</x:v>
      </x:c>
      <x:c r="E70" s="18" t="s">
        <x:v>227</x:v>
      </x:c>
      <x:c r="F70" s="19" t="s">
        <x:v>11</x:v>
      </x:c>
      <x:c r="G70" s="20">
        <x:v>0</x:v>
      </x:c>
      <x:c r="H70" s="20">
        <x:v>22.15</x:v>
      </x:c>
      <x:c r="I70" s="21"/>
      <x:c r="J70" s="23">
        <x:v>12</x:v>
      </x:c>
      <x:c r="K70" s="23">
        <x:v>2280</x:v>
      </x:c>
      <x:c r="L70" s="23">
        <x:v>13</x:v>
      </x:c>
    </x:row>
    <x:row r="71">
      <x:c r="A71" s="18" t="s">
        <x:v>362</x:v>
      </x:c>
      <x:c r="B71" s="19" t="s">
        <x:v>363</x:v>
      </x:c>
      <x:c r="C71" s="20">
        <x:v>76012090</x:v>
      </x:c>
      <x:c r="D71" s="20">
        <x:v>4717.5</x:v>
      </x:c>
      <x:c r="E71" s="18" t="s">
        <x:v>227</x:v>
      </x:c>
      <x:c r="F71" s="19" t="s">
        <x:v>11</x:v>
      </x:c>
      <x:c r="G71" s="20">
        <x:v>0</x:v>
      </x:c>
      <x:c r="H71" s="21"/>
      <x:c r="I71" s="21"/>
      <x:c r="J71" s="23">
        <x:v>9</x:v>
      </x:c>
      <x:c r="K71" s="23">
        <x:v>830.7</x:v>
      </x:c>
      <x:c r="L71" s="23">
        <x:v>9</x:v>
      </x:c>
    </x:row>
    <x:row r="72">
      <x:c r="A72" s="18" t="s">
        <x:v>364</x:v>
      </x:c>
      <x:c r="B72" s="19" t="s">
        <x:v>365</x:v>
      </x:c>
      <x:c r="C72" s="20">
        <x:v>76012090</x:v>
      </x:c>
      <x:c r="D72" s="20">
        <x:v>208.22</x:v>
      </x:c>
      <x:c r="E72" s="18" t="s">
        <x:v>227</x:v>
      </x:c>
      <x:c r="F72" s="19" t="s">
        <x:v>11</x:v>
      </x:c>
      <x:c r="G72" s="20">
        <x:v>0</x:v>
      </x:c>
      <x:c r="H72" s="20">
        <x:v>0</x:v>
      </x:c>
      <x:c r="I72" s="21"/>
      <x:c r="J72" s="23">
        <x:v>8</x:v>
      </x:c>
      <x:c r="K72" s="23">
        <x:v>738.4</x:v>
      </x:c>
      <x:c r="L72" s="23">
        <x:v>8</x:v>
      </x:c>
    </x:row>
    <x:row r="73">
      <x:c r="A73" s="18" t="s">
        <x:v>366</x:v>
      </x:c>
      <x:c r="B73" s="19" t="s">
        <x:v>367</x:v>
      </x:c>
      <x:c r="C73" s="20">
        <x:v>76012090</x:v>
      </x:c>
      <x:c r="D73" s="20">
        <x:v>1211.76</x:v>
      </x:c>
      <x:c r="E73" s="18" t="s">
        <x:v>227</x:v>
      </x:c>
      <x:c r="F73" s="19" t="s">
        <x:v>11</x:v>
      </x:c>
      <x:c r="G73" s="20">
        <x:v>0</x:v>
      </x:c>
      <x:c r="H73" s="21"/>
      <x:c r="I73" s="21"/>
      <x:c r="J73" s="23">
        <x:v>9</x:v>
      </x:c>
      <x:c r="K73" s="23">
        <x:v>1080</x:v>
      </x:c>
      <x:c r="L73" s="23">
        <x:v>1</x:v>
      </x:c>
    </x:row>
    <x:row r="74">
      <x:c r="A74" s="18" t="s">
        <x:v>368</x:v>
      </x:c>
      <x:c r="B74" s="19" t="s">
        <x:v>369</x:v>
      </x:c>
      <x:c r="C74" s="20">
        <x:v>76012090</x:v>
      </x:c>
      <x:c r="D74" s="20">
        <x:v>2249.1</x:v>
      </x:c>
      <x:c r="E74" s="18" t="s">
        <x:v>227</x:v>
      </x:c>
      <x:c r="F74" s="19" t="s">
        <x:v>11</x:v>
      </x:c>
      <x:c r="G74" s="20">
        <x:v>0</x:v>
      </x:c>
      <x:c r="H74" s="21"/>
      <x:c r="I74" s="21"/>
      <x:c r="J74" s="23">
        <x:v>13</x:v>
      </x:c>
      <x:c r="K74" s="23">
        <x:v>1040</x:v>
      </x:c>
      <x:c r="L74" s="23">
        <x:v>1</x:v>
      </x:c>
    </x:row>
    <x:row r="75">
      <x:c r="A75" s="18" t="s">
        <x:v>370</x:v>
      </x:c>
      <x:c r="B75" s="19" t="s">
        <x:v>371</x:v>
      </x:c>
      <x:c r="C75" s="20">
        <x:v>76012090</x:v>
      </x:c>
      <x:c r="D75" s="20">
        <x:v>3141.6</x:v>
      </x:c>
      <x:c r="E75" s="18" t="s">
        <x:v>227</x:v>
      </x:c>
      <x:c r="F75" s="19" t="s">
        <x:v>11</x:v>
      </x:c>
      <x:c r="G75" s="20">
        <x:v>0</x:v>
      </x:c>
      <x:c r="H75" s="21"/>
      <x:c r="I75" s="21"/>
      <x:c r="J75" s="23">
        <x:v>36</x:v>
      </x:c>
      <x:c r="K75" s="23">
        <x:v>4638.3</x:v>
      </x:c>
      <x:c r="L75" s="23">
        <x:v>67</x:v>
      </x:c>
    </x:row>
    <x:row r="76">
      <x:c r="A76" s="18" t="s">
        <x:v>372</x:v>
      </x:c>
      <x:c r="B76" s="19" t="s">
        <x:v>373</x:v>
      </x:c>
      <x:c r="C76" s="20">
        <x:v>76012090</x:v>
      </x:c>
      <x:c r="D76" s="20">
        <x:v>5610</x:v>
      </x:c>
      <x:c r="E76" s="18" t="s">
        <x:v>227</x:v>
      </x:c>
      <x:c r="F76" s="19" t="s">
        <x:v>11</x:v>
      </x:c>
      <x:c r="G76" s="20">
        <x:v>0</x:v>
      </x:c>
      <x:c r="H76" s="21"/>
      <x:c r="I76" s="21"/>
      <x:c r="J76" s="23">
        <x:v>7</x:v>
      </x:c>
      <x:c r="K76" s="23">
        <x:v>713.8</x:v>
      </x:c>
      <x:c r="L76" s="23">
        <x:v>7</x:v>
      </x:c>
    </x:row>
    <x:row r="77">
      <x:c r="A77" s="18" t="s">
        <x:v>374</x:v>
      </x:c>
      <x:c r="B77" s="19" t="s">
        <x:v>375</x:v>
      </x:c>
      <x:c r="C77" s="20">
        <x:v>76012090</x:v>
      </x:c>
      <x:c r="D77" s="20">
        <x:v>2586.1</x:v>
      </x:c>
      <x:c r="E77" s="18" t="s">
        <x:v>227</x:v>
      </x:c>
      <x:c r="F77" s="19" t="s">
        <x:v>11</x:v>
      </x:c>
      <x:c r="G77" s="20">
        <x:v>0</x:v>
      </x:c>
      <x:c r="H77" s="21"/>
      <x:c r="I77" s="21"/>
      <x:c r="J77" s="23">
        <x:v>2</x:v>
      </x:c>
      <x:c r="K77" s="23">
        <x:v>110</x:v>
      </x:c>
      <x:c r="L77" s="23">
        <x:v>0</x:v>
      </x:c>
    </x:row>
    <x:row r="78">
      <x:c r="A78" s="18" t="s">
        <x:v>376</x:v>
      </x:c>
      <x:c r="B78" s="19" t="s">
        <x:v>377</x:v>
      </x:c>
      <x:c r="C78" s="20">
        <x:v>76012090</x:v>
      </x:c>
      <x:c r="D78" s="20">
        <x:v>2586.21</x:v>
      </x:c>
      <x:c r="E78" s="18" t="s">
        <x:v>227</x:v>
      </x:c>
      <x:c r="F78" s="19" t="s">
        <x:v>11</x:v>
      </x:c>
      <x:c r="G78" s="20">
        <x:v>0</x:v>
      </x:c>
      <x:c r="H78" s="21"/>
      <x:c r="I78" s="21"/>
      <x:c r="J78" s="23">
        <x:v>6</x:v>
      </x:c>
      <x:c r="K78" s="23">
        <x:v>561.5</x:v>
      </x:c>
      <x:c r="L78" s="23">
        <x:v>6</x:v>
      </x:c>
    </x:row>
    <x:row r="79">
      <x:c r="A79" s="18" t="s">
        <x:v>378</x:v>
      </x:c>
      <x:c r="B79" s="19" t="s">
        <x:v>379</x:v>
      </x:c>
      <x:c r="C79" s="20">
        <x:v>76012090</x:v>
      </x:c>
      <x:c r="D79" s="20">
        <x:v>116.59</x:v>
      </x:c>
      <x:c r="E79" s="18" t="s">
        <x:v>227</x:v>
      </x:c>
      <x:c r="F79" s="19" t="s">
        <x:v>11</x:v>
      </x:c>
      <x:c r="G79" s="20">
        <x:v>0</x:v>
      </x:c>
      <x:c r="H79" s="20">
        <x:v>106</x:v>
      </x:c>
      <x:c r="I79" s="21"/>
      <x:c r="J79" s="23">
        <x:v>4</x:v>
      </x:c>
      <x:c r="K79" s="23">
        <x:v>324.60000000000002</x:v>
      </x:c>
      <x:c r="L79" s="23">
        <x:v>25</x:v>
      </x:c>
    </x:row>
    <x:row r="80">
      <x:c r="A80" s="18" t="s">
        <x:v>380</x:v>
      </x:c>
      <x:c r="B80" s="19" t="s">
        <x:v>381</x:v>
      </x:c>
      <x:c r="C80" s="20">
        <x:v>76012090</x:v>
      </x:c>
      <x:c r="D80" s="20">
        <x:v>133.63999999999999</x:v>
      </x:c>
      <x:c r="E80" s="18" t="s">
        <x:v>227</x:v>
      </x:c>
      <x:c r="F80" s="19" t="s">
        <x:v>11</x:v>
      </x:c>
      <x:c r="G80" s="20">
        <x:v>0</x:v>
      </x:c>
      <x:c r="H80" s="20">
        <x:v>0</x:v>
      </x:c>
      <x:c r="I80" s="21"/>
      <x:c r="J80" s="23">
        <x:v>96</x:v>
      </x:c>
      <x:c r="K80" s="23">
        <x:v>8712.2999999999993</x:v>
      </x:c>
      <x:c r="L80" s="23">
        <x:v>96</x:v>
      </x:c>
    </x:row>
    <x:row r="81">
      <x:c r="A81" s="18" t="s">
        <x:v>382</x:v>
      </x:c>
      <x:c r="B81" s="19" t="s">
        <x:v>383</x:v>
      </x:c>
      <x:c r="C81" s="20">
        <x:v>76012090</x:v>
      </x:c>
      <x:c r="D81" s="20">
        <x:v>140.32</x:v>
      </x:c>
      <x:c r="E81" s="18" t="s">
        <x:v>227</x:v>
      </x:c>
      <x:c r="F81" s="19" t="s">
        <x:v>11</x:v>
      </x:c>
      <x:c r="G81" s="20">
        <x:v>0</x:v>
      </x:c>
      <x:c r="H81" s="20">
        <x:v>0</x:v>
      </x:c>
      <x:c r="I81" s="21"/>
      <x:c r="J81" s="23">
        <x:v>2</x:v>
      </x:c>
      <x:c r="K81" s="23">
        <x:v>184.6</x:v>
      </x:c>
      <x:c r="L81" s="23">
        <x:v>1</x:v>
      </x:c>
    </x:row>
    <x:row r="82">
      <x:c r="A82" s="18" t="s">
        <x:v>384</x:v>
      </x:c>
      <x:c r="B82" s="19" t="s">
        <x:v>385</x:v>
      </x:c>
      <x:c r="C82" s="20">
        <x:v>76012090</x:v>
      </x:c>
      <x:c r="D82" s="20">
        <x:v>152</x:v>
      </x:c>
      <x:c r="E82" s="18" t="s">
        <x:v>227</x:v>
      </x:c>
      <x:c r="F82" s="19" t="s">
        <x:v>11</x:v>
      </x:c>
      <x:c r="G82" s="20">
        <x:v>0</x:v>
      </x:c>
      <x:c r="H82" s="20">
        <x:v>42.75</x:v>
      </x:c>
      <x:c r="I82" s="21"/>
      <x:c r="J82" s="23">
        <x:v>11</x:v>
      </x:c>
      <x:c r="K82" s="23">
        <x:v>918.64</x:v>
      </x:c>
      <x:c r="L82" s="23">
        <x:v>11</x:v>
      </x:c>
    </x:row>
    <x:row r="83">
      <x:c r="A83" s="18" t="s">
        <x:v>386</x:v>
      </x:c>
      <x:c r="B83" s="19" t="s">
        <x:v>387</x:v>
      </x:c>
      <x:c r="C83" s="20">
        <x:v>76012090</x:v>
      </x:c>
      <x:c r="D83" s="20">
        <x:v>28.47</x:v>
      </x:c>
      <x:c r="E83" s="18" t="s">
        <x:v>227</x:v>
      </x:c>
      <x:c r="F83" s="19" t="s">
        <x:v>11</x:v>
      </x:c>
      <x:c r="G83" s="20">
        <x:v>0</x:v>
      </x:c>
      <x:c r="H83" s="21"/>
      <x:c r="I83" s="21"/>
      <x:c r="J83" s="23">
        <x:v>24</x:v>
      </x:c>
      <x:c r="K83" s="23">
        <x:v>2215.1999999999998</x:v>
      </x:c>
      <x:c r="L83" s="23">
        <x:v>23</x:v>
      </x:c>
    </x:row>
    <x:row r="84">
      <x:c r="A84" s="18" t="s">
        <x:v>388</x:v>
      </x:c>
      <x:c r="B84" s="19" t="s">
        <x:v>389</x:v>
      </x:c>
      <x:c r="C84" s="20">
        <x:v>76012090</x:v>
      </x:c>
      <x:c r="D84" s="20">
        <x:v>143.13999999999999</x:v>
      </x:c>
      <x:c r="E84" s="18" t="s">
        <x:v>227</x:v>
      </x:c>
      <x:c r="F84" s="19" t="s">
        <x:v>11</x:v>
      </x:c>
      <x:c r="G84" s="20">
        <x:v>0</x:v>
      </x:c>
      <x:c r="H84" s="20">
        <x:v>193.5</x:v>
      </x:c>
      <x:c r="I84" s="21"/>
      <x:c r="J84" s="23">
        <x:v>473</x:v>
      </x:c>
      <x:c r="K84" s="23">
        <x:v>43657.9</x:v>
      </x:c>
      <x:c r="L84" s="23">
        <x:v>473</x:v>
      </x:c>
    </x:row>
    <x:row r="85">
      <x:c r="A85" s="18" t="s">
        <x:v>390</x:v>
      </x:c>
      <x:c r="B85" s="19" t="s">
        <x:v>391</x:v>
      </x:c>
      <x:c r="C85" s="20">
        <x:v>76012090</x:v>
      </x:c>
      <x:c r="D85" s="20">
        <x:v>1457.74</x:v>
      </x:c>
      <x:c r="E85" s="18" t="s">
        <x:v>227</x:v>
      </x:c>
      <x:c r="F85" s="19" t="s">
        <x:v>11</x:v>
      </x:c>
      <x:c r="G85" s="20">
        <x:v>0</x:v>
      </x:c>
      <x:c r="H85" s="21"/>
      <x:c r="I85" s="21"/>
      <x:c r="J85" s="23">
        <x:v>55</x:v>
      </x:c>
      <x:c r="K85" s="23">
        <x:v>10389.4</x:v>
      </x:c>
      <x:c r="L85" s="23">
        <x:v>55</x:v>
      </x:c>
    </x:row>
    <x:row r="86">
      <x:c r="A86" s="18" t="s">
        <x:v>392</x:v>
      </x:c>
      <x:c r="B86" s="19" t="s">
        <x:v>393</x:v>
      </x:c>
      <x:c r="C86" s="20">
        <x:v>76012090</x:v>
      </x:c>
      <x:c r="D86" s="20">
        <x:v>36.25</x:v>
      </x:c>
      <x:c r="E86" s="18" t="s">
        <x:v>227</x:v>
      </x:c>
      <x:c r="F86" s="19" t="s">
        <x:v>41</x:v>
      </x:c>
      <x:c r="G86" s="20">
        <x:v>0</x:v>
      </x:c>
      <x:c r="H86" s="20">
        <x:v>0</x:v>
      </x:c>
      <x:c r="I86" s="21"/>
      <x:c r="J86" s="23">
        <x:v>36</x:v>
      </x:c>
      <x:c r="K86" s="23">
        <x:v>15015.24</x:v>
      </x:c>
      <x:c r="L86" s="23">
        <x:v>36</x:v>
      </x:c>
    </x:row>
    <x:row r="87">
      <x:c r="A87" s="18" t="s">
        <x:v>394</x:v>
      </x:c>
      <x:c r="B87" s="19" t="s">
        <x:v>395</x:v>
      </x:c>
      <x:c r="C87" s="20">
        <x:v>76042930</x:v>
      </x:c>
      <x:c r="D87" s="20">
        <x:v>60.95</x:v>
      </x:c>
      <x:c r="E87" s="18" t="s">
        <x:v>227</x:v>
      </x:c>
      <x:c r="F87" s="19" t="s">
        <x:v>41</x:v>
      </x:c>
      <x:c r="G87" s="20">
        <x:v>0</x:v>
      </x:c>
      <x:c r="H87" s="21"/>
      <x:c r="I87" s="21"/>
      <x:c r="J87" s="23">
        <x:v>230</x:v>
      </x:c>
      <x:c r="K87" s="23">
        <x:v>85704.4</x:v>
      </x:c>
      <x:c r="L87" s="23">
        <x:v>26</x:v>
      </x:c>
    </x:row>
    <x:row r="88">
      <x:c r="A88" s="18" t="s">
        <x:v>396</x:v>
      </x:c>
      <x:c r="B88" s="19" t="s">
        <x:v>397</x:v>
      </x:c>
      <x:c r="C88" s="20">
        <x:v>76042930</x:v>
      </x:c>
      <x:c r="D88" s="20">
        <x:v>119.91</x:v>
      </x:c>
      <x:c r="E88" s="18" t="s">
        <x:v>227</x:v>
      </x:c>
      <x:c r="F88" s="19" t="s">
        <x:v>41</x:v>
      </x:c>
      <x:c r="G88" s="20">
        <x:v>0</x:v>
      </x:c>
      <x:c r="H88" s="20">
        <x:v>21</x:v>
      </x:c>
      <x:c r="I88" s="21"/>
      <x:c r="J88" s="23">
        <x:v>102</x:v>
      </x:c>
      <x:c r="K88" s="23">
        <x:v>43568.84</x:v>
      </x:c>
      <x:c r="L88" s="23">
        <x:v>102</x:v>
      </x:c>
    </x:row>
    <x:row r="89">
      <x:c r="A89" s="18" t="s">
        <x:v>398</x:v>
      </x:c>
      <x:c r="B89" s="19" t="s">
        <x:v>399</x:v>
      </x:c>
      <x:c r="C89" s="20">
        <x:v>76042930</x:v>
      </x:c>
      <x:c r="D89" s="20">
        <x:v>421.66</x:v>
      </x:c>
      <x:c r="E89" s="18" t="s">
        <x:v>227</x:v>
      </x:c>
      <x:c r="F89" s="19" t="s">
        <x:v>41</x:v>
      </x:c>
      <x:c r="G89" s="20">
        <x:v>0</x:v>
      </x:c>
      <x:c r="H89" s="21"/>
      <x:c r="I89" s="21"/>
      <x:c r="J89" s="22">
        <x:v>0</x:v>
      </x:c>
      <x:c r="K89" s="22">
        <x:v>0</x:v>
      </x:c>
      <x:c r="L89" s="23">
        <x:v>0</x:v>
      </x:c>
    </x:row>
    <x:row r="90">
      <x:c r="A90" s="18" t="s">
        <x:v>400</x:v>
      </x:c>
      <x:c r="B90" s="19" t="s">
        <x:v>401</x:v>
      </x:c>
      <x:c r="C90" s="20">
        <x:v>76042930</x:v>
      </x:c>
      <x:c r="D90" s="20">
        <x:v>389.39</x:v>
      </x:c>
      <x:c r="E90" s="18" t="s">
        <x:v>227</x:v>
      </x:c>
      <x:c r="F90" s="19" t="s">
        <x:v>41</x:v>
      </x:c>
      <x:c r="G90" s="20">
        <x:v>0</x:v>
      </x:c>
      <x:c r="H90" s="21"/>
      <x:c r="I90" s="21"/>
      <x:c r="J90" s="23">
        <x:v>93</x:v>
      </x:c>
      <x:c r="K90" s="23">
        <x:v>42516.38</x:v>
      </x:c>
      <x:c r="L90" s="23">
        <x:v>0</x:v>
      </x:c>
    </x:row>
    <x:row r="91">
      <x:c r="A91" s="18" t="s">
        <x:v>402</x:v>
      </x:c>
      <x:c r="B91" s="19" t="s">
        <x:v>403</x:v>
      </x:c>
      <x:c r="C91" s="20">
        <x:v>76042930</x:v>
      </x:c>
      <x:c r="D91" s="20">
        <x:v>259.16000000000003</x:v>
      </x:c>
      <x:c r="E91" s="18" t="s">
        <x:v>227</x:v>
      </x:c>
      <x:c r="F91" s="19" t="s">
        <x:v>41</x:v>
      </x:c>
      <x:c r="G91" s="20">
        <x:v>0</x:v>
      </x:c>
      <x:c r="H91" s="21"/>
      <x:c r="I91" s="21"/>
      <x:c r="J91" s="23">
        <x:v>69</x:v>
      </x:c>
      <x:c r="K91" s="23">
        <x:v>48036.98</x:v>
      </x:c>
      <x:c r="L91" s="23">
        <x:v>0</x:v>
      </x:c>
    </x:row>
    <x:row r="92">
      <x:c r="A92" s="18" t="s">
        <x:v>404</x:v>
      </x:c>
      <x:c r="B92" s="19" t="s">
        <x:v>405</x:v>
      </x:c>
      <x:c r="C92" s="20">
        <x:v>76042930</x:v>
      </x:c>
      <x:c r="D92" s="20">
        <x:v>254.61</x:v>
      </x:c>
      <x:c r="E92" s="18" t="s">
        <x:v>227</x:v>
      </x:c>
      <x:c r="F92" s="19" t="s">
        <x:v>41</x:v>
      </x:c>
      <x:c r="G92" s="20">
        <x:v>0</x:v>
      </x:c>
      <x:c r="H92" s="20">
        <x:v>68.25</x:v>
      </x:c>
      <x:c r="I92" s="21"/>
      <x:c r="J92" s="23">
        <x:v>27</x:v>
      </x:c>
      <x:c r="K92" s="23">
        <x:v>21547.37</x:v>
      </x:c>
      <x:c r="L92" s="23">
        <x:v>12</x:v>
      </x:c>
    </x:row>
    <x:row r="93">
      <x:c r="A93" s="18" t="s">
        <x:v>406</x:v>
      </x:c>
      <x:c r="B93" s="19" t="s">
        <x:v>407</x:v>
      </x:c>
      <x:c r="C93" s="20">
        <x:v>76042930</x:v>
      </x:c>
      <x:c r="D93" s="20">
        <x:v>1950</x:v>
      </x:c>
      <x:c r="E93" s="18" t="s">
        <x:v>227</x:v>
      </x:c>
      <x:c r="F93" s="19" t="s">
        <x:v>41</x:v>
      </x:c>
      <x:c r="G93" s="20">
        <x:v>0</x:v>
      </x:c>
      <x:c r="H93" s="21"/>
      <x:c r="I93" s="21"/>
      <x:c r="J93" s="23">
        <x:v>180</x:v>
      </x:c>
      <x:c r="K93" s="23">
        <x:v>93172.4</x:v>
      </x:c>
      <x:c r="L93" s="23">
        <x:v>180</x:v>
      </x:c>
    </x:row>
    <x:row r="94">
      <x:c r="A94" s="18" t="s">
        <x:v>408</x:v>
      </x:c>
      <x:c r="B94" s="19" t="s">
        <x:v>409</x:v>
      </x:c>
      <x:c r="C94" s="20">
        <x:v>76042930</x:v>
      </x:c>
      <x:c r="D94" s="20">
        <x:v>3200</x:v>
      </x:c>
      <x:c r="E94" s="18" t="s">
        <x:v>227</x:v>
      </x:c>
      <x:c r="F94" s="19" t="s">
        <x:v>41</x:v>
      </x:c>
      <x:c r="G94" s="20">
        <x:v>0</x:v>
      </x:c>
      <x:c r="H94" s="21"/>
      <x:c r="I94" s="21"/>
      <x:c r="J94" s="23">
        <x:v>36</x:v>
      </x:c>
      <x:c r="K94" s="23">
        <x:v>21361.02</x:v>
      </x:c>
      <x:c r="L94" s="23">
        <x:v>36</x:v>
      </x:c>
    </x:row>
    <x:row r="95">
      <x:c r="A95" s="18" t="s">
        <x:v>410</x:v>
      </x:c>
      <x:c r="B95" s="19" t="s">
        <x:v>411</x:v>
      </x:c>
      <x:c r="C95" s="20">
        <x:v>76042930</x:v>
      </x:c>
      <x:c r="D95" s="20">
        <x:v>3200</x:v>
      </x:c>
      <x:c r="E95" s="18" t="s">
        <x:v>227</x:v>
      </x:c>
      <x:c r="F95" s="19" t="s">
        <x:v>41</x:v>
      </x:c>
      <x:c r="G95" s="20">
        <x:v>0</x:v>
      </x:c>
      <x:c r="H95" s="21"/>
      <x:c r="I95" s="21"/>
      <x:c r="J95" s="23">
        <x:v>981</x:v>
      </x:c>
      <x:c r="K95" s="23">
        <x:v>48860.12</x:v>
      </x:c>
      <x:c r="L95" s="23">
        <x:v>801</x:v>
      </x:c>
    </x:row>
    <x:row r="96">
      <x:c r="A96" s="18" t="s">
        <x:v>412</x:v>
      </x:c>
      <x:c r="B96" s="19" t="s">
        <x:v>413</x:v>
      </x:c>
      <x:c r="C96" s="20">
        <x:v>76042930</x:v>
      </x:c>
      <x:c r="D96" s="20">
        <x:v>715</x:v>
      </x:c>
      <x:c r="E96" s="18" t="s">
        <x:v>227</x:v>
      </x:c>
      <x:c r="F96" s="19" t="s">
        <x:v>41</x:v>
      </x:c>
      <x:c r="G96" s="20">
        <x:v>0</x:v>
      </x:c>
      <x:c r="H96" s="21"/>
      <x:c r="I96" s="21"/>
      <x:c r="J96" s="23">
        <x:v>927</x:v>
      </x:c>
      <x:c r="K96" s="23">
        <x:v>44460.65</x:v>
      </x:c>
      <x:c r="L96" s="23">
        <x:v>816</x:v>
      </x:c>
    </x:row>
    <x:row r="97">
      <x:c r="A97" s="18" t="s">
        <x:v>414</x:v>
      </x:c>
      <x:c r="B97" s="19" t="s">
        <x:v>415</x:v>
      </x:c>
      <x:c r="C97" s="20">
        <x:v>76042930</x:v>
      </x:c>
      <x:c r="D97" s="20">
        <x:v>1072.5</x:v>
      </x:c>
      <x:c r="E97" s="18" t="s">
        <x:v>227</x:v>
      </x:c>
      <x:c r="F97" s="19" t="s">
        <x:v>41</x:v>
      </x:c>
      <x:c r="G97" s="20">
        <x:v>0</x:v>
      </x:c>
      <x:c r="H97" s="21"/>
      <x:c r="I97" s="21"/>
      <x:c r="J97" s="23">
        <x:v>720</x:v>
      </x:c>
      <x:c r="K97" s="23">
        <x:v>41107.51</x:v>
      </x:c>
      <x:c r="L97" s="23">
        <x:v>720</x:v>
      </x:c>
    </x:row>
    <x:row r="98">
      <x:c r="A98" s="18" t="s">
        <x:v>416</x:v>
      </x:c>
      <x:c r="B98" s="19" t="s">
        <x:v>417</x:v>
      </x:c>
      <x:c r="C98" s="20">
        <x:v>76042930</x:v>
      </x:c>
      <x:c r="D98" s="20">
        <x:v>73.760000000000005</x:v>
      </x:c>
      <x:c r="E98" s="18" t="s">
        <x:v>227</x:v>
      </x:c>
      <x:c r="F98" s="19" t="s">
        <x:v>41</x:v>
      </x:c>
      <x:c r="G98" s="20">
        <x:v>0</x:v>
      </x:c>
      <x:c r="H98" s="21"/>
      <x:c r="I98" s="21"/>
      <x:c r="J98" s="23">
        <x:v>762</x:v>
      </x:c>
      <x:c r="K98" s="23">
        <x:v>41893.589999999997</x:v>
      </x:c>
      <x:c r="L98" s="23">
        <x:v>762</x:v>
      </x:c>
    </x:row>
    <x:row r="99">
      <x:c r="A99" s="18" t="s">
        <x:v>418</x:v>
      </x:c>
      <x:c r="B99" s="19" t="s">
        <x:v>419</x:v>
      </x:c>
      <x:c r="C99" s="20">
        <x:v>76042930</x:v>
      </x:c>
      <x:c r="D99" s="20">
        <x:v>142.1</x:v>
      </x:c>
      <x:c r="E99" s="18" t="s">
        <x:v>227</x:v>
      </x:c>
      <x:c r="F99" s="19" t="s">
        <x:v>41</x:v>
      </x:c>
      <x:c r="G99" s="20">
        <x:v>0</x:v>
      </x:c>
      <x:c r="H99" s="20">
        <x:v>4.5</x:v>
      </x:c>
      <x:c r="I99" s="21"/>
      <x:c r="J99" s="23">
        <x:v>357</x:v>
      </x:c>
      <x:c r="K99" s="23">
        <x:v>21401.57</x:v>
      </x:c>
      <x:c r="L99" s="23">
        <x:v>357</x:v>
      </x:c>
    </x:row>
    <x:row r="100">
      <x:c r="A100" s="18" t="s">
        <x:v>420</x:v>
      </x:c>
      <x:c r="B100" s="19" t="s">
        <x:v>421</x:v>
      </x:c>
      <x:c r="C100" s="20">
        <x:v>76042930</x:v>
      </x:c>
      <x:c r="D100" s="20">
        <x:v>173.77</x:v>
      </x:c>
      <x:c r="E100" s="18" t="s">
        <x:v>227</x:v>
      </x:c>
      <x:c r="F100" s="19" t="s">
        <x:v>41</x:v>
      </x:c>
      <x:c r="G100" s="20">
        <x:v>0</x:v>
      </x:c>
      <x:c r="H100" s="20">
        <x:v>100</x:v>
      </x:c>
      <x:c r="I100" s="21"/>
      <x:c r="J100" s="23">
        <x:v>384</x:v>
      </x:c>
      <x:c r="K100" s="23">
        <x:v>22167.26</x:v>
      </x:c>
      <x:c r="L100" s="23">
        <x:v>384</x:v>
      </x:c>
    </x:row>
    <x:row r="101">
      <x:c r="A101" s="18" t="s">
        <x:v>422</x:v>
      </x:c>
      <x:c r="B101" s="19" t="s">
        <x:v>423</x:v>
      </x:c>
      <x:c r="C101" s="20">
        <x:v>76012090</x:v>
      </x:c>
      <x:c r="D101" s="20">
        <x:v>162.04</x:v>
      </x:c>
      <x:c r="E101" s="18" t="s">
        <x:v>227</x:v>
      </x:c>
      <x:c r="F101" s="19" t="s">
        <x:v>11</x:v>
      </x:c>
      <x:c r="G101" s="20">
        <x:v>0</x:v>
      </x:c>
      <x:c r="H101" s="20">
        <x:v>328.75</x:v>
      </x:c>
      <x:c r="I101" s="21"/>
      <x:c r="J101" s="23">
        <x:v>80</x:v>
      </x:c>
      <x:c r="K101" s="23">
        <x:v>985.6</x:v>
      </x:c>
      <x:c r="L101" s="23">
        <x:v>0</x:v>
      </x:c>
    </x:row>
    <x:row r="102">
      <x:c r="A102" s="18" t="s">
        <x:v>424</x:v>
      </x:c>
      <x:c r="B102" s="19" t="s">
        <x:v>425</x:v>
      </x:c>
      <x:c r="C102" s="20">
        <x:v>76042930</x:v>
      </x:c>
      <x:c r="D102" s="20">
        <x:v>190.45</x:v>
      </x:c>
      <x:c r="E102" s="18" t="s">
        <x:v>227</x:v>
      </x:c>
      <x:c r="F102" s="19" t="s">
        <x:v>41</x:v>
      </x:c>
      <x:c r="G102" s="20">
        <x:v>0</x:v>
      </x:c>
      <x:c r="H102" s="21"/>
      <x:c r="I102" s="21"/>
      <x:c r="J102" s="23">
        <x:v>855</x:v>
      </x:c>
      <x:c r="K102" s="23">
        <x:v>105357.78</x:v>
      </x:c>
      <x:c r="L102" s="23">
        <x:v>780</x:v>
      </x:c>
    </x:row>
    <x:row r="103">
      <x:c r="A103" s="18" t="s">
        <x:v>426</x:v>
      </x:c>
      <x:c r="B103" s="19" t="s">
        <x:v>427</x:v>
      </x:c>
      <x:c r="C103" s="20">
        <x:v>76042930</x:v>
      </x:c>
      <x:c r="D103" s="20">
        <x:v>119.26</x:v>
      </x:c>
      <x:c r="E103" s="18" t="s">
        <x:v>227</x:v>
      </x:c>
      <x:c r="F103" s="19" t="s">
        <x:v>41</x:v>
      </x:c>
      <x:c r="G103" s="20">
        <x:v>0</x:v>
      </x:c>
      <x:c r="H103" s="20">
        <x:v>0</x:v>
      </x:c>
      <x:c r="I103" s="21"/>
      <x:c r="J103" s="23">
        <x:v>125.5</x:v>
      </x:c>
      <x:c r="K103" s="23">
        <x:v>27966.42</x:v>
      </x:c>
      <x:c r="L103" s="23">
        <x:v>0</x:v>
      </x:c>
    </x:row>
    <x:row r="104">
      <x:c r="A104" s="18" t="s">
        <x:v>428</x:v>
      </x:c>
      <x:c r="B104" s="19" t="s">
        <x:v>429</x:v>
      </x:c>
      <x:c r="C104" s="20">
        <x:v>76042930</x:v>
      </x:c>
      <x:c r="D104" s="20">
        <x:v>60.51</x:v>
      </x:c>
      <x:c r="E104" s="18" t="s">
        <x:v>227</x:v>
      </x:c>
      <x:c r="F104" s="19" t="s">
        <x:v>41</x:v>
      </x:c>
      <x:c r="G104" s="20">
        <x:v>0</x:v>
      </x:c>
      <x:c r="H104" s="21"/>
      <x:c r="I104" s="21"/>
      <x:c r="J104" s="23">
        <x:v>84</x:v>
      </x:c>
      <x:c r="K104" s="23">
        <x:v>21456.61</x:v>
      </x:c>
      <x:c r="L104" s="23">
        <x:v>0</x:v>
      </x:c>
    </x:row>
    <x:row r="105">
      <x:c r="A105" s="18" t="s">
        <x:v>430</x:v>
      </x:c>
      <x:c r="B105" s="19" t="s">
        <x:v>431</x:v>
      </x:c>
      <x:c r="C105" s="20">
        <x:v>76042930</x:v>
      </x:c>
      <x:c r="D105" s="20">
        <x:v>69.36</x:v>
      </x:c>
      <x:c r="E105" s="18" t="s">
        <x:v>227</x:v>
      </x:c>
      <x:c r="F105" s="19" t="s">
        <x:v>41</x:v>
      </x:c>
      <x:c r="G105" s="20">
        <x:v>0</x:v>
      </x:c>
      <x:c r="H105" s="20">
        <x:v>0</x:v>
      </x:c>
      <x:c r="I105" s="21"/>
      <x:c r="J105" s="23">
        <x:v>699</x:v>
      </x:c>
      <x:c r="K105" s="23">
        <x:v>95882.84</x:v>
      </x:c>
      <x:c r="L105" s="23">
        <x:v>615</x:v>
      </x:c>
    </x:row>
    <x:row r="106">
      <x:c r="A106" s="18" t="s">
        <x:v>432</x:v>
      </x:c>
      <x:c r="B106" s="19" t="s">
        <x:v>433</x:v>
      </x:c>
      <x:c r="C106" s="20">
        <x:v>76042930</x:v>
      </x:c>
      <x:c r="D106" s="20">
        <x:v>263.48</x:v>
      </x:c>
      <x:c r="E106" s="18" t="s">
        <x:v>227</x:v>
      </x:c>
      <x:c r="F106" s="19" t="s">
        <x:v>41</x:v>
      </x:c>
      <x:c r="G106" s="20">
        <x:v>0</x:v>
      </x:c>
      <x:c r="H106" s="20">
        <x:v>18.75</x:v>
      </x:c>
      <x:c r="I106" s="21"/>
      <x:c r="J106" s="23">
        <x:v>72</x:v>
      </x:c>
      <x:c r="K106" s="23">
        <x:v>10931.07</x:v>
      </x:c>
      <x:c r="L106" s="23">
        <x:v>72</x:v>
      </x:c>
    </x:row>
    <x:row r="107">
      <x:c r="A107" s="18" t="s">
        <x:v>434</x:v>
      </x:c>
      <x:c r="B107" s="19" t="s">
        <x:v>435</x:v>
      </x:c>
      <x:c r="C107" s="20">
        <x:v>76042930</x:v>
      </x:c>
      <x:c r="D107" s="20">
        <x:v>780.22</x:v>
      </x:c>
      <x:c r="E107" s="18" t="s">
        <x:v>227</x:v>
      </x:c>
      <x:c r="F107" s="19" t="s">
        <x:v>41</x:v>
      </x:c>
      <x:c r="G107" s="20">
        <x:v>0</x:v>
      </x:c>
      <x:c r="H107" s="21"/>
      <x:c r="I107" s="21"/>
      <x:c r="J107" s="23">
        <x:v>72</x:v>
      </x:c>
      <x:c r="K107" s="23">
        <x:v>11477.58</x:v>
      </x:c>
      <x:c r="L107" s="23">
        <x:v>72</x:v>
      </x:c>
    </x:row>
    <x:row r="108">
      <x:c r="A108" s="18" t="s">
        <x:v>436</x:v>
      </x:c>
      <x:c r="B108" s="19" t="s">
        <x:v>437</x:v>
      </x:c>
      <x:c r="C108" s="20">
        <x:v>76042930</x:v>
      </x:c>
      <x:c r="D108" s="20">
        <x:v>65.36</x:v>
      </x:c>
      <x:c r="E108" s="18" t="s">
        <x:v>227</x:v>
      </x:c>
      <x:c r="F108" s="19" t="s">
        <x:v>41</x:v>
      </x:c>
      <x:c r="G108" s="20">
        <x:v>0</x:v>
      </x:c>
      <x:c r="H108" s="20">
        <x:v>177.75</x:v>
      </x:c>
      <x:c r="I108" s="21"/>
      <x:c r="J108" s="22">
        <x:v>0</x:v>
      </x:c>
      <x:c r="K108" s="22">
        <x:v>0</x:v>
      </x:c>
      <x:c r="L108" s="23">
        <x:v>48</x:v>
      </x:c>
    </x:row>
    <x:row r="109">
      <x:c r="A109" s="18" t="s">
        <x:v>438</x:v>
      </x:c>
      <x:c r="B109" s="19" t="s">
        <x:v>439</x:v>
      </x:c>
      <x:c r="C109" s="20">
        <x:v>76042930</x:v>
      </x:c>
      <x:c r="D109" s="20">
        <x:v>398.57</x:v>
      </x:c>
      <x:c r="E109" s="18" t="s">
        <x:v>227</x:v>
      </x:c>
      <x:c r="F109" s="19" t="s">
        <x:v>41</x:v>
      </x:c>
      <x:c r="G109" s="20">
        <x:v>244.03</x:v>
      </x:c>
      <x:c r="H109" s="21"/>
      <x:c r="I109" s="26" t="s">
        <x:v>440</x:v>
      </x:c>
      <x:c r="J109" s="23">
        <x:v>163</x:v>
      </x:c>
      <x:c r="K109" s="23">
        <x:v>80453.19</x:v>
      </x:c>
      <x:c r="L109" s="23">
        <x:v>228</x:v>
      </x:c>
    </x:row>
    <x:row r="110">
      <x:c r="A110" s="18" t="s">
        <x:v>441</x:v>
      </x:c>
      <x:c r="B110" s="19" t="s">
        <x:v>442</x:v>
      </x:c>
      <x:c r="C110" s="20">
        <x:v>76012090</x:v>
      </x:c>
      <x:c r="D110" s="20">
        <x:v>383.52</x:v>
      </x:c>
      <x:c r="E110" s="18" t="s">
        <x:v>227</x:v>
      </x:c>
      <x:c r="F110" s="19" t="s">
        <x:v>41</x:v>
      </x:c>
      <x:c r="G110" s="20">
        <x:v>0</x:v>
      </x:c>
      <x:c r="H110" s="21"/>
      <x:c r="I110" s="21"/>
      <x:c r="J110" s="22">
        <x:v>0</x:v>
      </x:c>
      <x:c r="K110" s="22">
        <x:v>0</x:v>
      </x:c>
      <x:c r="L110" s="23">
        <x:v>0</x:v>
      </x:c>
    </x:row>
    <x:row r="111">
      <x:c r="A111" s="18" t="s">
        <x:v>443</x:v>
      </x:c>
      <x:c r="B111" s="19" t="s">
        <x:v>444</x:v>
      </x:c>
      <x:c r="C111" s="20">
        <x:v>76042930</x:v>
      </x:c>
      <x:c r="D111" s="20">
        <x:v>1240.8</x:v>
      </x:c>
      <x:c r="E111" s="18" t="s">
        <x:v>227</x:v>
      </x:c>
      <x:c r="F111" s="19" t="s">
        <x:v>41</x:v>
      </x:c>
      <x:c r="G111" s="20">
        <x:v>0</x:v>
      </x:c>
      <x:c r="H111" s="21"/>
      <x:c r="I111" s="21"/>
      <x:c r="J111" s="23">
        <x:v>15</x:v>
      </x:c>
      <x:c r="K111" s="23">
        <x:v>13676.4</x:v>
      </x:c>
      <x:c r="L111" s="23">
        <x:v>15</x:v>
      </x:c>
    </x:row>
    <x:row r="112">
      <x:c r="A112" s="18" t="s">
        <x:v>445</x:v>
      </x:c>
      <x:c r="B112" s="19" t="s">
        <x:v>446</x:v>
      </x:c>
      <x:c r="C112" s="20">
        <x:v>76042930</x:v>
      </x:c>
      <x:c r="D112" s="20">
        <x:v>1351.9</x:v>
      </x:c>
      <x:c r="E112" s="18" t="s">
        <x:v>227</x:v>
      </x:c>
      <x:c r="F112" s="19" t="s">
        <x:v>11</x:v>
      </x:c>
      <x:c r="G112" s="20">
        <x:v>0</x:v>
      </x:c>
      <x:c r="H112" s="21"/>
      <x:c r="I112" s="21"/>
      <x:c r="J112" s="23">
        <x:v>16</x:v>
      </x:c>
      <x:c r="K112" s="23">
        <x:v>23903.15</x:v>
      </x:c>
      <x:c r="L112" s="23">
        <x:v>0</x:v>
      </x:c>
    </x:row>
    <x:row r="113">
      <x:c r="A113" s="18" t="s">
        <x:v>447</x:v>
      </x:c>
      <x:c r="B113" s="19" t="s">
        <x:v>448</x:v>
      </x:c>
      <x:c r="C113" s="20">
        <x:v>76042930</x:v>
      </x:c>
      <x:c r="D113" s="20">
        <x:v>1540.2</x:v>
      </x:c>
      <x:c r="E113" s="18" t="s">
        <x:v>227</x:v>
      </x:c>
      <x:c r="F113" s="19" t="s">
        <x:v>11</x:v>
      </x:c>
      <x:c r="G113" s="20">
        <x:v>0</x:v>
      </x:c>
      <x:c r="H113" s="21"/>
      <x:c r="I113" s="21"/>
      <x:c r="J113" s="23">
        <x:v>7</x:v>
      </x:c>
      <x:c r="K113" s="23">
        <x:v>11341.43</x:v>
      </x:c>
      <x:c r="L113" s="23">
        <x:v>6</x:v>
      </x:c>
    </x:row>
    <x:row r="114">
      <x:c r="A114" s="18" t="s">
        <x:v>449</x:v>
      </x:c>
      <x:c r="B114" s="19" t="s">
        <x:v>450</x:v>
      </x:c>
      <x:c r="C114" s="20">
        <x:v>76042930</x:v>
      </x:c>
      <x:c r="D114" s="20">
        <x:v>688.5</x:v>
      </x:c>
      <x:c r="E114" s="18" t="s">
        <x:v>227</x:v>
      </x:c>
      <x:c r="F114" s="19" t="s">
        <x:v>11</x:v>
      </x:c>
      <x:c r="G114" s="20">
        <x:v>0</x:v>
      </x:c>
      <x:c r="H114" s="21"/>
      <x:c r="I114" s="21"/>
      <x:c r="J114" s="23">
        <x:v>11</x:v>
      </x:c>
      <x:c r="K114" s="23">
        <x:v>16433.45</x:v>
      </x:c>
      <x:c r="L114" s="23">
        <x:v>10</x:v>
      </x:c>
    </x:row>
    <x:row r="115">
      <x:c r="A115" s="18" t="s">
        <x:v>451</x:v>
      </x:c>
      <x:c r="B115" s="19" t="s">
        <x:v>452</x:v>
      </x:c>
      <x:c r="C115" s="20">
        <x:v>76042930</x:v>
      </x:c>
      <x:c r="D115" s="20">
        <x:v>137.5</x:v>
      </x:c>
      <x:c r="E115" s="18" t="s">
        <x:v>227</x:v>
      </x:c>
      <x:c r="F115" s="19" t="s">
        <x:v>11</x:v>
      </x:c>
      <x:c r="G115" s="20">
        <x:v>0</x:v>
      </x:c>
      <x:c r="H115" s="21"/>
      <x:c r="I115" s="21"/>
      <x:c r="J115" s="23">
        <x:v>8</x:v>
      </x:c>
      <x:c r="K115" s="23">
        <x:v>13088.32</x:v>
      </x:c>
      <x:c r="L115" s="23">
        <x:v>0</x:v>
      </x:c>
    </x:row>
    <x:row r="116">
      <x:c r="A116" s="18" t="s">
        <x:v>453</x:v>
      </x:c>
      <x:c r="B116" s="19" t="s">
        <x:v>454</x:v>
      </x:c>
      <x:c r="C116" s="20">
        <x:v>76042930</x:v>
      </x:c>
      <x:c r="D116" s="20">
        <x:v>93.34</x:v>
      </x:c>
      <x:c r="E116" s="18" t="s">
        <x:v>227</x:v>
      </x:c>
      <x:c r="F116" s="19" t="s">
        <x:v>11</x:v>
      </x:c>
      <x:c r="G116" s="20">
        <x:v>0</x:v>
      </x:c>
      <x:c r="H116" s="20">
        <x:v>400</x:v>
      </x:c>
      <x:c r="I116" s="21"/>
      <x:c r="J116" s="23">
        <x:v>10</x:v>
      </x:c>
      <x:c r="K116" s="23">
        <x:v>16202.05</x:v>
      </x:c>
      <x:c r="L116" s="23">
        <x:v>6</x:v>
      </x:c>
    </x:row>
    <x:row r="117">
      <x:c r="A117" s="18" t="s">
        <x:v>455</x:v>
      </x:c>
      <x:c r="B117" s="19" t="s">
        <x:v>456</x:v>
      </x:c>
      <x:c r="C117" s="20">
        <x:v>76042930</x:v>
      </x:c>
      <x:c r="D117" s="20">
        <x:v>133.33000000000001</x:v>
      </x:c>
      <x:c r="E117" s="18" t="s">
        <x:v>227</x:v>
      </x:c>
      <x:c r="F117" s="19" t="s">
        <x:v>41</x:v>
      </x:c>
      <x:c r="G117" s="20">
        <x:v>299.01</x:v>
      </x:c>
      <x:c r="H117" s="20">
        <x:v>2.25</x:v>
      </x:c>
      <x:c r="I117" s="26" t="s">
        <x:v>440</x:v>
      </x:c>
      <x:c r="J117" s="22">
        <x:v>0</x:v>
      </x:c>
      <x:c r="K117" s="22">
        <x:v>0</x:v>
      </x:c>
      <x:c r="L117" s="23">
        <x:v>275</x:v>
      </x:c>
    </x:row>
    <x:row r="118">
      <x:c r="A118" s="18" t="s">
        <x:v>457</x:v>
      </x:c>
      <x:c r="B118" s="19" t="s">
        <x:v>458</x:v>
      </x:c>
      <x:c r="C118" s="20">
        <x:v>76042930</x:v>
      </x:c>
      <x:c r="D118" s="20">
        <x:v>344.49</x:v>
      </x:c>
      <x:c r="E118" s="18" t="s">
        <x:v>227</x:v>
      </x:c>
      <x:c r="F118" s="19" t="s">
        <x:v>11</x:v>
      </x:c>
      <x:c r="G118" s="20">
        <x:v>0</x:v>
      </x:c>
      <x:c r="H118" s="20">
        <x:v>0</x:v>
      </x:c>
      <x:c r="I118" s="21"/>
      <x:c r="J118" s="22">
        <x:v>0</x:v>
      </x:c>
      <x:c r="K118" s="22">
        <x:v>0</x:v>
      </x:c>
      <x:c r="L118" s="23">
        <x:v>0</x:v>
      </x:c>
    </x:row>
    <x:row r="119">
      <x:c r="A119" s="18" t="s">
        <x:v>459</x:v>
      </x:c>
      <x:c r="B119" s="19" t="s">
        <x:v>460</x:v>
      </x:c>
      <x:c r="C119" s="20">
        <x:v>76042930</x:v>
      </x:c>
      <x:c r="D119" s="20">
        <x:v>370.65</x:v>
      </x:c>
      <x:c r="E119" s="18" t="s">
        <x:v>227</x:v>
      </x:c>
      <x:c r="F119" s="19" t="s">
        <x:v>11</x:v>
      </x:c>
      <x:c r="G119" s="20">
        <x:v>0</x:v>
      </x:c>
      <x:c r="H119" s="20">
        <x:v>0</x:v>
      </x:c>
      <x:c r="I119" s="21"/>
      <x:c r="J119" s="22">
        <x:v>0</x:v>
      </x:c>
      <x:c r="K119" s="22">
        <x:v>0</x:v>
      </x:c>
      <x:c r="L119" s="23">
        <x:v>0</x:v>
      </x:c>
    </x:row>
    <x:row r="120">
      <x:c r="A120" s="18" t="s">
        <x:v>461</x:v>
      </x:c>
      <x:c r="B120" s="19" t="s">
        <x:v>462</x:v>
      </x:c>
      <x:c r="C120" s="20">
        <x:v>76042930</x:v>
      </x:c>
      <x:c r="D120" s="20">
        <x:v>73.33</x:v>
      </x:c>
      <x:c r="E120" s="18" t="s">
        <x:v>227</x:v>
      </x:c>
      <x:c r="F120" s="19" t="s">
        <x:v>11</x:v>
      </x:c>
      <x:c r="G120" s="20">
        <x:v>0</x:v>
      </x:c>
      <x:c r="H120" s="21"/>
      <x:c r="I120" s="21"/>
      <x:c r="J120" s="23">
        <x:v>16</x:v>
      </x:c>
      <x:c r="K120" s="23">
        <x:v>50516.85</x:v>
      </x:c>
      <x:c r="L120" s="23">
        <x:v>0</x:v>
      </x:c>
    </x:row>
    <x:row r="121">
      <x:c r="A121" s="18" t="s">
        <x:v>463</x:v>
      </x:c>
      <x:c r="B121" s="19" t="s">
        <x:v>464</x:v>
      </x:c>
      <x:c r="C121" s="20">
        <x:v>76042930</x:v>
      </x:c>
      <x:c r="D121" s="20">
        <x:v>43.33</x:v>
      </x:c>
      <x:c r="E121" s="18" t="s">
        <x:v>227</x:v>
      </x:c>
      <x:c r="F121" s="19" t="s">
        <x:v>11</x:v>
      </x:c>
      <x:c r="G121" s="20">
        <x:v>0</x:v>
      </x:c>
      <x:c r="H121" s="21"/>
      <x:c r="I121" s="21"/>
      <x:c r="J121" s="23">
        <x:v>16</x:v>
      </x:c>
      <x:c r="K121" s="23">
        <x:v>50516.85</x:v>
      </x:c>
      <x:c r="L121" s="23">
        <x:v>3</x:v>
      </x:c>
    </x:row>
    <x:row r="122">
      <x:c r="A122" s="18" t="s">
        <x:v>465</x:v>
      </x:c>
      <x:c r="B122" s="19" t="s">
        <x:v>466</x:v>
      </x:c>
      <x:c r="C122" s="20">
        <x:v>76042930</x:v>
      </x:c>
      <x:c r="D122" s="20">
        <x:v>55</x:v>
      </x:c>
      <x:c r="E122" s="18" t="s">
        <x:v>227</x:v>
      </x:c>
      <x:c r="F122" s="19" t="s">
        <x:v>41</x:v>
      </x:c>
      <x:c r="G122" s="20">
        <x:v>0</x:v>
      </x:c>
      <x:c r="H122" s="21"/>
      <x:c r="I122" s="21"/>
      <x:c r="J122" s="23">
        <x:v>246</x:v>
      </x:c>
      <x:c r="K122" s="23">
        <x:v>64710.96</x:v>
      </x:c>
      <x:c r="L122" s="23">
        <x:v>246</x:v>
      </x:c>
    </x:row>
    <x:row r="123">
      <x:c r="A123" s="18" t="s">
        <x:v>467</x:v>
      </x:c>
      <x:c r="B123" s="19" t="s">
        <x:v>468</x:v>
      </x:c>
      <x:c r="C123" s="20">
        <x:v>76042930</x:v>
      </x:c>
      <x:c r="D123" s="20">
        <x:v>53.33</x:v>
      </x:c>
      <x:c r="E123" s="18" t="s">
        <x:v>227</x:v>
      </x:c>
      <x:c r="F123" s="19" t="s">
        <x:v>41</x:v>
      </x:c>
      <x:c r="G123" s="20">
        <x:v>0</x:v>
      </x:c>
      <x:c r="H123" s="21"/>
      <x:c r="I123" s="21"/>
      <x:c r="J123" s="23">
        <x:v>72</x:v>
      </x:c>
      <x:c r="K123" s="23">
        <x:v>21710.55</x:v>
      </x:c>
      <x:c r="L123" s="23">
        <x:v>72</x:v>
      </x:c>
    </x:row>
    <x:row r="124">
      <x:c r="A124" s="18" t="s">
        <x:v>469</x:v>
      </x:c>
      <x:c r="B124" s="19" t="s">
        <x:v>470</x:v>
      </x:c>
      <x:c r="C124" s="20">
        <x:v>76042930</x:v>
      </x:c>
      <x:c r="D124" s="20">
        <x:v>853.18</x:v>
      </x:c>
      <x:c r="E124" s="18" t="s">
        <x:v>227</x:v>
      </x:c>
      <x:c r="F124" s="19" t="s">
        <x:v>41</x:v>
      </x:c>
      <x:c r="G124" s="20">
        <x:v>0</x:v>
      </x:c>
      <x:c r="H124" s="21"/>
      <x:c r="I124" s="21"/>
      <x:c r="J124" s="23">
        <x:v>72</x:v>
      </x:c>
      <x:c r="K124" s="23">
        <x:v>22795.84</x:v>
      </x:c>
      <x:c r="L124" s="23">
        <x:v>72</x:v>
      </x:c>
    </x:row>
    <x:row r="125">
      <x:c r="A125" s="18" t="s">
        <x:v>471</x:v>
      </x:c>
      <x:c r="B125" s="19" t="s">
        <x:v>472</x:v>
      </x:c>
      <x:c r="C125" s="20">
        <x:v>76012090</x:v>
      </x:c>
      <x:c r="D125" s="20">
        <x:v>902.46</x:v>
      </x:c>
      <x:c r="E125" s="18" t="s">
        <x:v>227</x:v>
      </x:c>
      <x:c r="F125" s="19" t="s">
        <x:v>41</x:v>
      </x:c>
      <x:c r="G125" s="20">
        <x:v>0</x:v>
      </x:c>
      <x:c r="H125" s="20">
        <x:v>180</x:v>
      </x:c>
      <x:c r="I125" s="21"/>
      <x:c r="J125" s="23">
        <x:v>47</x:v>
      </x:c>
      <x:c r="K125" s="23">
        <x:v>13208.41</x:v>
      </x:c>
      <x:c r="L125" s="23">
        <x:v>47</x:v>
      </x:c>
    </x:row>
    <x:row r="126">
      <x:c r="A126" s="18" t="s">
        <x:v>473</x:v>
      </x:c>
      <x:c r="B126" s="19" t="s">
        <x:v>474</x:v>
      </x:c>
      <x:c r="C126" s="20">
        <x:v>76042930</x:v>
      </x:c>
      <x:c r="D126" s="20">
        <x:v>565.01</x:v>
      </x:c>
      <x:c r="E126" s="18" t="s">
        <x:v>227</x:v>
      </x:c>
      <x:c r="F126" s="19" t="s">
        <x:v>41</x:v>
      </x:c>
      <x:c r="G126" s="20">
        <x:v>0</x:v>
      </x:c>
      <x:c r="H126" s="20">
        <x:v>0</x:v>
      </x:c>
      <x:c r="I126" s="21"/>
      <x:c r="J126" s="22">
        <x:v>0</x:v>
      </x:c>
      <x:c r="K126" s="22">
        <x:v>0</x:v>
      </x:c>
      <x:c r="L126" s="23">
        <x:v>0</x:v>
      </x:c>
    </x:row>
    <x:row r="127">
      <x:c r="A127" s="18" t="s">
        <x:v>475</x:v>
      </x:c>
      <x:c r="B127" s="19" t="s">
        <x:v>476</x:v>
      </x:c>
      <x:c r="C127" s="20">
        <x:v>76042930</x:v>
      </x:c>
      <x:c r="D127" s="20">
        <x:v>704.54</x:v>
      </x:c>
      <x:c r="E127" s="18" t="s">
        <x:v>227</x:v>
      </x:c>
      <x:c r="F127" s="19" t="s">
        <x:v>41</x:v>
      </x:c>
      <x:c r="G127" s="20">
        <x:v>0</x:v>
      </x:c>
      <x:c r="H127" s="20">
        <x:v>180</x:v>
      </x:c>
      <x:c r="I127" s="21"/>
      <x:c r="J127" s="23">
        <x:v>612</x:v>
      </x:c>
      <x:c r="K127" s="23">
        <x:v>45835.15</x:v>
      </x:c>
      <x:c r="L127" s="23">
        <x:v>606</x:v>
      </x:c>
    </x:row>
    <x:row r="128">
      <x:c r="A128" s="18" t="s">
        <x:v>477</x:v>
      </x:c>
      <x:c r="B128" s="19" t="s">
        <x:v>478</x:v>
      </x:c>
      <x:c r="C128" s="20">
        <x:v>76012090</x:v>
      </x:c>
      <x:c r="D128" s="20">
        <x:v>441.1</x:v>
      </x:c>
      <x:c r="E128" s="18" t="s">
        <x:v>227</x:v>
      </x:c>
      <x:c r="F128" s="19" t="s">
        <x:v>41</x:v>
      </x:c>
      <x:c r="G128" s="20">
        <x:v>0</x:v>
      </x:c>
      <x:c r="H128" s="20">
        <x:v>0</x:v>
      </x:c>
      <x:c r="I128" s="21"/>
      <x:c r="J128" s="22">
        <x:v>0</x:v>
      </x:c>
      <x:c r="K128" s="22">
        <x:v>0</x:v>
      </x:c>
      <x:c r="L128" s="23">
        <x:v>0</x:v>
      </x:c>
    </x:row>
    <x:row r="129">
      <x:c r="A129" s="18" t="s">
        <x:v>479</x:v>
      </x:c>
      <x:c r="B129" s="19" t="s">
        <x:v>480</x:v>
      </x:c>
      <x:c r="C129" s="20">
        <x:v>76042930</x:v>
      </x:c>
      <x:c r="D129" s="20">
        <x:v>178.05</x:v>
      </x:c>
      <x:c r="E129" s="18" t="s">
        <x:v>227</x:v>
      </x:c>
      <x:c r="F129" s="19" t="s">
        <x:v>41</x:v>
      </x:c>
      <x:c r="G129" s="20">
        <x:v>156.44</x:v>
      </x:c>
      <x:c r="H129" s="20">
        <x:v>15.75</x:v>
      </x:c>
      <x:c r="I129" s="26" t="s">
        <x:v>440</x:v>
      </x:c>
      <x:c r="J129" s="23">
        <x:v>207.5</x:v>
      </x:c>
      <x:c r="K129" s="23">
        <x:v>26947.49</x:v>
      </x:c>
      <x:c r="L129" s="23">
        <x:v>728</x:v>
      </x:c>
    </x:row>
    <x:row r="130">
      <x:c r="A130" s="18" t="s">
        <x:v>481</x:v>
      </x:c>
      <x:c r="B130" s="19" t="s">
        <x:v>482</x:v>
      </x:c>
      <x:c r="C130" s="20">
        <x:v>76042930</x:v>
      </x:c>
      <x:c r="D130" s="20">
        <x:v>359.34</x:v>
      </x:c>
      <x:c r="E130" s="18" t="s">
        <x:v>227</x:v>
      </x:c>
      <x:c r="F130" s="19" t="s">
        <x:v>41</x:v>
      </x:c>
      <x:c r="G130" s="20">
        <x:v>0</x:v>
      </x:c>
      <x:c r="H130" s="20">
        <x:v>40</x:v>
      </x:c>
      <x:c r="I130" s="21"/>
      <x:c r="J130" s="23">
        <x:v>144</x:v>
      </x:c>
      <x:c r="K130" s="23">
        <x:v>21436.33</x:v>
      </x:c>
      <x:c r="L130" s="23">
        <x:v>144</x:v>
      </x:c>
    </x:row>
    <x:row r="131">
      <x:c r="A131" s="18" t="s">
        <x:v>483</x:v>
      </x:c>
      <x:c r="B131" s="19" t="s">
        <x:v>484</x:v>
      </x:c>
      <x:c r="C131" s="20">
        <x:v>76042930</x:v>
      </x:c>
      <x:c r="D131" s="20">
        <x:v>224.99</x:v>
      </x:c>
      <x:c r="E131" s="18" t="s">
        <x:v>227</x:v>
      </x:c>
      <x:c r="F131" s="19" t="s">
        <x:v>41</x:v>
      </x:c>
      <x:c r="G131" s="20">
        <x:v>0</x:v>
      </x:c>
      <x:c r="H131" s="20">
        <x:v>1.5</x:v>
      </x:c>
      <x:c r="I131" s="21"/>
      <x:c r="J131" s="23">
        <x:v>144</x:v>
      </x:c>
      <x:c r="K131" s="23">
        <x:v>22508.1</x:v>
      </x:c>
      <x:c r="L131" s="23">
        <x:v>138</x:v>
      </x:c>
    </x:row>
    <x:row r="132">
      <x:c r="A132" s="18" t="s">
        <x:v>485</x:v>
      </x:c>
      <x:c r="B132" s="19" t="s">
        <x:v>486</x:v>
      </x:c>
      <x:c r="C132" s="20">
        <x:v>76042930</x:v>
      </x:c>
      <x:c r="D132" s="20">
        <x:v>236.24</x:v>
      </x:c>
      <x:c r="E132" s="18" t="s">
        <x:v>227</x:v>
      </x:c>
      <x:c r="F132" s="19" t="s">
        <x:v>41</x:v>
      </x:c>
      <x:c r="G132" s="20">
        <x:v>0</x:v>
      </x:c>
      <x:c r="H132" s="20">
        <x:v>0</x:v>
      </x:c>
      <x:c r="I132" s="21"/>
      <x:c r="J132" s="23">
        <x:v>329</x:v>
      </x:c>
      <x:c r="K132" s="23">
        <x:v>33659.17</x:v>
      </x:c>
      <x:c r="L132" s="23">
        <x:v>279</x:v>
      </x:c>
    </x:row>
    <x:row r="133">
      <x:c r="A133" s="18" t="s">
        <x:v>487</x:v>
      </x:c>
      <x:c r="B133" s="19" t="s">
        <x:v>488</x:v>
      </x:c>
      <x:c r="C133" s="20">
        <x:v>76042930</x:v>
      </x:c>
      <x:c r="D133" s="20">
        <x:v>468.8</x:v>
      </x:c>
      <x:c r="E133" s="18" t="s">
        <x:v>227</x:v>
      </x:c>
      <x:c r="F133" s="19" t="s">
        <x:v>41</x:v>
      </x:c>
      <x:c r="G133" s="20">
        <x:v>297.95999999999998</x:v>
      </x:c>
      <x:c r="H133" s="20">
        <x:v>3.75</x:v>
      </x:c>
      <x:c r="I133" s="26" t="s">
        <x:v>440</x:v>
      </x:c>
      <x:c r="J133" s="23">
        <x:v>30</x:v>
      </x:c>
      <x:c r="K133" s="23">
        <x:v>8301.14</x:v>
      </x:c>
      <x:c r="L133" s="23">
        <x:v>323</x:v>
      </x:c>
    </x:row>
    <x:row r="134">
      <x:c r="A134" s="18" t="s">
        <x:v>489</x:v>
      </x:c>
      <x:c r="B134" s="19" t="s">
        <x:v>490</x:v>
      </x:c>
      <x:c r="C134" s="20">
        <x:v>76042930</x:v>
      </x:c>
      <x:c r="D134" s="20">
        <x:v>293.5</x:v>
      </x:c>
      <x:c r="E134" s="18" t="s">
        <x:v>227</x:v>
      </x:c>
      <x:c r="F134" s="19" t="s">
        <x:v>41</x:v>
      </x:c>
      <x:c r="G134" s="20">
        <x:v>0</x:v>
      </x:c>
      <x:c r="H134" s="20">
        <x:v>0</x:v>
      </x:c>
      <x:c r="I134" s="21"/>
      <x:c r="J134" s="23">
        <x:v>6</x:v>
      </x:c>
      <x:c r="K134" s="23">
        <x:v>1903.15</x:v>
      </x:c>
      <x:c r="L134" s="23">
        <x:v>0</x:v>
      </x:c>
    </x:row>
    <x:row r="135">
      <x:c r="A135" s="18" t="s">
        <x:v>491</x:v>
      </x:c>
      <x:c r="B135" s="19" t="s">
        <x:v>492</x:v>
      </x:c>
      <x:c r="C135" s="20">
        <x:v>76042930</x:v>
      </x:c>
      <x:c r="D135" s="20">
        <x:v>561.35</x:v>
      </x:c>
      <x:c r="E135" s="18" t="s">
        <x:v>227</x:v>
      </x:c>
      <x:c r="F135" s="19" t="s">
        <x:v>41</x:v>
      </x:c>
      <x:c r="G135" s="20">
        <x:v>0</x:v>
      </x:c>
      <x:c r="H135" s="20">
        <x:v>2.25</x:v>
      </x:c>
      <x:c r="I135" s="21"/>
      <x:c r="J135" s="23">
        <x:v>555</x:v>
      </x:c>
      <x:c r="K135" s="23">
        <x:v>85180.59</x:v>
      </x:c>
      <x:c r="L135" s="23">
        <x:v>165</x:v>
      </x:c>
    </x:row>
    <x:row r="136">
      <x:c r="A136" s="18" t="s">
        <x:v>493</x:v>
      </x:c>
      <x:c r="B136" s="19" t="s">
        <x:v>494</x:v>
      </x:c>
      <x:c r="C136" s="20">
        <x:v>76042930</x:v>
      </x:c>
      <x:c r="D136" s="20">
        <x:v>351.44</x:v>
      </x:c>
      <x:c r="E136" s="18" t="s">
        <x:v>227</x:v>
      </x:c>
      <x:c r="F136" s="19" t="s">
        <x:v>41</x:v>
      </x:c>
      <x:c r="G136" s="20">
        <x:v>0</x:v>
      </x:c>
      <x:c r="H136" s="20">
        <x:v>0</x:v>
      </x:c>
      <x:c r="I136" s="21"/>
      <x:c r="J136" s="23">
        <x:v>215.9</x:v>
      </x:c>
      <x:c r="K136" s="23">
        <x:v>34967.97</x:v>
      </x:c>
      <x:c r="L136" s="23">
        <x:v>125.9</x:v>
      </x:c>
    </x:row>
    <x:row r="137">
      <x:c r="A137" s="18" t="s">
        <x:v>495</x:v>
      </x:c>
      <x:c r="B137" s="19" t="s">
        <x:v>496</x:v>
      </x:c>
      <x:c r="C137" s="20">
        <x:v>76042930</x:v>
      </x:c>
      <x:c r="D137" s="20">
        <x:v>454.58</x:v>
      </x:c>
      <x:c r="E137" s="18" t="s">
        <x:v>227</x:v>
      </x:c>
      <x:c r="F137" s="19" t="s">
        <x:v>41</x:v>
      </x:c>
      <x:c r="G137" s="20">
        <x:v>0</x:v>
      </x:c>
      <x:c r="H137" s="21"/>
      <x:c r="I137" s="21"/>
      <x:c r="J137" s="23">
        <x:v>114</x:v>
      </x:c>
      <x:c r="K137" s="23">
        <x:v>21165.01</x:v>
      </x:c>
      <x:c r="L137" s="23">
        <x:v>42</x:v>
      </x:c>
    </x:row>
    <x:row r="138">
      <x:c r="A138" s="18" t="s">
        <x:v>497</x:v>
      </x:c>
      <x:c r="B138" s="19" t="s">
        <x:v>498</x:v>
      </x:c>
      <x:c r="C138" s="20">
        <x:v>76042930</x:v>
      </x:c>
      <x:c r="D138" s="20">
        <x:v>300</x:v>
      </x:c>
      <x:c r="E138" s="18" t="s">
        <x:v>227</x:v>
      </x:c>
      <x:c r="F138" s="19" t="s">
        <x:v>41</x:v>
      </x:c>
      <x:c r="G138" s="20">
        <x:v>0</x:v>
      </x:c>
      <x:c r="H138" s="20">
        <x:v>160.38999999999999</x:v>
      </x:c>
      <x:c r="I138" s="21"/>
      <x:c r="J138" s="23">
        <x:v>114</x:v>
      </x:c>
      <x:c r="K138" s="23">
        <x:v>22223.26</x:v>
      </x:c>
      <x:c r="L138" s="23">
        <x:v>39</x:v>
      </x:c>
    </x:row>
    <x:row r="139">
      <x:c r="A139" s="18" t="s">
        <x:v>499</x:v>
      </x:c>
      <x:c r="B139" s="19" t="s">
        <x:v>500</x:v>
      </x:c>
      <x:c r="C139" s="20">
        <x:v>76012090</x:v>
      </x:c>
      <x:c r="D139" s="20">
        <x:v>410</x:v>
      </x:c>
      <x:c r="E139" s="18" t="s">
        <x:v>227</x:v>
      </x:c>
      <x:c r="F139" s="19" t="s">
        <x:v>41</x:v>
      </x:c>
      <x:c r="G139" s="20">
        <x:v>433.33</x:v>
      </x:c>
      <x:c r="H139" s="20">
        <x:v>0</x:v>
      </x:c>
      <x:c r="I139" s="26" t="s">
        <x:v>255</x:v>
      </x:c>
      <x:c r="J139" s="23">
        <x:v>6</x:v>
      </x:c>
      <x:c r="K139" s="23">
        <x:v>2599.98</x:v>
      </x:c>
      <x:c r="L139" s="23">
        <x:v>3</x:v>
      </x:c>
    </x:row>
    <x:row r="140">
      <x:c r="A140" s="18" t="s">
        <x:v>501</x:v>
      </x:c>
      <x:c r="B140" s="19" t="s">
        <x:v>502</x:v>
      </x:c>
      <x:c r="C140" s="20">
        <x:v>76042930</x:v>
      </x:c>
      <x:c r="D140" s="20">
        <x:v>300</x:v>
      </x:c>
      <x:c r="E140" s="18" t="s">
        <x:v>227</x:v>
      </x:c>
      <x:c r="F140" s="19" t="s">
        <x:v>41</x:v>
      </x:c>
      <x:c r="G140" s="20">
        <x:v>292.10000000000002</x:v>
      </x:c>
      <x:c r="H140" s="20">
        <x:v>34.64</x:v>
      </x:c>
      <x:c r="I140" s="26" t="s">
        <x:v>245</x:v>
      </x:c>
      <x:c r="J140" s="23">
        <x:v>459</x:v>
      </x:c>
      <x:c r="K140" s="23">
        <x:v>135975.22</x:v>
      </x:c>
      <x:c r="L140" s="23">
        <x:v>216</x:v>
      </x:c>
    </x:row>
    <x:row r="141">
      <x:c r="A141" s="18" t="s">
        <x:v>503</x:v>
      </x:c>
      <x:c r="B141" s="19" t="s">
        <x:v>504</x:v>
      </x:c>
      <x:c r="C141" s="20">
        <x:v>76042930</x:v>
      </x:c>
      <x:c r="D141" s="20">
        <x:v>265</x:v>
      </x:c>
      <x:c r="E141" s="18" t="s">
        <x:v>227</x:v>
      </x:c>
      <x:c r="F141" s="19" t="s">
        <x:v>41</x:v>
      </x:c>
      <x:c r="G141" s="20">
        <x:v>0</x:v>
      </x:c>
      <x:c r="H141" s="20">
        <x:v>14</x:v>
      </x:c>
      <x:c r="I141" s="21"/>
      <x:c r="J141" s="22">
        <x:v>0</x:v>
      </x:c>
      <x:c r="K141" s="22">
        <x:v>0</x:v>
      </x:c>
      <x:c r="L141" s="23">
        <x:v>15</x:v>
      </x:c>
    </x:row>
    <x:row r="142">
      <x:c r="A142" s="18" t="s">
        <x:v>505</x:v>
      </x:c>
      <x:c r="B142" s="19" t="s">
        <x:v>506</x:v>
      </x:c>
      <x:c r="C142" s="20">
        <x:v>76012090</x:v>
      </x:c>
      <x:c r="D142" s="20">
        <x:v>197.09</x:v>
      </x:c>
      <x:c r="E142" s="18" t="s">
        <x:v>227</x:v>
      </x:c>
      <x:c r="F142" s="19" t="s">
        <x:v>41</x:v>
      </x:c>
      <x:c r="G142" s="20">
        <x:v>0</x:v>
      </x:c>
      <x:c r="H142" s="21"/>
      <x:c r="I142" s="21"/>
      <x:c r="J142" s="23">
        <x:v>270</x:v>
      </x:c>
      <x:c r="K142" s="23">
        <x:v>19656</x:v>
      </x:c>
      <x:c r="L142" s="23">
        <x:v>263</x:v>
      </x:c>
    </x:row>
    <x:row r="143">
      <x:c r="A143" s="18" t="s">
        <x:v>507</x:v>
      </x:c>
      <x:c r="B143" s="19" t="s">
        <x:v>508</x:v>
      </x:c>
      <x:c r="C143" s="20">
        <x:v>76042930</x:v>
      </x:c>
      <x:c r="D143" s="20">
        <x:v>116.58</x:v>
      </x:c>
      <x:c r="E143" s="18" t="s">
        <x:v>227</x:v>
      </x:c>
      <x:c r="F143" s="19" t="s">
        <x:v>41</x:v>
      </x:c>
      <x:c r="G143" s="20">
        <x:v>0</x:v>
      </x:c>
      <x:c r="H143" s="20">
        <x:v>1111.5</x:v>
      </x:c>
      <x:c r="I143" s="21"/>
      <x:c r="J143" s="22">
        <x:v>0</x:v>
      </x:c>
      <x:c r="K143" s="22">
        <x:v>0</x:v>
      </x:c>
      <x:c r="L143" s="23">
        <x:v>0</x:v>
      </x:c>
    </x:row>
    <x:row r="144">
      <x:c r="A144" s="18" t="s">
        <x:v>509</x:v>
      </x:c>
      <x:c r="B144" s="19" t="s">
        <x:v>510</x:v>
      </x:c>
      <x:c r="C144" s="20">
        <x:v>76012090</x:v>
      </x:c>
      <x:c r="D144" s="20">
        <x:v>15</x:v>
      </x:c>
      <x:c r="E144" s="18" t="s">
        <x:v>227</x:v>
      </x:c>
      <x:c r="F144" s="19" t="s">
        <x:v>41</x:v>
      </x:c>
      <x:c r="G144" s="20">
        <x:v>0</x:v>
      </x:c>
      <x:c r="H144" s="20">
        <x:v>175.5</x:v>
      </x:c>
      <x:c r="I144" s="21"/>
      <x:c r="J144" s="23">
        <x:v>1588</x:v>
      </x:c>
      <x:c r="K144" s="23">
        <x:v>147985.03</x:v>
      </x:c>
      <x:c r="L144" s="23">
        <x:v>0</x:v>
      </x:c>
    </x:row>
    <x:row r="145">
      <x:c r="A145" s="18" t="s">
        <x:v>511</x:v>
      </x:c>
      <x:c r="B145" s="19" t="s">
        <x:v>512</x:v>
      </x:c>
      <x:c r="C145" s="20">
        <x:v>76042930</x:v>
      </x:c>
      <x:c r="D145" s="20">
        <x:v>27.26</x:v>
      </x:c>
      <x:c r="E145" s="18" t="s">
        <x:v>227</x:v>
      </x:c>
      <x:c r="F145" s="19" t="s">
        <x:v>41</x:v>
      </x:c>
      <x:c r="G145" s="20">
        <x:v>0</x:v>
      </x:c>
      <x:c r="H145" s="20">
        <x:v>442.25</x:v>
      </x:c>
      <x:c r="I145" s="21"/>
      <x:c r="J145" s="22">
        <x:v>0</x:v>
      </x:c>
      <x:c r="K145" s="22">
        <x:v>0</x:v>
      </x:c>
      <x:c r="L145" s="23">
        <x:v>0</x:v>
      </x:c>
    </x:row>
    <x:row r="146">
      <x:c r="A146" s="18" t="s">
        <x:v>513</x:v>
      </x:c>
      <x:c r="B146" s="19" t="s">
        <x:v>514</x:v>
      </x:c>
      <x:c r="C146" s="20">
        <x:v>76042930</x:v>
      </x:c>
      <x:c r="D146" s="20">
        <x:v>25.43</x:v>
      </x:c>
      <x:c r="E146" s="18" t="s">
        <x:v>227</x:v>
      </x:c>
      <x:c r="F146" s="19" t="s">
        <x:v>11</x:v>
      </x:c>
      <x:c r="G146" s="20">
        <x:v>0</x:v>
      </x:c>
      <x:c r="H146" s="20">
        <x:v>910.63</x:v>
      </x:c>
      <x:c r="I146" s="21"/>
      <x:c r="J146" s="23">
        <x:v>4</x:v>
      </x:c>
      <x:c r="K146" s="23">
        <x:v>1973</x:v>
      </x:c>
      <x:c r="L146" s="23">
        <x:v>0</x:v>
      </x:c>
    </x:row>
    <x:row r="147">
      <x:c r="A147" s="18" t="s">
        <x:v>515</x:v>
      </x:c>
      <x:c r="B147" s="19" t="s">
        <x:v>516</x:v>
      </x:c>
      <x:c r="C147" s="20">
        <x:v>76012090</x:v>
      </x:c>
      <x:c r="D147" s="20">
        <x:v>13291.66</x:v>
      </x:c>
      <x:c r="E147" s="18" t="s">
        <x:v>227</x:v>
      </x:c>
      <x:c r="F147" s="19" t="s">
        <x:v>11</x:v>
      </x:c>
      <x:c r="G147" s="20">
        <x:v>0</x:v>
      </x:c>
      <x:c r="H147" s="21"/>
      <x:c r="I147" s="21"/>
      <x:c r="J147" s="23">
        <x:v>1</x:v>
      </x:c>
      <x:c r="K147" s="23">
        <x:v>1856.91</x:v>
      </x:c>
      <x:c r="L147" s="23">
        <x:v>1</x:v>
      </x:c>
    </x:row>
    <x:row r="148">
      <x:c r="A148" s="18" t="s">
        <x:v>517</x:v>
      </x:c>
      <x:c r="B148" s="19" t="s">
        <x:v>518</x:v>
      </x:c>
      <x:c r="C148" s="20">
        <x:v>76012090</x:v>
      </x:c>
      <x:c r="D148" s="20">
        <x:v>16013.02</x:v>
      </x:c>
      <x:c r="E148" s="18" t="s">
        <x:v>227</x:v>
      </x:c>
      <x:c r="F148" s="19" t="s">
        <x:v>41</x:v>
      </x:c>
      <x:c r="G148" s="20">
        <x:v>0</x:v>
      </x:c>
      <x:c r="H148" s="21"/>
      <x:c r="I148" s="21"/>
      <x:c r="J148" s="23">
        <x:v>69</x:v>
      </x:c>
      <x:c r="K148" s="23">
        <x:v>49956</x:v>
      </x:c>
      <x:c r="L148" s="23">
        <x:v>69</x:v>
      </x:c>
    </x:row>
    <x:row r="149">
      <x:c r="A149" s="18" t="s">
        <x:v>519</x:v>
      </x:c>
      <x:c r="B149" s="19" t="s">
        <x:v>520</x:v>
      </x:c>
      <x:c r="C149" s="20">
        <x:v>76012090</x:v>
      </x:c>
      <x:c r="D149" s="20">
        <x:v>10.67</x:v>
      </x:c>
      <x:c r="E149" s="18" t="s">
        <x:v>227</x:v>
      </x:c>
      <x:c r="F149" s="19" t="s">
        <x:v>41</x:v>
      </x:c>
      <x:c r="G149" s="20">
        <x:v>0</x:v>
      </x:c>
      <x:c r="H149" s="20">
        <x:v>270.63</x:v>
      </x:c>
      <x:c r="I149" s="21"/>
      <x:c r="J149" s="23">
        <x:v>33</x:v>
      </x:c>
      <x:c r="K149" s="23">
        <x:v>33637.629999999997</x:v>
      </x:c>
      <x:c r="L149" s="23">
        <x:v>24</x:v>
      </x:c>
    </x:row>
    <x:row r="150">
      <x:c r="A150" s="18" t="s">
        <x:v>521</x:v>
      </x:c>
      <x:c r="B150" s="19" t="s">
        <x:v>522</x:v>
      </x:c>
      <x:c r="C150" s="20">
        <x:v>76042930</x:v>
      </x:c>
      <x:c r="D150" s="20">
        <x:v>133.38</x:v>
      </x:c>
      <x:c r="E150" s="18" t="s">
        <x:v>227</x:v>
      </x:c>
      <x:c r="F150" s="19" t="s">
        <x:v>41</x:v>
      </x:c>
      <x:c r="G150" s="20">
        <x:v>0</x:v>
      </x:c>
      <x:c r="H150" s="20">
        <x:v>3</x:v>
      </x:c>
      <x:c r="I150" s="21"/>
      <x:c r="J150" s="23">
        <x:v>60</x:v>
      </x:c>
      <x:c r="K150" s="23">
        <x:v>5696.4</x:v>
      </x:c>
      <x:c r="L150" s="23">
        <x:v>0</x:v>
      </x:c>
    </x:row>
    <x:row r="151">
      <x:c r="A151" s="18" t="s">
        <x:v>523</x:v>
      </x:c>
      <x:c r="B151" s="19" t="s">
        <x:v>524</x:v>
      </x:c>
      <x:c r="C151" s="20">
        <x:v>76042930</x:v>
      </x:c>
      <x:c r="D151" s="20">
        <x:v>226.94</x:v>
      </x:c>
      <x:c r="E151" s="18" t="s">
        <x:v>227</x:v>
      </x:c>
      <x:c r="F151" s="19" t="s">
        <x:v>41</x:v>
      </x:c>
      <x:c r="G151" s="20">
        <x:v>149.08000000000001</x:v>
      </x:c>
      <x:c r="H151" s="20">
        <x:v>0.75</x:v>
      </x:c>
      <x:c r="I151" s="26" t="s">
        <x:v>245</x:v>
      </x:c>
      <x:c r="J151" s="23">
        <x:v>4</x:v>
      </x:c>
      <x:c r="K151" s="23">
        <x:v>442.12</x:v>
      </x:c>
      <x:c r="L151" s="23">
        <x:v>769</x:v>
      </x:c>
    </x:row>
    <x:row r="152">
      <x:c r="A152" s="18" t="s">
        <x:v>525</x:v>
      </x:c>
      <x:c r="B152" s="19" t="s">
        <x:v>526</x:v>
      </x:c>
      <x:c r="C152" s="20">
        <x:v>76012090</x:v>
      </x:c>
      <x:c r="D152" s="20">
        <x:v>375.84</x:v>
      </x:c>
      <x:c r="E152" s="18" t="s">
        <x:v>227</x:v>
      </x:c>
      <x:c r="F152" s="19" t="s">
        <x:v>41</x:v>
      </x:c>
      <x:c r="G152" s="20">
        <x:v>0</x:v>
      </x:c>
      <x:c r="H152" s="21"/>
      <x:c r="I152" s="21"/>
      <x:c r="J152" s="22">
        <x:v>0</x:v>
      </x:c>
      <x:c r="K152" s="22">
        <x:v>0</x:v>
      </x:c>
      <x:c r="L152" s="23">
        <x:v>0</x:v>
      </x:c>
    </x:row>
    <x:row r="153">
      <x:c r="A153" s="18" t="s">
        <x:v>527</x:v>
      </x:c>
      <x:c r="B153" s="19" t="s">
        <x:v>528</x:v>
      </x:c>
      <x:c r="C153" s="20">
        <x:v>76012090</x:v>
      </x:c>
      <x:c r="D153" s="20">
        <x:v>205.7</x:v>
      </x:c>
      <x:c r="E153" s="18" t="s">
        <x:v>227</x:v>
      </x:c>
      <x:c r="F153" s="19" t="s">
        <x:v>41</x:v>
      </x:c>
      <x:c r="G153" s="20">
        <x:v>0</x:v>
      </x:c>
      <x:c r="H153" s="20">
        <x:v>5</x:v>
      </x:c>
      <x:c r="I153" s="21"/>
      <x:c r="J153" s="22">
        <x:v>0</x:v>
      </x:c>
      <x:c r="K153" s="22">
        <x:v>0</x:v>
      </x:c>
      <x:c r="L153" s="23">
        <x:v>0</x:v>
      </x:c>
    </x:row>
    <x:row r="154">
      <x:c r="A154" s="18" t="s">
        <x:v>529</x:v>
      </x:c>
      <x:c r="B154" s="19" t="s">
        <x:v>530</x:v>
      </x:c>
      <x:c r="C154" s="20">
        <x:v>76012090</x:v>
      </x:c>
      <x:c r="D154" s="20">
        <x:v>288.60000000000002</x:v>
      </x:c>
      <x:c r="E154" s="18" t="s">
        <x:v>227</x:v>
      </x:c>
      <x:c r="F154" s="19" t="s">
        <x:v>41</x:v>
      </x:c>
      <x:c r="G154" s="20">
        <x:v>0</x:v>
      </x:c>
      <x:c r="H154" s="20">
        <x:v>0</x:v>
      </x:c>
      <x:c r="I154" s="21"/>
      <x:c r="J154" s="22">
        <x:v>0</x:v>
      </x:c>
      <x:c r="K154" s="22">
        <x:v>0</x:v>
      </x:c>
      <x:c r="L154" s="23">
        <x:v>0</x:v>
      </x:c>
    </x:row>
    <x:row r="155">
      <x:c r="A155" s="18" t="s">
        <x:v>531</x:v>
      </x:c>
      <x:c r="B155" s="19" t="s">
        <x:v>532</x:v>
      </x:c>
      <x:c r="C155" s="20">
        <x:v>76042930</x:v>
      </x:c>
      <x:c r="D155" s="20">
        <x:v>700</x:v>
      </x:c>
      <x:c r="E155" s="18" t="s">
        <x:v>227</x:v>
      </x:c>
      <x:c r="F155" s="19" t="s">
        <x:v>41</x:v>
      </x:c>
      <x:c r="G155" s="20">
        <x:v>0</x:v>
      </x:c>
      <x:c r="H155" s="21"/>
      <x:c r="I155" s="21"/>
      <x:c r="J155" s="23">
        <x:v>3</x:v>
      </x:c>
      <x:c r="K155" s="23">
        <x:v>741.84</x:v>
      </x:c>
      <x:c r="L155" s="23">
        <x:v>3</x:v>
      </x:c>
    </x:row>
    <x:row r="156">
      <x:c r="A156" s="18" t="s">
        <x:v>533</x:v>
      </x:c>
      <x:c r="B156" s="19" t="s">
        <x:v>534</x:v>
      </x:c>
      <x:c r="C156" s="20">
        <x:v>76012090</x:v>
      </x:c>
      <x:c r="D156" s="20">
        <x:v>3782</x:v>
      </x:c>
      <x:c r="E156" s="18" t="s">
        <x:v>227</x:v>
      </x:c>
      <x:c r="F156" s="19" t="s">
        <x:v>41</x:v>
      </x:c>
      <x:c r="G156" s="20">
        <x:v>0</x:v>
      </x:c>
      <x:c r="H156" s="21"/>
      <x:c r="I156" s="21"/>
      <x:c r="J156" s="23">
        <x:v>3</x:v>
      </x:c>
      <x:c r="K156" s="23">
        <x:v>1567.5</x:v>
      </x:c>
      <x:c r="L156" s="23">
        <x:v>3</x:v>
      </x:c>
    </x:row>
    <x:row r="157">
      <x:c r="A157" s="18" t="s">
        <x:v>535</x:v>
      </x:c>
      <x:c r="B157" s="19" t="s">
        <x:v>536</x:v>
      </x:c>
      <x:c r="C157" s="20">
        <x:v>76042930</x:v>
      </x:c>
      <x:c r="D157" s="20">
        <x:v>3580.83</x:v>
      </x:c>
      <x:c r="E157" s="18" t="s">
        <x:v>227</x:v>
      </x:c>
      <x:c r="F157" s="19" t="s">
        <x:v>41</x:v>
      </x:c>
      <x:c r="G157" s="20">
        <x:v>134.4</x:v>
      </x:c>
      <x:c r="H157" s="21"/>
      <x:c r="I157" s="26" t="s">
        <x:v>272</x:v>
      </x:c>
      <x:c r="J157" s="23">
        <x:v>60</x:v>
      </x:c>
      <x:c r="K157" s="23">
        <x:v>8064</x:v>
      </x:c>
      <x:c r="L157" s="23">
        <x:v>189</x:v>
      </x:c>
    </x:row>
    <x:row r="158">
      <x:c r="A158" s="18" t="s">
        <x:v>537</x:v>
      </x:c>
      <x:c r="B158" s="19" t="s">
        <x:v>538</x:v>
      </x:c>
      <x:c r="C158" s="20">
        <x:v>76012090</x:v>
      </x:c>
      <x:c r="D158" s="20">
        <x:v>5580</x:v>
      </x:c>
      <x:c r="E158" s="18" t="s">
        <x:v>227</x:v>
      </x:c>
      <x:c r="F158" s="19" t="s">
        <x:v>41</x:v>
      </x:c>
      <x:c r="G158" s="20">
        <x:v>0</x:v>
      </x:c>
      <x:c r="H158" s="21"/>
      <x:c r="I158" s="21"/>
      <x:c r="J158" s="22">
        <x:v>0</x:v>
      </x:c>
      <x:c r="K158" s="22">
        <x:v>0</x:v>
      </x:c>
      <x:c r="L158" s="23">
        <x:v>0</x:v>
      </x:c>
    </x:row>
    <x:row r="159">
      <x:c r="A159" s="18" t="s">
        <x:v>539</x:v>
      </x:c>
      <x:c r="B159" s="19" t="s">
        <x:v>540</x:v>
      </x:c>
      <x:c r="C159" s="20">
        <x:v>76012090</x:v>
      </x:c>
      <x:c r="D159" s="20">
        <x:v>3069</x:v>
      </x:c>
      <x:c r="E159" s="18" t="s">
        <x:v>227</x:v>
      </x:c>
      <x:c r="F159" s="19" t="s">
        <x:v>41</x:v>
      </x:c>
      <x:c r="G159" s="20">
        <x:v>0</x:v>
      </x:c>
      <x:c r="H159" s="21"/>
      <x:c r="I159" s="21"/>
      <x:c r="J159" s="22">
        <x:v>0</x:v>
      </x:c>
      <x:c r="K159" s="22">
        <x:v>0</x:v>
      </x:c>
      <x:c r="L159" s="23">
        <x:v>0</x:v>
      </x:c>
    </x:row>
    <x:row r="160">
      <x:c r="A160" s="18" t="s">
        <x:v>541</x:v>
      </x:c>
      <x:c r="B160" s="19" t="s">
        <x:v>542</x:v>
      </x:c>
      <x:c r="C160" s="20">
        <x:v>76012090</x:v>
      </x:c>
      <x:c r="D160" s="20">
        <x:v>3580.83</x:v>
      </x:c>
      <x:c r="E160" s="18" t="s">
        <x:v>227</x:v>
      </x:c>
      <x:c r="F160" s="19" t="s">
        <x:v>41</x:v>
      </x:c>
      <x:c r="G160" s="20">
        <x:v>0</x:v>
      </x:c>
      <x:c r="H160" s="21"/>
      <x:c r="I160" s="21"/>
      <x:c r="J160" s="22">
        <x:v>0</x:v>
      </x:c>
      <x:c r="K160" s="22">
        <x:v>0</x:v>
      </x:c>
      <x:c r="L160" s="23">
        <x:v>0</x:v>
      </x:c>
    </x:row>
    <x:row r="161">
      <x:c r="A161" s="18" t="s">
        <x:v>543</x:v>
      </x:c>
      <x:c r="B161" s="19" t="s">
        <x:v>544</x:v>
      </x:c>
      <x:c r="C161" s="20">
        <x:v>76042930</x:v>
      </x:c>
      <x:c r="D161" s="20">
        <x:v>3580.83</x:v>
      </x:c>
      <x:c r="E161" s="18" t="s">
        <x:v>227</x:v>
      </x:c>
      <x:c r="F161" s="19" t="s">
        <x:v>41</x:v>
      </x:c>
      <x:c r="G161" s="20">
        <x:v>231.76</x:v>
      </x:c>
      <x:c r="H161" s="21"/>
      <x:c r="I161" s="26" t="s">
        <x:v>245</x:v>
      </x:c>
      <x:c r="J161" s="23">
        <x:v>1127</x:v>
      </x:c>
      <x:c r="K161" s="23">
        <x:v>221748.52</x:v>
      </x:c>
      <x:c r="L161" s="23">
        <x:v>884</x:v>
      </x:c>
    </x:row>
    <x:row r="162">
      <x:c r="A162" s="18" t="s">
        <x:v>545</x:v>
      </x:c>
      <x:c r="B162" s="19" t="s">
        <x:v>546</x:v>
      </x:c>
      <x:c r="C162" s="20">
        <x:v>76042930</x:v>
      </x:c>
      <x:c r="D162" s="20">
        <x:v>3580.83</x:v>
      </x:c>
      <x:c r="E162" s="18" t="s">
        <x:v>227</x:v>
      </x:c>
      <x:c r="F162" s="19" t="s">
        <x:v>41</x:v>
      </x:c>
      <x:c r="G162" s="20">
        <x:v>0</x:v>
      </x:c>
      <x:c r="H162" s="21"/>
      <x:c r="I162" s="21"/>
      <x:c r="J162" s="23">
        <x:v>81</x:v>
      </x:c>
      <x:c r="K162" s="23">
        <x:v>11097</x:v>
      </x:c>
      <x:c r="L162" s="23">
        <x:v>0</x:v>
      </x:c>
    </x:row>
    <x:row r="163">
      <x:c r="A163" s="18" t="s">
        <x:v>547</x:v>
      </x:c>
      <x:c r="B163" s="19" t="s">
        <x:v>548</x:v>
      </x:c>
      <x:c r="C163" s="20">
        <x:v>76012090</x:v>
      </x:c>
      <x:c r="D163" s="20">
        <x:v>3580.83</x:v>
      </x:c>
      <x:c r="E163" s="18" t="s">
        <x:v>227</x:v>
      </x:c>
      <x:c r="F163" s="19" t="s">
        <x:v>41</x:v>
      </x:c>
      <x:c r="G163" s="20">
        <x:v>0</x:v>
      </x:c>
      <x:c r="H163" s="21"/>
      <x:c r="I163" s="21"/>
      <x:c r="J163" s="22">
        <x:v>0</x:v>
      </x:c>
      <x:c r="K163" s="22">
        <x:v>0</x:v>
      </x:c>
      <x:c r="L163" s="23">
        <x:v>0</x:v>
      </x:c>
    </x:row>
    <x:row r="164">
      <x:c r="A164" s="18" t="s">
        <x:v>549</x:v>
      </x:c>
      <x:c r="B164" s="19" t="s">
        <x:v>550</x:v>
      </x:c>
      <x:c r="C164" s="20">
        <x:v>76012090</x:v>
      </x:c>
      <x:c r="D164" s="20">
        <x:v>3580.83</x:v>
      </x:c>
      <x:c r="E164" s="18" t="s">
        <x:v>227</x:v>
      </x:c>
      <x:c r="F164" s="19" t="s">
        <x:v>11</x:v>
      </x:c>
      <x:c r="G164" s="20">
        <x:v>0</x:v>
      </x:c>
      <x:c r="H164" s="21"/>
      <x:c r="I164" s="21"/>
      <x:c r="J164" s="23">
        <x:v>3</x:v>
      </x:c>
      <x:c r="K164" s="23">
        <x:v>16650</x:v>
      </x:c>
      <x:c r="L164" s="23">
        <x:v>3</x:v>
      </x:c>
    </x:row>
    <x:row r="165">
      <x:c r="A165" s="18" t="s">
        <x:v>551</x:v>
      </x:c>
      <x:c r="B165" s="19" t="s">
        <x:v>552</x:v>
      </x:c>
      <x:c r="C165" s="20">
        <x:v>76012090</x:v>
      </x:c>
      <x:c r="D165" s="20">
        <x:v>205.38</x:v>
      </x:c>
      <x:c r="E165" s="18" t="s">
        <x:v>227</x:v>
      </x:c>
      <x:c r="F165" s="19" t="s">
        <x:v>41</x:v>
      </x:c>
      <x:c r="G165" s="20">
        <x:v>0</x:v>
      </x:c>
      <x:c r="H165" s="20">
        <x:v>500</x:v>
      </x:c>
      <x:c r="I165" s="21"/>
      <x:c r="J165" s="22">
        <x:v>0</x:v>
      </x:c>
      <x:c r="K165" s="22">
        <x:v>0</x:v>
      </x:c>
      <x:c r="L165" s="23">
        <x:v>0</x:v>
      </x:c>
    </x:row>
    <x:row r="166">
      <x:c r="A166" s="18" t="s">
        <x:v>553</x:v>
      </x:c>
      <x:c r="B166" s="19" t="s">
        <x:v>554</x:v>
      </x:c>
      <x:c r="C166" s="20">
        <x:v>76012090</x:v>
      </x:c>
      <x:c r="D166" s="20">
        <x:v>2015</x:v>
      </x:c>
      <x:c r="E166" s="18" t="s">
        <x:v>227</x:v>
      </x:c>
      <x:c r="F166" s="19" t="s">
        <x:v>41</x:v>
      </x:c>
      <x:c r="G166" s="20">
        <x:v>0</x:v>
      </x:c>
      <x:c r="H166" s="21"/>
      <x:c r="I166" s="21"/>
      <x:c r="J166" s="23">
        <x:v>12</x:v>
      </x:c>
      <x:c r="K166" s="23">
        <x:v>2543.4</x:v>
      </x:c>
      <x:c r="L166" s="23">
        <x:v>12</x:v>
      </x:c>
    </x:row>
    <x:row r="167">
      <x:c r="A167" s="18" t="s">
        <x:v>555</x:v>
      </x:c>
      <x:c r="B167" s="19" t="s">
        <x:v>556</x:v>
      </x:c>
      <x:c r="C167" s="20">
        <x:v>76042930</x:v>
      </x:c>
      <x:c r="D167" s="20">
        <x:v>2170</x:v>
      </x:c>
      <x:c r="E167" s="18" t="s">
        <x:v>227</x:v>
      </x:c>
      <x:c r="F167" s="19" t="s">
        <x:v>41</x:v>
      </x:c>
      <x:c r="G167" s="20">
        <x:v>0</x:v>
      </x:c>
      <x:c r="H167" s="21"/>
      <x:c r="I167" s="21"/>
      <x:c r="J167" s="23">
        <x:v>11.4</x:v>
      </x:c>
      <x:c r="K167" s="23">
        <x:v>2005.94</x:v>
      </x:c>
      <x:c r="L167" s="23">
        <x:v>21.4</x:v>
      </x:c>
    </x:row>
    <x:row r="168">
      <x:c r="A168" s="18" t="s">
        <x:v>557</x:v>
      </x:c>
      <x:c r="B168" s="19" t="s">
        <x:v>558</x:v>
      </x:c>
      <x:c r="C168" s="20">
        <x:v>76012090</x:v>
      </x:c>
      <x:c r="D168" s="20">
        <x:v>2325</x:v>
      </x:c>
      <x:c r="E168" s="18" t="s">
        <x:v>227</x:v>
      </x:c>
      <x:c r="F168" s="19" t="s">
        <x:v>11</x:v>
      </x:c>
      <x:c r="G168" s="20">
        <x:v>0</x:v>
      </x:c>
      <x:c r="H168" s="21"/>
      <x:c r="I168" s="21"/>
      <x:c r="J168" s="23">
        <x:v>1</x:v>
      </x:c>
      <x:c r="K168" s="23">
        <x:v>5550</x:v>
      </x:c>
      <x:c r="L168" s="23">
        <x:v>1</x:v>
      </x:c>
    </x:row>
    <x:row r="169">
      <x:c r="A169" s="18" t="s">
        <x:v>559</x:v>
      </x:c>
      <x:c r="B169" s="19" t="s">
        <x:v>560</x:v>
      </x:c>
      <x:c r="C169" s="20">
        <x:v>76042930</x:v>
      </x:c>
      <x:c r="D169" s="20">
        <x:v>2480</x:v>
      </x:c>
      <x:c r="E169" s="18" t="s">
        <x:v>227</x:v>
      </x:c>
      <x:c r="F169" s="19" t="s">
        <x:v>41</x:v>
      </x:c>
      <x:c r="G169" s="20">
        <x:v>208.22</x:v>
      </x:c>
      <x:c r="H169" s="21"/>
      <x:c r="I169" s="26" t="s">
        <x:v>245</x:v>
      </x:c>
      <x:c r="J169" s="22">
        <x:v>0</x:v>
      </x:c>
      <x:c r="K169" s="22">
        <x:v>0</x:v>
      </x:c>
      <x:c r="L169" s="23">
        <x:v>310</x:v>
      </x:c>
    </x:row>
    <x:row r="170">
      <x:c r="A170" s="18" t="s">
        <x:v>561</x:v>
      </x:c>
      <x:c r="B170" s="19" t="s">
        <x:v>562</x:v>
      </x:c>
      <x:c r="C170" s="20">
        <x:v>76042930</x:v>
      </x:c>
      <x:c r="D170" s="20">
        <x:v>2480</x:v>
      </x:c>
      <x:c r="E170" s="18" t="s">
        <x:v>227</x:v>
      </x:c>
      <x:c r="F170" s="19" t="s">
        <x:v>41</x:v>
      </x:c>
      <x:c r="G170" s="20">
        <x:v>0</x:v>
      </x:c>
      <x:c r="H170" s="21"/>
      <x:c r="I170" s="21"/>
      <x:c r="J170" s="23">
        <x:v>6</x:v>
      </x:c>
      <x:c r="K170" s="23">
        <x:v>1892.7</x:v>
      </x:c>
      <x:c r="L170" s="23">
        <x:v>0</x:v>
      </x:c>
    </x:row>
    <x:row r="171">
      <x:c r="A171" s="18" t="s">
        <x:v>563</x:v>
      </x:c>
      <x:c r="B171" s="19" t="s">
        <x:v>564</x:v>
      </x:c>
      <x:c r="C171" s="20">
        <x:v>76042930</x:v>
      </x:c>
      <x:c r="D171" s="20">
        <x:v>3069</x:v>
      </x:c>
      <x:c r="E171" s="18" t="s">
        <x:v>227</x:v>
      </x:c>
      <x:c r="F171" s="19" t="s">
        <x:v>41</x:v>
      </x:c>
      <x:c r="G171" s="20">
        <x:v>0</x:v>
      </x:c>
      <x:c r="H171" s="21"/>
      <x:c r="I171" s="21"/>
      <x:c r="J171" s="22">
        <x:v>0</x:v>
      </x:c>
      <x:c r="K171" s="22">
        <x:v>0</x:v>
      </x:c>
      <x:c r="L171" s="23">
        <x:v>0</x:v>
      </x:c>
    </x:row>
    <x:row r="172">
      <x:c r="A172" s="18" t="s">
        <x:v>565</x:v>
      </x:c>
      <x:c r="B172" s="19" t="s">
        <x:v>566</x:v>
      </x:c>
      <x:c r="C172" s="20">
        <x:v>76012090</x:v>
      </x:c>
      <x:c r="D172" s="20">
        <x:v>3069</x:v>
      </x:c>
      <x:c r="E172" s="18" t="s">
        <x:v>227</x:v>
      </x:c>
      <x:c r="F172" s="19" t="s">
        <x:v>11</x:v>
      </x:c>
      <x:c r="G172" s="20">
        <x:v>0</x:v>
      </x:c>
      <x:c r="H172" s="21"/>
      <x:c r="I172" s="21"/>
      <x:c r="J172" s="23">
        <x:v>3</x:v>
      </x:c>
      <x:c r="K172" s="23">
        <x:v>3780</x:v>
      </x:c>
      <x:c r="L172" s="23">
        <x:v>1</x:v>
      </x:c>
    </x:row>
    <x:row r="173">
      <x:c r="A173" s="18" t="s">
        <x:v>567</x:v>
      </x:c>
      <x:c r="B173" s="19" t="s">
        <x:v>568</x:v>
      </x:c>
      <x:c r="C173" s="20">
        <x:v>76012090</x:v>
      </x:c>
      <x:c r="D173" s="20">
        <x:v>2480</x:v>
      </x:c>
      <x:c r="E173" s="18" t="s">
        <x:v>227</x:v>
      </x:c>
      <x:c r="F173" s="19" t="s">
        <x:v>11</x:v>
      </x:c>
      <x:c r="G173" s="20">
        <x:v>4900</x:v>
      </x:c>
      <x:c r="H173" s="21"/>
      <x:c r="I173" s="26" t="s">
        <x:v>275</x:v>
      </x:c>
      <x:c r="J173" s="23">
        <x:v>1</x:v>
      </x:c>
      <x:c r="K173" s="23">
        <x:v>2646</x:v>
      </x:c>
      <x:c r="L173" s="23">
        <x:v>0</x:v>
      </x:c>
    </x:row>
    <x:row r="174">
      <x:c r="A174" s="18" t="s">
        <x:v>569</x:v>
      </x:c>
      <x:c r="B174" s="19" t="s">
        <x:v>570</x:v>
      </x:c>
      <x:c r="C174" s="20">
        <x:v>76012090</x:v>
      </x:c>
      <x:c r="D174" s="20">
        <x:v>1653.6</x:v>
      </x:c>
      <x:c r="E174" s="18" t="s">
        <x:v>227</x:v>
      </x:c>
      <x:c r="F174" s="19" t="s">
        <x:v>11</x:v>
      </x:c>
      <x:c r="G174" s="20">
        <x:v>0</x:v>
      </x:c>
      <x:c r="H174" s="21"/>
      <x:c r="I174" s="21"/>
      <x:c r="J174" s="23">
        <x:v>3</x:v>
      </x:c>
      <x:c r="K174" s="23">
        <x:v>7606.5</x:v>
      </x:c>
      <x:c r="L174" s="23">
        <x:v>0</x:v>
      </x:c>
    </x:row>
    <x:row r="175">
      <x:c r="A175" s="18" t="s">
        <x:v>571</x:v>
      </x:c>
      <x:c r="B175" s="19" t="s">
        <x:v>572</x:v>
      </x:c>
      <x:c r="C175" s="20">
        <x:v>76012090</x:v>
      </x:c>
      <x:c r="D175" s="20">
        <x:v>1653.6</x:v>
      </x:c>
      <x:c r="E175" s="18" t="s">
        <x:v>227</x:v>
      </x:c>
      <x:c r="F175" s="19" t="s">
        <x:v>11</x:v>
      </x:c>
      <x:c r="G175" s="20">
        <x:v>0</x:v>
      </x:c>
      <x:c r="H175" s="21"/>
      <x:c r="I175" s="21"/>
      <x:c r="J175" s="23">
        <x:v>2</x:v>
      </x:c>
      <x:c r="K175" s="23">
        <x:v>6283.2</x:v>
      </x:c>
      <x:c r="L175" s="23">
        <x:v>2</x:v>
      </x:c>
    </x:row>
    <x:row r="176">
      <x:c r="A176" s="18" t="s">
        <x:v>573</x:v>
      </x:c>
      <x:c r="B176" s="19" t="s">
        <x:v>574</x:v>
      </x:c>
      <x:c r="C176" s="20">
        <x:v>76012090</x:v>
      </x:c>
      <x:c r="D176" s="20">
        <x:v>4014.87</x:v>
      </x:c>
      <x:c r="E176" s="18" t="s">
        <x:v>227</x:v>
      </x:c>
      <x:c r="F176" s="19" t="s">
        <x:v>11</x:v>
      </x:c>
      <x:c r="G176" s="20">
        <x:v>4900</x:v>
      </x:c>
      <x:c r="H176" s="21"/>
      <x:c r="I176" s="26" t="s">
        <x:v>275</x:v>
      </x:c>
      <x:c r="J176" s="23">
        <x:v>3</x:v>
      </x:c>
      <x:c r="K176" s="23">
        <x:v>7938</x:v>
      </x:c>
      <x:c r="L176" s="23">
        <x:v>0</x:v>
      </x:c>
    </x:row>
    <x:row r="177">
      <x:c r="A177" s="18" t="s">
        <x:v>575</x:v>
      </x:c>
      <x:c r="B177" s="19" t="s">
        <x:v>576</x:v>
      </x:c>
      <x:c r="C177" s="20">
        <x:v>76012090</x:v>
      </x:c>
      <x:c r="D177" s="20">
        <x:v>4014.87</x:v>
      </x:c>
      <x:c r="E177" s="18" t="s">
        <x:v>227</x:v>
      </x:c>
      <x:c r="F177" s="19" t="s">
        <x:v>11</x:v>
      </x:c>
      <x:c r="G177" s="20">
        <x:v>5200</x:v>
      </x:c>
      <x:c r="H177" s="21"/>
      <x:c r="I177" s="26" t="s">
        <x:v>275</x:v>
      </x:c>
      <x:c r="J177" s="22">
        <x:v>0</x:v>
      </x:c>
      <x:c r="K177" s="22">
        <x:v>0</x:v>
      </x:c>
      <x:c r="L177" s="23">
        <x:v>2</x:v>
      </x:c>
    </x:row>
    <x:row r="178">
      <x:c r="A178" s="18" t="s">
        <x:v>577</x:v>
      </x:c>
      <x:c r="B178" s="19" t="s">
        <x:v>578</x:v>
      </x:c>
      <x:c r="C178" s="20">
        <x:v>76012090</x:v>
      </x:c>
      <x:c r="D178" s="20">
        <x:v>2169.7199999999998</x:v>
      </x:c>
      <x:c r="E178" s="18" t="s">
        <x:v>227</x:v>
      </x:c>
      <x:c r="F178" s="19" t="s">
        <x:v>11</x:v>
      </x:c>
      <x:c r="G178" s="20">
        <x:v>0</x:v>
      </x:c>
      <x:c r="H178" s="21"/>
      <x:c r="I178" s="21"/>
      <x:c r="J178" s="23">
        <x:v>2</x:v>
      </x:c>
      <x:c r="K178" s="23">
        <x:v>4992.63</x:v>
      </x:c>
      <x:c r="L178" s="23">
        <x:v>2</x:v>
      </x:c>
    </x:row>
    <x:row r="179">
      <x:c r="A179" s="18" t="s">
        <x:v>579</x:v>
      </x:c>
      <x:c r="B179" s="19" t="s">
        <x:v>580</x:v>
      </x:c>
      <x:c r="C179" s="20">
        <x:v>76042930</x:v>
      </x:c>
      <x:c r="D179" s="20">
        <x:v>2169.7199999999998</x:v>
      </x:c>
      <x:c r="E179" s="18" t="s">
        <x:v>227</x:v>
      </x:c>
      <x:c r="F179" s="19" t="s">
        <x:v>41</x:v>
      </x:c>
      <x:c r="G179" s="20">
        <x:v>0</x:v>
      </x:c>
      <x:c r="H179" s="21"/>
      <x:c r="I179" s="21"/>
      <x:c r="J179" s="23">
        <x:v>209</x:v>
      </x:c>
      <x:c r="K179" s="23">
        <x:v>24366.33</x:v>
      </x:c>
      <x:c r="L179" s="23">
        <x:v>0</x:v>
      </x:c>
    </x:row>
    <x:row r="180">
      <x:c r="A180" s="18" t="s">
        <x:v>581</x:v>
      </x:c>
      <x:c r="B180" s="19" t="s">
        <x:v>582</x:v>
      </x:c>
      <x:c r="C180" s="20">
        <x:v>76042930</x:v>
      </x:c>
      <x:c r="D180" s="20">
        <x:v>2169.7199999999998</x:v>
      </x:c>
      <x:c r="E180" s="18" t="s">
        <x:v>227</x:v>
      </x:c>
      <x:c r="F180" s="19" t="s">
        <x:v>41</x:v>
      </x:c>
      <x:c r="G180" s="20">
        <x:v>0</x:v>
      </x:c>
      <x:c r="H180" s="21"/>
      <x:c r="I180" s="21"/>
      <x:c r="J180" s="23">
        <x:v>159</x:v>
      </x:c>
      <x:c r="K180" s="23">
        <x:v>21249.02</x:v>
      </x:c>
      <x:c r="L180" s="23">
        <x:v>9</x:v>
      </x:c>
    </x:row>
    <x:row r="181">
      <x:c r="A181" s="18" t="s">
        <x:v>583</x:v>
      </x:c>
      <x:c r="B181" s="19" t="s">
        <x:v>584</x:v>
      </x:c>
      <x:c r="C181" s="20">
        <x:v>76042930</x:v>
      </x:c>
      <x:c r="D181" s="20">
        <x:v>2169.7199999999998</x:v>
      </x:c>
      <x:c r="E181" s="18" t="s">
        <x:v>227</x:v>
      </x:c>
      <x:c r="F181" s="19" t="s">
        <x:v>41</x:v>
      </x:c>
      <x:c r="G181" s="20">
        <x:v>0</x:v>
      </x:c>
      <x:c r="H181" s="21"/>
      <x:c r="I181" s="21"/>
      <x:c r="J181" s="23">
        <x:v>153</x:v>
      </x:c>
      <x:c r="K181" s="23">
        <x:v>21469.16</x:v>
      </x:c>
      <x:c r="L181" s="23">
        <x:v>0</x:v>
      </x:c>
    </x:row>
    <x:row r="182">
      <x:c r="A182" s="18" t="s">
        <x:v>585</x:v>
      </x:c>
      <x:c r="B182" s="19" t="s">
        <x:v>586</x:v>
      </x:c>
      <x:c r="C182" s="20">
        <x:v>76042930</x:v>
      </x:c>
      <x:c r="D182" s="20">
        <x:v>3719.7</x:v>
      </x:c>
      <x:c r="E182" s="18" t="s">
        <x:v>227</x:v>
      </x:c>
      <x:c r="F182" s="19" t="s">
        <x:v>41</x:v>
      </x:c>
      <x:c r="G182" s="20">
        <x:v>0</x:v>
      </x:c>
      <x:c r="H182" s="21"/>
      <x:c r="I182" s="21"/>
      <x:c r="J182" s="23">
        <x:v>306</x:v>
      </x:c>
      <x:c r="K182" s="23">
        <x:v>46512</x:v>
      </x:c>
      <x:c r="L182" s="23">
        <x:v>288</x:v>
      </x:c>
    </x:row>
    <x:row r="183">
      <x:c r="A183" s="18" t="s">
        <x:v>587</x:v>
      </x:c>
      <x:c r="B183" s="19" t="s">
        <x:v>182</x:v>
      </x:c>
      <x:c r="C183" s="20">
        <x:v>76042930</x:v>
      </x:c>
      <x:c r="D183" s="20">
        <x:v>4133</x:v>
      </x:c>
      <x:c r="E183" s="18" t="s">
        <x:v>227</x:v>
      </x:c>
      <x:c r="F183" s="19" t="s">
        <x:v>41</x:v>
      </x:c>
      <x:c r="G183" s="20">
        <x:v>0</x:v>
      </x:c>
      <x:c r="H183" s="21"/>
      <x:c r="I183" s="21"/>
      <x:c r="J183" s="23">
        <x:v>1111</x:v>
      </x:c>
      <x:c r="K183" s="23">
        <x:v>34002.980000000003</x:v>
      </x:c>
      <x:c r="L183" s="23">
        <x:v>680</x:v>
      </x:c>
    </x:row>
    <x:row r="184">
      <x:c r="A184" s="18" t="s">
        <x:v>588</x:v>
      </x:c>
      <x:c r="B184" s="19" t="s">
        <x:v>589</x:v>
      </x:c>
      <x:c r="C184" s="20">
        <x:v>76042930</x:v>
      </x:c>
      <x:c r="D184" s="20">
        <x:v>3719.7</x:v>
      </x:c>
      <x:c r="E184" s="18" t="s">
        <x:v>227</x:v>
      </x:c>
      <x:c r="F184" s="19" t="s">
        <x:v>41</x:v>
      </x:c>
      <x:c r="G184" s="20">
        <x:v>207.62</x:v>
      </x:c>
      <x:c r="H184" s="21"/>
      <x:c r="I184" s="26" t="s">
        <x:v>245</x:v>
      </x:c>
      <x:c r="J184" s="23">
        <x:v>3</x:v>
      </x:c>
      <x:c r="K184" s="23">
        <x:v>458.43</x:v>
      </x:c>
      <x:c r="L184" s="23">
        <x:v>477</x:v>
      </x:c>
    </x:row>
    <x:row r="185">
      <x:c r="A185" s="18" t="s">
        <x:v>590</x:v>
      </x:c>
      <x:c r="B185" s="19" t="s">
        <x:v>591</x:v>
      </x:c>
      <x:c r="C185" s="20">
        <x:v>76012090</x:v>
      </x:c>
      <x:c r="D185" s="20">
        <x:v>3719.7</x:v>
      </x:c>
      <x:c r="E185" s="18" t="s">
        <x:v>227</x:v>
      </x:c>
      <x:c r="F185" s="19" t="s">
        <x:v>11</x:v>
      </x:c>
      <x:c r="G185" s="20">
        <x:v>0</x:v>
      </x:c>
      <x:c r="H185" s="21"/>
      <x:c r="I185" s="21"/>
      <x:c r="J185" s="23">
        <x:v>3</x:v>
      </x:c>
      <x:c r="K185" s="23">
        <x:v>4373.22</x:v>
      </x:c>
      <x:c r="L185" s="23">
        <x:v>3</x:v>
      </x:c>
    </x:row>
    <x:row r="186">
      <x:c r="A186" s="18" t="s">
        <x:v>592</x:v>
      </x:c>
      <x:c r="B186" s="19" t="s">
        <x:v>593</x:v>
      </x:c>
      <x:c r="C186" s="20">
        <x:v>76042930</x:v>
      </x:c>
      <x:c r="D186" s="20">
        <x:v>3719.7</x:v>
      </x:c>
      <x:c r="E186" s="18" t="s">
        <x:v>227</x:v>
      </x:c>
      <x:c r="F186" s="19" t="s">
        <x:v>41</x:v>
      </x:c>
      <x:c r="G186" s="20">
        <x:v>0</x:v>
      </x:c>
      <x:c r="H186" s="21"/>
      <x:c r="I186" s="21"/>
      <x:c r="J186" s="23">
        <x:v>2832</x:v>
      </x:c>
      <x:c r="K186" s="23">
        <x:v>102672.15</x:v>
      </x:c>
      <x:c r="L186" s="23">
        <x:v>564</x:v>
      </x:c>
    </x:row>
    <x:row r="187">
      <x:c r="A187" s="18" t="s">
        <x:v>594</x:v>
      </x:c>
      <x:c r="B187" s="19" t="s">
        <x:v>595</x:v>
      </x:c>
      <x:c r="C187" s="20">
        <x:v>76042930</x:v>
      </x:c>
      <x:c r="D187" s="20">
        <x:v>3719.7</x:v>
      </x:c>
      <x:c r="E187" s="18" t="s">
        <x:v>227</x:v>
      </x:c>
      <x:c r="F187" s="19" t="s">
        <x:v>41</x:v>
      </x:c>
      <x:c r="G187" s="20">
        <x:v>0</x:v>
      </x:c>
      <x:c r="H187" s="21"/>
      <x:c r="I187" s="21"/>
      <x:c r="J187" s="23">
        <x:v>1227</x:v>
      </x:c>
      <x:c r="K187" s="23">
        <x:v>52964.44</x:v>
      </x:c>
      <x:c r="L187" s="23">
        <x:v>0</x:v>
      </x:c>
    </x:row>
    <x:row r="188">
      <x:c r="A188" s="18" t="s">
        <x:v>596</x:v>
      </x:c>
      <x:c r="B188" s="19" t="s">
        <x:v>597</x:v>
      </x:c>
      <x:c r="C188" s="20">
        <x:v>76012090</x:v>
      </x:c>
      <x:c r="D188" s="20">
        <x:v>3719.7</x:v>
      </x:c>
      <x:c r="E188" s="18" t="s">
        <x:v>227</x:v>
      </x:c>
      <x:c r="F188" s="19" t="s">
        <x:v>41</x:v>
      </x:c>
      <x:c r="G188" s="20">
        <x:v>0</x:v>
      </x:c>
      <x:c r="H188" s="21"/>
      <x:c r="I188" s="21"/>
      <x:c r="J188" s="23">
        <x:v>224</x:v>
      </x:c>
      <x:c r="K188" s="23">
        <x:v>13652.8</x:v>
      </x:c>
      <x:c r="L188" s="23">
        <x:v>209</x:v>
      </x:c>
    </x:row>
    <x:row r="189">
      <x:c r="A189" s="18" t="s">
        <x:v>598</x:v>
      </x:c>
      <x:c r="B189" s="19" t="s">
        <x:v>599</x:v>
      </x:c>
      <x:c r="C189" s="20">
        <x:v>76042930</x:v>
      </x:c>
      <x:c r="D189" s="20">
        <x:v>3719.7</x:v>
      </x:c>
      <x:c r="E189" s="18" t="s">
        <x:v>227</x:v>
      </x:c>
      <x:c r="F189" s="19" t="s">
        <x:v>41</x:v>
      </x:c>
      <x:c r="G189" s="20">
        <x:v>0</x:v>
      </x:c>
      <x:c r="H189" s="21"/>
      <x:c r="I189" s="21"/>
      <x:c r="J189" s="23">
        <x:v>840</x:v>
      </x:c>
      <x:c r="K189" s="23">
        <x:v>100720.78</x:v>
      </x:c>
      <x:c r="L189" s="23">
        <x:v>768</x:v>
      </x:c>
    </x:row>
    <x:row r="190">
      <x:c r="A190" s="18" t="s">
        <x:v>600</x:v>
      </x:c>
      <x:c r="B190" s="19" t="s">
        <x:v>601</x:v>
      </x:c>
      <x:c r="C190" s="20">
        <x:v>76012090</x:v>
      </x:c>
      <x:c r="D190" s="20">
        <x:v>3719.7</x:v>
      </x:c>
      <x:c r="E190" s="18" t="s">
        <x:v>227</x:v>
      </x:c>
      <x:c r="F190" s="19" t="s">
        <x:v>11</x:v>
      </x:c>
      <x:c r="G190" s="20">
        <x:v>1850</x:v>
      </x:c>
      <x:c r="H190" s="21"/>
      <x:c r="I190" s="26" t="s">
        <x:v>255</x:v>
      </x:c>
      <x:c r="J190" s="23">
        <x:v>25</x:v>
      </x:c>
      <x:c r="K190" s="23">
        <x:v>46250</x:v>
      </x:c>
      <x:c r="L190" s="23">
        <x:v>0</x:v>
      </x:c>
    </x:row>
    <x:row r="191">
      <x:c r="A191" s="18" t="s">
        <x:v>602</x:v>
      </x:c>
      <x:c r="B191" s="19" t="s">
        <x:v>603</x:v>
      </x:c>
      <x:c r="C191" s="20">
        <x:v>76012090</x:v>
      </x:c>
      <x:c r="D191" s="20">
        <x:v>3719.7</x:v>
      </x:c>
      <x:c r="E191" s="18" t="s">
        <x:v>227</x:v>
      </x:c>
      <x:c r="F191" s="19" t="s">
        <x:v>41</x:v>
      </x:c>
      <x:c r="G191" s="20">
        <x:v>0</x:v>
      </x:c>
      <x:c r="H191" s="21"/>
      <x:c r="I191" s="21"/>
      <x:c r="J191" s="22">
        <x:v>0</x:v>
      </x:c>
      <x:c r="K191" s="22">
        <x:v>0</x:v>
      </x:c>
      <x:c r="L191" s="23">
        <x:v>0</x:v>
      </x:c>
    </x:row>
    <x:row r="192">
      <x:c r="A192" s="18" t="s">
        <x:v>604</x:v>
      </x:c>
      <x:c r="B192" s="19" t="s">
        <x:v>605</x:v>
      </x:c>
      <x:c r="C192" s="20">
        <x:v>76012090</x:v>
      </x:c>
      <x:c r="D192" s="20">
        <x:v>2756</x:v>
      </x:c>
      <x:c r="E192" s="18" t="s">
        <x:v>227</x:v>
      </x:c>
      <x:c r="F192" s="19" t="s">
        <x:v>41</x:v>
      </x:c>
      <x:c r="G192" s="20">
        <x:v>0</x:v>
      </x:c>
      <x:c r="H192" s="21"/>
      <x:c r="I192" s="21"/>
      <x:c r="J192" s="22">
        <x:v>0</x:v>
      </x:c>
      <x:c r="K192" s="22">
        <x:v>0</x:v>
      </x:c>
      <x:c r="L192" s="23">
        <x:v>0</x:v>
      </x:c>
    </x:row>
    <x:row r="193">
      <x:c r="A193" s="18" t="s">
        <x:v>606</x:v>
      </x:c>
      <x:c r="B193" s="19" t="s">
        <x:v>607</x:v>
      </x:c>
      <x:c r="C193" s="20">
        <x:v>76012090</x:v>
      </x:c>
      <x:c r="D193" s="20">
        <x:v>6872.3</x:v>
      </x:c>
      <x:c r="E193" s="18" t="s">
        <x:v>227</x:v>
      </x:c>
      <x:c r="F193" s="19" t="s">
        <x:v>41</x:v>
      </x:c>
      <x:c r="G193" s="20">
        <x:v>688</x:v>
      </x:c>
      <x:c r="H193" s="21"/>
      <x:c r="I193" s="26" t="s">
        <x:v>608</x:v>
      </x:c>
      <x:c r="J193" s="22">
        <x:v>0</x:v>
      </x:c>
      <x:c r="K193" s="22">
        <x:v>0</x:v>
      </x:c>
      <x:c r="L193" s="23">
        <x:v>0</x:v>
      </x:c>
    </x:row>
    <x:row r="194">
      <x:c r="A194" s="18" t="s">
        <x:v>609</x:v>
      </x:c>
      <x:c r="B194" s="19" t="s">
        <x:v>610</x:v>
      </x:c>
      <x:c r="C194" s="20">
        <x:v>76012090</x:v>
      </x:c>
      <x:c r="D194" s="20">
        <x:v>3782</x:v>
      </x:c>
      <x:c r="E194" s="18" t="s">
        <x:v>227</x:v>
      </x:c>
      <x:c r="F194" s="19" t="s">
        <x:v>41</x:v>
      </x:c>
      <x:c r="G194" s="20">
        <x:v>0</x:v>
      </x:c>
      <x:c r="H194" s="21"/>
      <x:c r="I194" s="21"/>
      <x:c r="J194" s="22">
        <x:v>0</x:v>
      </x:c>
      <x:c r="K194" s="22">
        <x:v>0</x:v>
      </x:c>
      <x:c r="L194" s="23">
        <x:v>0</x:v>
      </x:c>
    </x:row>
    <x:row r="195">
      <x:c r="A195" s="18" t="s">
        <x:v>611</x:v>
      </x:c>
      <x:c r="B195" s="19" t="s">
        <x:v>612</x:v>
      </x:c>
      <x:c r="C195" s="20">
        <x:v>76012090</x:v>
      </x:c>
      <x:c r="D195" s="20">
        <x:v>4769.88</x:v>
      </x:c>
      <x:c r="E195" s="18" t="s">
        <x:v>227</x:v>
      </x:c>
      <x:c r="F195" s="19" t="s">
        <x:v>41</x:v>
      </x:c>
      <x:c r="G195" s="20">
        <x:v>0</x:v>
      </x:c>
      <x:c r="H195" s="21"/>
      <x:c r="I195" s="21"/>
      <x:c r="J195" s="22">
        <x:v>0</x:v>
      </x:c>
      <x:c r="K195" s="22">
        <x:v>0</x:v>
      </x:c>
      <x:c r="L195" s="23">
        <x:v>0</x:v>
      </x:c>
    </x:row>
    <x:row r="196">
      <x:c r="A196" s="18" t="s">
        <x:v>613</x:v>
      </x:c>
      <x:c r="B196" s="19" t="s">
        <x:v>614</x:v>
      </x:c>
      <x:c r="C196" s="20">
        <x:v>76012090</x:v>
      </x:c>
      <x:c r="D196" s="20">
        <x:v>3782</x:v>
      </x:c>
      <x:c r="E196" s="18" t="s">
        <x:v>227</x:v>
      </x:c>
      <x:c r="F196" s="19" t="s">
        <x:v>41</x:v>
      </x:c>
      <x:c r="G196" s="20">
        <x:v>940</x:v>
      </x:c>
      <x:c r="H196" s="21"/>
      <x:c r="I196" s="26" t="s">
        <x:v>608</x:v>
      </x:c>
      <x:c r="J196" s="22">
        <x:v>0</x:v>
      </x:c>
      <x:c r="K196" s="22">
        <x:v>0</x:v>
      </x:c>
      <x:c r="L196" s="23">
        <x:v>0</x:v>
      </x:c>
    </x:row>
    <x:row r="197">
      <x:c r="A197" s="18" t="s">
        <x:v>615</x:v>
      </x:c>
      <x:c r="B197" s="19" t="s">
        <x:v>616</x:v>
      </x:c>
      <x:c r="C197" s="20">
        <x:v>76012090</x:v>
      </x:c>
      <x:c r="D197" s="20">
        <x:v>554.13</x:v>
      </x:c>
      <x:c r="E197" s="18" t="s">
        <x:v>227</x:v>
      </x:c>
      <x:c r="F197" s="19" t="s">
        <x:v>41</x:v>
      </x:c>
      <x:c r="G197" s="20">
        <x:v>0</x:v>
      </x:c>
      <x:c r="H197" s="21"/>
      <x:c r="I197" s="21"/>
      <x:c r="J197" s="22">
        <x:v>0</x:v>
      </x:c>
      <x:c r="K197" s="22">
        <x:v>0</x:v>
      </x:c>
      <x:c r="L197" s="23">
        <x:v>0</x:v>
      </x:c>
    </x:row>
    <x:row r="198">
      <x:c r="A198" s="18" t="s">
        <x:v>617</x:v>
      </x:c>
      <x:c r="B198" s="19" t="s">
        <x:v>618</x:v>
      </x:c>
      <x:c r="C198" s="20">
        <x:v>76012090</x:v>
      </x:c>
      <x:c r="D198" s="20">
        <x:v>294.5</x:v>
      </x:c>
      <x:c r="E198" s="18" t="s">
        <x:v>227</x:v>
      </x:c>
      <x:c r="F198" s="19" t="s">
        <x:v>41</x:v>
      </x:c>
      <x:c r="G198" s="20">
        <x:v>0</x:v>
      </x:c>
      <x:c r="H198" s="21"/>
      <x:c r="I198" s="21"/>
      <x:c r="J198" s="22">
        <x:v>0</x:v>
      </x:c>
      <x:c r="K198" s="22">
        <x:v>0</x:v>
      </x:c>
      <x:c r="L198" s="23">
        <x:v>0</x:v>
      </x:c>
    </x:row>
    <x:row r="199">
      <x:c r="A199" s="18" t="s">
        <x:v>619</x:v>
      </x:c>
      <x:c r="B199" s="19" t="s">
        <x:v>620</x:v>
      </x:c>
      <x:c r="C199" s="20">
        <x:v>76012090</x:v>
      </x:c>
      <x:c r="D199" s="20">
        <x:v>425</x:v>
      </x:c>
      <x:c r="E199" s="18" t="s">
        <x:v>227</x:v>
      </x:c>
      <x:c r="F199" s="19" t="s">
        <x:v>41</x:v>
      </x:c>
      <x:c r="G199" s="20">
        <x:v>0</x:v>
      </x:c>
      <x:c r="H199" s="21"/>
      <x:c r="I199" s="21"/>
      <x:c r="J199" s="23">
        <x:v>15</x:v>
      </x:c>
      <x:c r="K199" s="23">
        <x:v>6324.9</x:v>
      </x:c>
      <x:c r="L199" s="23">
        <x:v>0</x:v>
      </x:c>
    </x:row>
    <x:row r="200">
      <x:c r="A200" s="18" t="s">
        <x:v>621</x:v>
      </x:c>
      <x:c r="B200" s="19" t="s">
        <x:v>622</x:v>
      </x:c>
      <x:c r="C200" s="20">
        <x:v>76012090</x:v>
      </x:c>
      <x:c r="D200" s="20">
        <x:v>425</x:v>
      </x:c>
      <x:c r="E200" s="18" t="s">
        <x:v>227</x:v>
      </x:c>
      <x:c r="F200" s="19" t="s">
        <x:v>41</x:v>
      </x:c>
      <x:c r="G200" s="20">
        <x:v>0</x:v>
      </x:c>
      <x:c r="H200" s="21"/>
      <x:c r="I200" s="21"/>
      <x:c r="J200" s="23">
        <x:v>9</x:v>
      </x:c>
      <x:c r="K200" s="23">
        <x:v>3504.51</x:v>
      </x:c>
      <x:c r="L200" s="23">
        <x:v>6</x:v>
      </x:c>
    </x:row>
    <x:row r="201">
      <x:c r="A201" s="18" t="s">
        <x:v>623</x:v>
      </x:c>
      <x:c r="B201" s="19" t="s">
        <x:v>624</x:v>
      </x:c>
      <x:c r="C201" s="20">
        <x:v>76012090</x:v>
      </x:c>
      <x:c r="D201" s="20">
        <x:v>425</x:v>
      </x:c>
      <x:c r="E201" s="18" t="s">
        <x:v>227</x:v>
      </x:c>
      <x:c r="F201" s="19" t="s">
        <x:v>41</x:v>
      </x:c>
      <x:c r="G201" s="20">
        <x:v>0</x:v>
      </x:c>
      <x:c r="H201" s="21"/>
      <x:c r="I201" s="21"/>
      <x:c r="J201" s="23">
        <x:v>9</x:v>
      </x:c>
      <x:c r="K201" s="23">
        <x:v>2332.44</x:v>
      </x:c>
      <x:c r="L201" s="23">
        <x:v>0</x:v>
      </x:c>
    </x:row>
    <x:row r="202">
      <x:c r="A202" s="18" t="s">
        <x:v>625</x:v>
      </x:c>
      <x:c r="B202" s="19" t="s">
        <x:v>626</x:v>
      </x:c>
      <x:c r="C202" s="20">
        <x:v>76042930</x:v>
      </x:c>
      <x:c r="D202" s="20">
        <x:v>425</x:v>
      </x:c>
      <x:c r="E202" s="18" t="s">
        <x:v>227</x:v>
      </x:c>
      <x:c r="F202" s="19" t="s">
        <x:v>41</x:v>
      </x:c>
      <x:c r="G202" s="20">
        <x:v>0</x:v>
      </x:c>
      <x:c r="H202" s="21"/>
      <x:c r="I202" s="21"/>
      <x:c r="J202" s="23">
        <x:v>408</x:v>
      </x:c>
      <x:c r="K202" s="23">
        <x:v>81619.7</x:v>
      </x:c>
      <x:c r="L202" s="23">
        <x:v>228</x:v>
      </x:c>
    </x:row>
    <x:row r="203">
      <x:c r="A203" s="18" t="s">
        <x:v>627</x:v>
      </x:c>
      <x:c r="B203" s="19" t="s">
        <x:v>628</x:v>
      </x:c>
      <x:c r="C203" s="20">
        <x:v>76012090</x:v>
      </x:c>
      <x:c r="D203" s="20">
        <x:v>425</x:v>
      </x:c>
      <x:c r="E203" s="18" t="s">
        <x:v>227</x:v>
      </x:c>
      <x:c r="F203" s="19" t="s">
        <x:v>11</x:v>
      </x:c>
      <x:c r="G203" s="20">
        <x:v>0</x:v>
      </x:c>
      <x:c r="H203" s="21"/>
      <x:c r="I203" s="21"/>
      <x:c r="J203" s="22">
        <x:v>0</x:v>
      </x:c>
      <x:c r="K203" s="22">
        <x:v>0</x:v>
      </x:c>
      <x:c r="L203" s="23">
        <x:v>6</x:v>
      </x:c>
    </x:row>
    <x:row r="204">
      <x:c r="A204" s="18" t="s">
        <x:v>629</x:v>
      </x:c>
      <x:c r="B204" s="19" t="s">
        <x:v>630</x:v>
      </x:c>
      <x:c r="C204" s="20">
        <x:v>76012090</x:v>
      </x:c>
      <x:c r="D204" s="20">
        <x:v>3100</x:v>
      </x:c>
      <x:c r="E204" s="18" t="s">
        <x:v>227</x:v>
      </x:c>
      <x:c r="F204" s="19" t="s">
        <x:v>11</x:v>
      </x:c>
      <x:c r="G204" s="20">
        <x:v>0</x:v>
      </x:c>
      <x:c r="H204" s="21"/>
      <x:c r="I204" s="21"/>
      <x:c r="J204" s="23">
        <x:v>18</x:v>
      </x:c>
      <x:c r="K204" s="23">
        <x:v>57600</x:v>
      </x:c>
      <x:c r="L204" s="23">
        <x:v>1</x:v>
      </x:c>
    </x:row>
    <x:row r="205">
      <x:c r="A205" s="18" t="s">
        <x:v>631</x:v>
      </x:c>
      <x:c r="B205" s="19" t="s">
        <x:v>632</x:v>
      </x:c>
      <x:c r="C205" s="20">
        <x:v>76012090</x:v>
      </x:c>
      <x:c r="D205" s="20">
        <x:v>2364.23</x:v>
      </x:c>
      <x:c r="E205" s="18" t="s">
        <x:v>227</x:v>
      </x:c>
      <x:c r="F205" s="19" t="s">
        <x:v>11</x:v>
      </x:c>
      <x:c r="G205" s="20">
        <x:v>3200</x:v>
      </x:c>
      <x:c r="H205" s="21"/>
      <x:c r="I205" s="26" t="s">
        <x:v>255</x:v>
      </x:c>
      <x:c r="J205" s="23">
        <x:v>10</x:v>
      </x:c>
      <x:c r="K205" s="23">
        <x:v>32000</x:v>
      </x:c>
      <x:c r="L205" s="23">
        <x:v>0</x:v>
      </x:c>
    </x:row>
    <x:row r="206">
      <x:c r="A206" s="18" t="s">
        <x:v>633</x:v>
      </x:c>
      <x:c r="B206" s="19" t="s">
        <x:v>634</x:v>
      </x:c>
      <x:c r="C206" s="20">
        <x:v>76012090</x:v>
      </x:c>
      <x:c r="D206" s="20">
        <x:v>8329.33</x:v>
      </x:c>
      <x:c r="E206" s="18" t="s">
        <x:v>227</x:v>
      </x:c>
      <x:c r="F206" s="19" t="s">
        <x:v>11</x:v>
      </x:c>
      <x:c r="G206" s="20">
        <x:v>0</x:v>
      </x:c>
      <x:c r="H206" s="21"/>
      <x:c r="I206" s="21"/>
      <x:c r="J206" s="23">
        <x:v>7</x:v>
      </x:c>
      <x:c r="K206" s="23">
        <x:v>4550</x:v>
      </x:c>
      <x:c r="L206" s="23">
        <x:v>5</x:v>
      </x:c>
    </x:row>
    <x:row r="207">
      <x:c r="A207" s="18" t="s">
        <x:v>635</x:v>
      </x:c>
      <x:c r="B207" s="19" t="s">
        <x:v>636</x:v>
      </x:c>
      <x:c r="C207" s="20">
        <x:v>76012090</x:v>
      </x:c>
      <x:c r="D207" s="20">
        <x:v>8124.98</x:v>
      </x:c>
      <x:c r="E207" s="18" t="s">
        <x:v>227</x:v>
      </x:c>
      <x:c r="F207" s="19" t="s">
        <x:v>11</x:v>
      </x:c>
      <x:c r="G207" s="20">
        <x:v>975</x:v>
      </x:c>
      <x:c r="H207" s="20">
        <x:v>50</x:v>
      </x:c>
      <x:c r="I207" s="26" t="s">
        <x:v>255</x:v>
      </x:c>
      <x:c r="J207" s="22">
        <x:v>0</x:v>
      </x:c>
      <x:c r="K207" s="22">
        <x:v>0</x:v>
      </x:c>
      <x:c r="L207" s="23">
        <x:v>0</x:v>
      </x:c>
    </x:row>
    <x:row r="208">
      <x:c r="A208" s="18" t="s">
        <x:v>637</x:v>
      </x:c>
      <x:c r="B208" s="19" t="s">
        <x:v>638</x:v>
      </x:c>
      <x:c r="C208" s="20">
        <x:v>76012090</x:v>
      </x:c>
      <x:c r="D208" s="20">
        <x:v>8329.34</x:v>
      </x:c>
      <x:c r="E208" s="18" t="s">
        <x:v>227</x:v>
      </x:c>
      <x:c r="F208" s="19" t="s">
        <x:v>11</x:v>
      </x:c>
      <x:c r="G208" s="20">
        <x:v>0</x:v>
      </x:c>
      <x:c r="H208" s="21"/>
      <x:c r="I208" s="21"/>
      <x:c r="J208" s="23">
        <x:v>10</x:v>
      </x:c>
      <x:c r="K208" s="23">
        <x:v>9750</x:v>
      </x:c>
      <x:c r="L208" s="23">
        <x:v>0</x:v>
      </x:c>
    </x:row>
    <x:row r="209">
      <x:c r="A209" s="18" t="s">
        <x:v>639</x:v>
      </x:c>
      <x:c r="B209" s="19" t="s">
        <x:v>640</x:v>
      </x:c>
      <x:c r="C209" s="20">
        <x:v>76042930</x:v>
      </x:c>
      <x:c r="D209" s="20">
        <x:v>8329.33</x:v>
      </x:c>
      <x:c r="E209" s="18" t="s">
        <x:v>227</x:v>
      </x:c>
      <x:c r="F209" s="19" t="s">
        <x:v>41</x:v>
      </x:c>
      <x:c r="G209" s="20">
        <x:v>99.7</x:v>
      </x:c>
      <x:c r="H209" s="21"/>
      <x:c r="I209" s="26" t="s">
        <x:v>245</x:v>
      </x:c>
      <x:c r="J209" s="23">
        <x:v>2692</x:v>
      </x:c>
      <x:c r="K209" s="23">
        <x:v>226532.18</x:v>
      </x:c>
      <x:c r="L209" s="23">
        <x:v>974</x:v>
      </x:c>
    </x:row>
    <x:row r="210">
      <x:c r="A210" s="18" t="s">
        <x:v>641</x:v>
      </x:c>
      <x:c r="B210" s="19" t="s">
        <x:v>642</x:v>
      </x:c>
      <x:c r="C210" s="20">
        <x:v>76012090</x:v>
      </x:c>
      <x:c r="D210" s="20">
        <x:v>7496.4</x:v>
      </x:c>
      <x:c r="E210" s="18" t="s">
        <x:v>227</x:v>
      </x:c>
      <x:c r="F210" s="19" t="s">
        <x:v>41</x:v>
      </x:c>
      <x:c r="G210" s="20">
        <x:v>0</x:v>
      </x:c>
      <x:c r="H210" s="21"/>
      <x:c r="I210" s="21"/>
      <x:c r="J210" s="23">
        <x:v>747</x:v>
      </x:c>
      <x:c r="K210" s="23">
        <x:v>106151</x:v>
      </x:c>
      <x:c r="L210" s="23">
        <x:v>612</x:v>
      </x:c>
    </x:row>
    <x:row r="211">
      <x:c r="A211" s="18" t="s">
        <x:v>643</x:v>
      </x:c>
      <x:c r="B211" s="19" t="s">
        <x:v>644</x:v>
      </x:c>
      <x:c r="C211" s="20">
        <x:v>76042930</x:v>
      </x:c>
      <x:c r="D211" s="20">
        <x:v>7496.4</x:v>
      </x:c>
      <x:c r="E211" s="18" t="s">
        <x:v>227</x:v>
      </x:c>
      <x:c r="F211" s="19" t="s">
        <x:v>41</x:v>
      </x:c>
      <x:c r="G211" s="20">
        <x:v>0</x:v>
      </x:c>
      <x:c r="H211" s="21"/>
      <x:c r="I211" s="21"/>
      <x:c r="J211" s="23">
        <x:v>552</x:v>
      </x:c>
      <x:c r="K211" s="23">
        <x:v>95921.49</x:v>
      </x:c>
      <x:c r="L211" s="23">
        <x:v>0</x:v>
      </x:c>
    </x:row>
    <x:row r="212">
      <x:c r="A212" s="18" t="s">
        <x:v>645</x:v>
      </x:c>
      <x:c r="B212" s="19" t="s">
        <x:v>646</x:v>
      </x:c>
      <x:c r="C212" s="20">
        <x:v>76042930</x:v>
      </x:c>
      <x:c r="D212" s="20">
        <x:v>8329.33</x:v>
      </x:c>
      <x:c r="E212" s="18" t="s">
        <x:v>227</x:v>
      </x:c>
      <x:c r="F212" s="19" t="s">
        <x:v>41</x:v>
      </x:c>
      <x:c r="G212" s="20">
        <x:v>234.45</x:v>
      </x:c>
      <x:c r="H212" s="21"/>
      <x:c r="I212" s="26" t="s">
        <x:v>245</x:v>
      </x:c>
      <x:c r="J212" s="23">
        <x:v>107</x:v>
      </x:c>
      <x:c r="K212" s="23">
        <x:v>21565.29</x:v>
      </x:c>
      <x:c r="L212" s="23">
        <x:v>214</x:v>
      </x:c>
    </x:row>
    <x:row r="213">
      <x:c r="A213" s="18" t="s">
        <x:v>647</x:v>
      </x:c>
      <x:c r="B213" s="19" t="s">
        <x:v>648</x:v>
      </x:c>
      <x:c r="C213" s="20">
        <x:v>76042930</x:v>
      </x:c>
      <x:c r="D213" s="20">
        <x:v>930</x:v>
      </x:c>
      <x:c r="E213" s="18" t="s">
        <x:v>227</x:v>
      </x:c>
      <x:c r="F213" s="19" t="s">
        <x:v>41</x:v>
      </x:c>
      <x:c r="G213" s="20">
        <x:v>0</x:v>
      </x:c>
      <x:c r="H213" s="21"/>
      <x:c r="I213" s="21"/>
      <x:c r="J213" s="23">
        <x:v>813</x:v>
      </x:c>
      <x:c r="K213" s="23">
        <x:v>84585.55</x:v>
      </x:c>
      <x:c r="L213" s="23">
        <x:v>750</x:v>
      </x:c>
    </x:row>
    <x:row r="214">
      <x:c r="A214" s="18" t="s">
        <x:v>649</x:v>
      </x:c>
      <x:c r="B214" s="19" t="s">
        <x:v>650</x:v>
      </x:c>
      <x:c r="C214" s="20">
        <x:v>76042930</x:v>
      </x:c>
      <x:c r="D214" s="20">
        <x:v>8124.98</x:v>
      </x:c>
      <x:c r="E214" s="18" t="s">
        <x:v>227</x:v>
      </x:c>
      <x:c r="F214" s="19" t="s">
        <x:v>41</x:v>
      </x:c>
      <x:c r="G214" s="20">
        <x:v>0</x:v>
      </x:c>
      <x:c r="H214" s="21"/>
      <x:c r="I214" s="21"/>
      <x:c r="J214" s="23">
        <x:v>180</x:v>
      </x:c>
      <x:c r="K214" s="23">
        <x:v>21467.23</x:v>
      </x:c>
      <x:c r="L214" s="23">
        <x:v>180</x:v>
      </x:c>
    </x:row>
    <x:row r="215">
      <x:c r="A215" s="18" t="s">
        <x:v>651</x:v>
      </x:c>
      <x:c r="B215" s="19" t="s">
        <x:v>652</x:v>
      </x:c>
      <x:c r="C215" s="20">
        <x:v>76042930</x:v>
      </x:c>
      <x:c r="D215" s="20">
        <x:v>14624.96</x:v>
      </x:c>
      <x:c r="E215" s="18" t="s">
        <x:v>227</x:v>
      </x:c>
      <x:c r="F215" s="19" t="s">
        <x:v>41</x:v>
      </x:c>
      <x:c r="G215" s="20">
        <x:v>0</x:v>
      </x:c>
      <x:c r="H215" s="21"/>
      <x:c r="I215" s="21"/>
      <x:c r="J215" s="23">
        <x:v>1471</x:v>
      </x:c>
      <x:c r="K215" s="23">
        <x:v>89004.85</x:v>
      </x:c>
      <x:c r="L215" s="23">
        <x:v>1459</x:v>
      </x:c>
    </x:row>
    <x:row r="216">
      <x:c r="A216" s="18" t="s">
        <x:v>653</x:v>
      </x:c>
      <x:c r="B216" s="19" t="s">
        <x:v>654</x:v>
      </x:c>
      <x:c r="C216" s="20">
        <x:v>76042930</x:v>
      </x:c>
      <x:c r="D216" s="20">
        <x:v>8329.5</x:v>
      </x:c>
      <x:c r="E216" s="18" t="s">
        <x:v>227</x:v>
      </x:c>
      <x:c r="F216" s="19" t="s">
        <x:v>41</x:v>
      </x:c>
      <x:c r="G216" s="20">
        <x:v>0</x:v>
      </x:c>
      <x:c r="H216" s="21"/>
      <x:c r="I216" s="21"/>
      <x:c r="J216" s="23">
        <x:v>306</x:v>
      </x:c>
      <x:c r="K216" s="23">
        <x:v>21223.91</x:v>
      </x:c>
      <x:c r="L216" s="23">
        <x:v>306</x:v>
      </x:c>
    </x:row>
    <x:row r="217">
      <x:c r="A217" s="18" t="s">
        <x:v>655</x:v>
      </x:c>
      <x:c r="B217" s="19" t="s">
        <x:v>656</x:v>
      </x:c>
      <x:c r="C217" s="20">
        <x:v>76042930</x:v>
      </x:c>
      <x:c r="D217" s="20">
        <x:v>7496.4</x:v>
      </x:c>
      <x:c r="E217" s="18" t="s">
        <x:v>227</x:v>
      </x:c>
      <x:c r="F217" s="19" t="s">
        <x:v>41</x:v>
      </x:c>
      <x:c r="G217" s="20">
        <x:v>0</x:v>
      </x:c>
      <x:c r="H217" s="21"/>
      <x:c r="I217" s="21"/>
      <x:c r="J217" s="23">
        <x:v>6</x:v>
      </x:c>
      <x:c r="K217" s="23">
        <x:v>1580.87</x:v>
      </x:c>
      <x:c r="L217" s="23">
        <x:v>5</x:v>
      </x:c>
    </x:row>
    <x:row r="218">
      <x:c r="A218" s="18" t="s">
        <x:v>657</x:v>
      </x:c>
      <x:c r="B218" s="19" t="s">
        <x:v>658</x:v>
      </x:c>
      <x:c r="C218" s="20">
        <x:v>76042930</x:v>
      </x:c>
      <x:c r="D218" s="20">
        <x:v>32933.25</x:v>
      </x:c>
      <x:c r="E218" s="18" t="s">
        <x:v>227</x:v>
      </x:c>
      <x:c r="F218" s="19" t="s">
        <x:v>41</x:v>
      </x:c>
      <x:c r="G218" s="20">
        <x:v>290.39999999999998</x:v>
      </x:c>
      <x:c r="H218" s="21"/>
      <x:c r="I218" s="26" t="s">
        <x:v>440</x:v>
      </x:c>
      <x:c r="J218" s="23">
        <x:v>24</x:v>
      </x:c>
      <x:c r="K218" s="23">
        <x:v>5516.38</x:v>
      </x:c>
      <x:c r="L218" s="23">
        <x:v>577</x:v>
      </x:c>
    </x:row>
    <x:row r="219">
      <x:c r="A219" s="18" t="s">
        <x:v>659</x:v>
      </x:c>
      <x:c r="B219" s="19" t="s">
        <x:v>660</x:v>
      </x:c>
      <x:c r="C219" s="20">
        <x:v>76042930</x:v>
      </x:c>
      <x:c r="D219" s="20">
        <x:v>7312.48</x:v>
      </x:c>
      <x:c r="E219" s="18" t="s">
        <x:v>227</x:v>
      </x:c>
      <x:c r="F219" s="19" t="s">
        <x:v>41</x:v>
      </x:c>
      <x:c r="G219" s="20">
        <x:v>0</x:v>
      </x:c>
      <x:c r="H219" s="21"/>
      <x:c r="I219" s="21"/>
      <x:c r="J219" s="23">
        <x:v>198</x:v>
      </x:c>
      <x:c r="K219" s="23">
        <x:v>154483.56</x:v>
      </x:c>
      <x:c r="L219" s="23">
        <x:v>138</x:v>
      </x:c>
    </x:row>
    <x:row r="220">
      <x:c r="A220" s="18" t="s">
        <x:v>661</x:v>
      </x:c>
      <x:c r="B220" s="19" t="s">
        <x:v>662</x:v>
      </x:c>
      <x:c r="C220" s="20">
        <x:v>76042930</x:v>
      </x:c>
      <x:c r="D220" s="20">
        <x:v>2169.7199999999998</x:v>
      </x:c>
      <x:c r="E220" s="18" t="s">
        <x:v>227</x:v>
      </x:c>
      <x:c r="F220" s="19" t="s">
        <x:v>41</x:v>
      </x:c>
      <x:c r="G220" s="20">
        <x:v>0</x:v>
      </x:c>
      <x:c r="H220" s="21"/>
      <x:c r="I220" s="21"/>
      <x:c r="J220" s="22">
        <x:v>0</x:v>
      </x:c>
      <x:c r="K220" s="22">
        <x:v>0</x:v>
      </x:c>
      <x:c r="L220" s="23">
        <x:v>0</x:v>
      </x:c>
    </x:row>
    <x:row r="221">
      <x:c r="A221" s="18" t="s">
        <x:v>663</x:v>
      </x:c>
      <x:c r="B221" s="19" t="s">
        <x:v>664</x:v>
      </x:c>
      <x:c r="C221" s="20">
        <x:v>76012090</x:v>
      </x:c>
      <x:c r="D221" s="20">
        <x:v>15111.78</x:v>
      </x:c>
      <x:c r="E221" s="18" t="s">
        <x:v>227</x:v>
      </x:c>
      <x:c r="F221" s="19" t="s">
        <x:v>41</x:v>
      </x:c>
      <x:c r="G221" s="20">
        <x:v>88.5</x:v>
      </x:c>
      <x:c r="H221" s="21"/>
      <x:c r="I221" s="26" t="s">
        <x:v>665</x:v>
      </x:c>
      <x:c r="J221" s="23">
        <x:v>759</x:v>
      </x:c>
      <x:c r="K221" s="23">
        <x:v>49606.07</x:v>
      </x:c>
      <x:c r="L221" s="23">
        <x:v>669</x:v>
      </x:c>
    </x:row>
    <x:row r="222">
      <x:c r="A222" s="18" t="s">
        <x:v>666</x:v>
      </x:c>
      <x:c r="B222" s="19" t="s">
        <x:v>667</x:v>
      </x:c>
      <x:c r="C222" s="20">
        <x:v>76012090</x:v>
      </x:c>
      <x:c r="D222" s="20">
        <x:v>4278</x:v>
      </x:c>
      <x:c r="E222" s="18" t="s">
        <x:v>227</x:v>
      </x:c>
      <x:c r="F222" s="19" t="s">
        <x:v>41</x:v>
      </x:c>
      <x:c r="G222" s="20">
        <x:v>0</x:v>
      </x:c>
      <x:c r="H222" s="20">
        <x:v>50</x:v>
      </x:c>
      <x:c r="I222" s="21"/>
      <x:c r="J222" s="23">
        <x:v>129</x:v>
      </x:c>
      <x:c r="K222" s="23">
        <x:v>51415.53</x:v>
      </x:c>
      <x:c r="L222" s="23">
        <x:v>0</x:v>
      </x:c>
    </x:row>
    <x:row r="223">
      <x:c r="A223" s="18" t="s">
        <x:v>668</x:v>
      </x:c>
      <x:c r="B223" s="19" t="s">
        <x:v>669</x:v>
      </x:c>
      <x:c r="C223" s="20">
        <x:v>76012090</x:v>
      </x:c>
      <x:c r="D223" s="20">
        <x:v>8329.33</x:v>
      </x:c>
      <x:c r="E223" s="18" t="s">
        <x:v>227</x:v>
      </x:c>
      <x:c r="F223" s="19" t="s">
        <x:v>41</x:v>
      </x:c>
      <x:c r="G223" s="20">
        <x:v>0</x:v>
      </x:c>
      <x:c r="H223" s="20">
        <x:v>50</x:v>
      </x:c>
      <x:c r="I223" s="21"/>
      <x:c r="J223" s="23">
        <x:v>684</x:v>
      </x:c>
      <x:c r="K223" s="23">
        <x:v>262327.67999999999</x:v>
      </x:c>
      <x:c r="L223" s="23">
        <x:v>0</x:v>
      </x:c>
    </x:row>
    <x:row r="224">
      <x:c r="A224" s="18" t="s">
        <x:v>670</x:v>
      </x:c>
      <x:c r="B224" s="19" t="s">
        <x:v>671</x:v>
      </x:c>
      <x:c r="C224" s="20">
        <x:v>76012090</x:v>
      </x:c>
      <x:c r="D224" s="20">
        <x:v>17769.25</x:v>
      </x:c>
      <x:c r="E224" s="18" t="s">
        <x:v>227</x:v>
      </x:c>
      <x:c r="F224" s="19" t="s">
        <x:v>11</x:v>
      </x:c>
      <x:c r="G224" s="20">
        <x:v>0</x:v>
      </x:c>
      <x:c r="H224" s="20">
        <x:v>100</x:v>
      </x:c>
      <x:c r="I224" s="21"/>
      <x:c r="J224" s="23">
        <x:v>6</x:v>
      </x:c>
      <x:c r="K224" s="23">
        <x:v>7783.6</x:v>
      </x:c>
      <x:c r="L224" s="23">
        <x:v>1</x:v>
      </x:c>
    </x:row>
    <x:row r="225">
      <x:c r="A225" s="18" t="s">
        <x:v>672</x:v>
      </x:c>
      <x:c r="B225" s="19" t="s">
        <x:v>673</x:v>
      </x:c>
      <x:c r="C225" s="20">
        <x:v>76012090</x:v>
      </x:c>
      <x:c r="D225" s="20">
        <x:v>4014.87</x:v>
      </x:c>
      <x:c r="E225" s="18" t="s">
        <x:v>227</x:v>
      </x:c>
      <x:c r="F225" s="19" t="s">
        <x:v>11</x:v>
      </x:c>
      <x:c r="G225" s="20">
        <x:v>2410</x:v>
      </x:c>
      <x:c r="H225" s="21"/>
      <x:c r="I225" s="26" t="s">
        <x:v>275</x:v>
      </x:c>
      <x:c r="J225" s="23">
        <x:v>6</x:v>
      </x:c>
      <x:c r="K225" s="23">
        <x:v>8487.7999999999993</x:v>
      </x:c>
      <x:c r="L225" s="23">
        <x:v>10</x:v>
      </x:c>
    </x:row>
    <x:row r="226">
      <x:c r="A226" s="18" t="s">
        <x:v>674</x:v>
      </x:c>
      <x:c r="B226" s="19" t="s">
        <x:v>675</x:v>
      </x:c>
      <x:c r="C226" s="20">
        <x:v>76012090</x:v>
      </x:c>
      <x:c r="D226" s="20">
        <x:v>3441</x:v>
      </x:c>
      <x:c r="E226" s="18" t="s">
        <x:v>227</x:v>
      </x:c>
      <x:c r="F226" s="19" t="s">
        <x:v>11</x:v>
      </x:c>
      <x:c r="G226" s="20">
        <x:v>0</x:v>
      </x:c>
      <x:c r="H226" s="21"/>
      <x:c r="I226" s="21"/>
      <x:c r="J226" s="23">
        <x:v>18</x:v>
      </x:c>
      <x:c r="K226" s="23">
        <x:v>29516.400000000001</x:v>
      </x:c>
      <x:c r="L226" s="23">
        <x:v>10</x:v>
      </x:c>
    </x:row>
    <x:row r="227">
      <x:c r="A227" s="18" t="s">
        <x:v>676</x:v>
      </x:c>
      <x:c r="B227" s="19" t="s">
        <x:v>677</x:v>
      </x:c>
      <x:c r="C227" s="20">
        <x:v>76012090</x:v>
      </x:c>
      <x:c r="D227" s="20">
        <x:v>294.5</x:v>
      </x:c>
      <x:c r="E227" s="18" t="s">
        <x:v>227</x:v>
      </x:c>
      <x:c r="F227" s="19" t="s">
        <x:v>11</x:v>
      </x:c>
      <x:c r="G227" s="20">
        <x:v>0</x:v>
      </x:c>
      <x:c r="H227" s="21"/>
      <x:c r="I227" s="21"/>
      <x:c r="J227" s="23">
        <x:v>4</x:v>
      </x:c>
      <x:c r="K227" s="23">
        <x:v>3240</x:v>
      </x:c>
      <x:c r="L227" s="23">
        <x:v>4</x:v>
      </x:c>
    </x:row>
    <x:row r="228">
      <x:c r="A228" s="18" t="s">
        <x:v>678</x:v>
      </x:c>
      <x:c r="B228" s="19" t="s">
        <x:v>679</x:v>
      </x:c>
      <x:c r="C228" s="20">
        <x:v>76012090</x:v>
      </x:c>
      <x:c r="D228" s="20">
        <x:v>294.5</x:v>
      </x:c>
      <x:c r="E228" s="18" t="s">
        <x:v>227</x:v>
      </x:c>
      <x:c r="F228" s="19" t="s">
        <x:v>41</x:v>
      </x:c>
      <x:c r="G228" s="20">
        <x:v>0</x:v>
      </x:c>
      <x:c r="H228" s="21"/>
      <x:c r="I228" s="21"/>
      <x:c r="J228" s="23">
        <x:v>36</x:v>
      </x:c>
      <x:c r="K228" s="23">
        <x:v>4950</x:v>
      </x:c>
      <x:c r="L228" s="23">
        <x:v>36</x:v>
      </x:c>
    </x:row>
    <x:row r="229">
      <x:c r="A229" s="18" t="s">
        <x:v>680</x:v>
      </x:c>
      <x:c r="B229" s="19" t="s">
        <x:v>681</x:v>
      </x:c>
      <x:c r="C229" s="20">
        <x:v>76042930</x:v>
      </x:c>
      <x:c r="D229" s="20">
        <x:v>294.5</x:v>
      </x:c>
      <x:c r="E229" s="18" t="s">
        <x:v>227</x:v>
      </x:c>
      <x:c r="F229" s="19" t="s">
        <x:v>41</x:v>
      </x:c>
      <x:c r="G229" s="20">
        <x:v>0</x:v>
      </x:c>
      <x:c r="H229" s="21"/>
      <x:c r="I229" s="21"/>
      <x:c r="J229" s="23">
        <x:v>418</x:v>
      </x:c>
      <x:c r="K229" s="23">
        <x:v>39016.99</x:v>
      </x:c>
      <x:c r="L229" s="23">
        <x:v>0</x:v>
      </x:c>
    </x:row>
    <x:row r="230">
      <x:c r="A230" s="18" t="s">
        <x:v>682</x:v>
      </x:c>
      <x:c r="B230" s="19" t="s">
        <x:v>683</x:v>
      </x:c>
      <x:c r="C230" s="20">
        <x:v>76012090</x:v>
      </x:c>
      <x:c r="D230" s="20">
        <x:v>294.5</x:v>
      </x:c>
      <x:c r="E230" s="18" t="s">
        <x:v>227</x:v>
      </x:c>
      <x:c r="F230" s="19" t="s">
        <x:v>41</x:v>
      </x:c>
      <x:c r="G230" s="20">
        <x:v>133.33000000000001</x:v>
      </x:c>
      <x:c r="H230" s="21"/>
      <x:c r="I230" s="26" t="s">
        <x:v>233</x:v>
      </x:c>
      <x:c r="J230" s="23">
        <x:v>6</x:v>
      </x:c>
      <x:c r="K230" s="23">
        <x:v>800</x:v>
      </x:c>
      <x:c r="L230" s="23">
        <x:v>27</x:v>
      </x:c>
    </x:row>
    <x:row r="231">
      <x:c r="A231" s="18" t="s">
        <x:v>684</x:v>
      </x:c>
      <x:c r="B231" s="19" t="s">
        <x:v>685</x:v>
      </x:c>
      <x:c r="C231" s="20">
        <x:v>76012090</x:v>
      </x:c>
      <x:c r="D231" s="20">
        <x:v>294.5</x:v>
      </x:c>
      <x:c r="E231" s="18" t="s">
        <x:v>227</x:v>
      </x:c>
      <x:c r="F231" s="19" t="s">
        <x:v>11</x:v>
      </x:c>
      <x:c r="G231" s="20">
        <x:v>0</x:v>
      </x:c>
      <x:c r="H231" s="20">
        <x:v>50</x:v>
      </x:c>
      <x:c r="I231" s="21"/>
      <x:c r="J231" s="23">
        <x:v>5</x:v>
      </x:c>
      <x:c r="K231" s="23">
        <x:v>2000</x:v>
      </x:c>
      <x:c r="L231" s="23">
        <x:v>0</x:v>
      </x:c>
    </x:row>
    <x:row r="232">
      <x:c r="A232" s="18" t="s">
        <x:v>686</x:v>
      </x:c>
      <x:c r="B232" s="19" t="s">
        <x:v>687</x:v>
      </x:c>
      <x:c r="C232" s="20">
        <x:v>76012090</x:v>
      </x:c>
      <x:c r="D232" s="20">
        <x:v>3782</x:v>
      </x:c>
      <x:c r="E232" s="18" t="s">
        <x:v>227</x:v>
      </x:c>
      <x:c r="F232" s="19" t="s">
        <x:v>11</x:v>
      </x:c>
      <x:c r="G232" s="20">
        <x:v>0</x:v>
      </x:c>
      <x:c r="H232" s="21"/>
      <x:c r="I232" s="21"/>
      <x:c r="J232" s="22">
        <x:v>0</x:v>
      </x:c>
      <x:c r="K232" s="22">
        <x:v>0</x:v>
      </x:c>
      <x:c r="L232" s="23">
        <x:v>2</x:v>
      </x:c>
    </x:row>
    <x:row r="233">
      <x:c r="A233" s="18" t="s">
        <x:v>688</x:v>
      </x:c>
      <x:c r="B233" s="19" t="s">
        <x:v>689</x:v>
      </x:c>
      <x:c r="C233" s="20">
        <x:v>76042930</x:v>
      </x:c>
      <x:c r="D233" s="20">
        <x:v>1250</x:v>
      </x:c>
      <x:c r="E233" s="18" t="s">
        <x:v>227</x:v>
      </x:c>
      <x:c r="F233" s="19" t="s">
        <x:v>41</x:v>
      </x:c>
      <x:c r="G233" s="20">
        <x:v>0</x:v>
      </x:c>
      <x:c r="H233" s="21"/>
      <x:c r="I233" s="21"/>
      <x:c r="J233" s="23">
        <x:v>12</x:v>
      </x:c>
      <x:c r="K233" s="23">
        <x:v>4133.88</x:v>
      </x:c>
      <x:c r="L233" s="23">
        <x:v>12</x:v>
      </x:c>
    </x:row>
    <x:row r="234">
      <x:c r="A234" s="18" t="s">
        <x:v>690</x:v>
      </x:c>
      <x:c r="B234" s="19" t="s">
        <x:v>691</x:v>
      </x:c>
      <x:c r="C234" s="20">
        <x:v>76042930</x:v>
      </x:c>
      <x:c r="D234" s="20">
        <x:v>1448.34</x:v>
      </x:c>
      <x:c r="E234" s="18" t="s">
        <x:v>227</x:v>
      </x:c>
      <x:c r="F234" s="19" t="s">
        <x:v>41</x:v>
      </x:c>
      <x:c r="G234" s="20">
        <x:v>0</x:v>
      </x:c>
      <x:c r="H234" s="21"/>
      <x:c r="I234" s="21"/>
      <x:c r="J234" s="23">
        <x:v>3</x:v>
      </x:c>
      <x:c r="K234" s="23">
        <x:v>1111.95</x:v>
      </x:c>
      <x:c r="L234" s="23">
        <x:v>3</x:v>
      </x:c>
    </x:row>
    <x:row r="235">
      <x:c r="A235" s="18" t="s">
        <x:v>692</x:v>
      </x:c>
      <x:c r="B235" s="19" t="s">
        <x:v>693</x:v>
      </x:c>
      <x:c r="C235" s="20">
        <x:v>76012090</x:v>
      </x:c>
      <x:c r="D235" s="20">
        <x:v>1081.6600000000001</x:v>
      </x:c>
      <x:c r="E235" s="18" t="s">
        <x:v>227</x:v>
      </x:c>
      <x:c r="F235" s="19" t="s">
        <x:v>41</x:v>
      </x:c>
      <x:c r="G235" s="20">
        <x:v>0</x:v>
      </x:c>
      <x:c r="H235" s="21"/>
      <x:c r="I235" s="21"/>
      <x:c r="J235" s="22">
        <x:v>0</x:v>
      </x:c>
      <x:c r="K235" s="22">
        <x:v>0</x:v>
      </x:c>
      <x:c r="L235" s="23">
        <x:v>0</x:v>
      </x:c>
    </x:row>
    <x:row r="236">
      <x:c r="A236" s="18" t="s">
        <x:v>694</x:v>
      </x:c>
      <x:c r="B236" s="19" t="s">
        <x:v>695</x:v>
      </x:c>
      <x:c r="C236" s="20">
        <x:v>76012090</x:v>
      </x:c>
      <x:c r="D236" s="20">
        <x:v>1448.34</x:v>
      </x:c>
      <x:c r="E236" s="18" t="s">
        <x:v>227</x:v>
      </x:c>
      <x:c r="F236" s="19" t="s">
        <x:v>41</x:v>
      </x:c>
      <x:c r="G236" s="20">
        <x:v>0</x:v>
      </x:c>
      <x:c r="H236" s="21"/>
      <x:c r="I236" s="21"/>
      <x:c r="J236" s="22">
        <x:v>0</x:v>
      </x:c>
      <x:c r="K236" s="22">
        <x:v>0</x:v>
      </x:c>
      <x:c r="L236" s="23">
        <x:v>0</x:v>
      </x:c>
    </x:row>
    <x:row r="237">
      <x:c r="A237" s="18" t="s">
        <x:v>696</x:v>
      </x:c>
      <x:c r="B237" s="19" t="s">
        <x:v>697</x:v>
      </x:c>
      <x:c r="C237" s="20">
        <x:v>76012090</x:v>
      </x:c>
      <x:c r="D237" s="20">
        <x:v>3648.01</x:v>
      </x:c>
      <x:c r="E237" s="18" t="s">
        <x:v>227</x:v>
      </x:c>
      <x:c r="F237" s="19" t="s">
        <x:v>41</x:v>
      </x:c>
      <x:c r="G237" s="20">
        <x:v>0</x:v>
      </x:c>
      <x:c r="H237" s="21"/>
      <x:c r="I237" s="21"/>
      <x:c r="J237" s="22">
        <x:v>0</x:v>
      </x:c>
      <x:c r="K237" s="22">
        <x:v>0</x:v>
      </x:c>
      <x:c r="L237" s="23">
        <x:v>0</x:v>
      </x:c>
    </x:row>
    <x:row r="238">
      <x:c r="A238" s="18" t="s">
        <x:v>698</x:v>
      </x:c>
      <x:c r="B238" s="19" t="s">
        <x:v>699</x:v>
      </x:c>
      <x:c r="C238" s="20">
        <x:v>76012090</x:v>
      </x:c>
      <x:c r="D238" s="20">
        <x:v>229.16</x:v>
      </x:c>
      <x:c r="E238" s="18" t="s">
        <x:v>227</x:v>
      </x:c>
      <x:c r="F238" s="19" t="s">
        <x:v>41</x:v>
      </x:c>
      <x:c r="G238" s="20">
        <x:v>0</x:v>
      </x:c>
      <x:c r="H238" s="21"/>
      <x:c r="I238" s="21"/>
      <x:c r="J238" s="22">
        <x:v>0</x:v>
      </x:c>
      <x:c r="K238" s="22">
        <x:v>0</x:v>
      </x:c>
      <x:c r="L238" s="23">
        <x:v>0</x:v>
      </x:c>
    </x:row>
    <x:row r="239">
      <x:c r="A239" s="18" t="s">
        <x:v>700</x:v>
      </x:c>
      <x:c r="B239" s="19" t="s">
        <x:v>701</x:v>
      </x:c>
      <x:c r="C239" s="20">
        <x:v>76012090</x:v>
      </x:c>
      <x:c r="D239" s="20">
        <x:v>0.98</x:v>
      </x:c>
      <x:c r="E239" s="18" t="s">
        <x:v>227</x:v>
      </x:c>
      <x:c r="F239" s="19" t="s">
        <x:v>41</x:v>
      </x:c>
      <x:c r="G239" s="20">
        <x:v>265.37</x:v>
      </x:c>
      <x:c r="H239" s="20">
        <x:v>21592</x:v>
      </x:c>
      <x:c r="I239" s="26" t="s">
        <x:v>440</x:v>
      </x:c>
      <x:c r="J239" s="22">
        <x:v>0</x:v>
      </x:c>
      <x:c r="K239" s="22">
        <x:v>0</x:v>
      </x:c>
      <x:c r="L239" s="23">
        <x:v>0</x:v>
      </x:c>
    </x:row>
    <x:row r="240">
      <x:c r="A240" s="18" t="s">
        <x:v>702</x:v>
      </x:c>
      <x:c r="B240" s="19" t="s">
        <x:v>703</x:v>
      </x:c>
      <x:c r="C240" s="20">
        <x:v>76012090</x:v>
      </x:c>
      <x:c r="D240" s="20">
        <x:v>1.55</x:v>
      </x:c>
      <x:c r="E240" s="18" t="s">
        <x:v>227</x:v>
      </x:c>
      <x:c r="F240" s="19" t="s">
        <x:v>11</x:v>
      </x:c>
      <x:c r="G240" s="20">
        <x:v>0</x:v>
      </x:c>
      <x:c r="H240" s="20">
        <x:v>26622</x:v>
      </x:c>
      <x:c r="I240" s="21"/>
      <x:c r="J240" s="22">
        <x:v>0</x:v>
      </x:c>
      <x:c r="K240" s="22">
        <x:v>0</x:v>
      </x:c>
      <x:c r="L240" s="23">
        <x:v>0</x:v>
      </x:c>
    </x:row>
    <x:row r="241">
      <x:c r="A241" s="18" t="s">
        <x:v>704</x:v>
      </x:c>
      <x:c r="B241" s="19" t="s">
        <x:v>705</x:v>
      </x:c>
      <x:c r="C241" s="20">
        <x:v>76012090</x:v>
      </x:c>
      <x:c r="D241" s="20">
        <x:v>2</x:v>
      </x:c>
      <x:c r="E241" s="18" t="s">
        <x:v>227</x:v>
      </x:c>
      <x:c r="F241" s="19" t="s">
        <x:v>11</x:v>
      </x:c>
      <x:c r="G241" s="20">
        <x:v>0</x:v>
      </x:c>
      <x:c r="H241" s="20">
        <x:v>9417</x:v>
      </x:c>
      <x:c r="I241" s="21"/>
      <x:c r="J241" s="22">
        <x:v>0</x:v>
      </x:c>
      <x:c r="K241" s="22">
        <x:v>0</x:v>
      </x:c>
      <x:c r="L241" s="23">
        <x:v>0</x:v>
      </x:c>
    </x:row>
    <x:row r="242">
      <x:c r="A242" s="18" t="s">
        <x:v>706</x:v>
      </x:c>
      <x:c r="B242" s="19" t="s">
        <x:v>707</x:v>
      </x:c>
      <x:c r="C242" s="20">
        <x:v>76012090</x:v>
      </x:c>
      <x:c r="D242" s="20">
        <x:v>1282.45</x:v>
      </x:c>
      <x:c r="E242" s="18" t="s">
        <x:v>227</x:v>
      </x:c>
      <x:c r="F242" s="19" t="s">
        <x:v>11</x:v>
      </x:c>
      <x:c r="G242" s="20">
        <x:v>0</x:v>
      </x:c>
      <x:c r="H242" s="20">
        <x:v>31.7</x:v>
      </x:c>
      <x:c r="I242" s="21"/>
      <x:c r="J242" s="22">
        <x:v>0</x:v>
      </x:c>
      <x:c r="K242" s="22">
        <x:v>0</x:v>
      </x:c>
      <x:c r="L242" s="23">
        <x:v>0</x:v>
      </x:c>
    </x:row>
    <x:row r="243">
      <x:c r="A243" s="18" t="s">
        <x:v>708</x:v>
      </x:c>
      <x:c r="B243" s="19" t="s">
        <x:v>709</x:v>
      </x:c>
      <x:c r="C243" s="20">
        <x:v>76012090</x:v>
      </x:c>
      <x:c r="D243" s="20">
        <x:v>1433.1</x:v>
      </x:c>
      <x:c r="E243" s="18" t="s">
        <x:v>227</x:v>
      </x:c>
      <x:c r="F243" s="19" t="s">
        <x:v>11</x:v>
      </x:c>
      <x:c r="G243" s="20">
        <x:v>0</x:v>
      </x:c>
      <x:c r="H243" s="20">
        <x:v>735.75</x:v>
      </x:c>
      <x:c r="I243" s="21"/>
      <x:c r="J243" s="22">
        <x:v>0</x:v>
      </x:c>
      <x:c r="K243" s="22">
        <x:v>0</x:v>
      </x:c>
      <x:c r="L243" s="23">
        <x:v>0</x:v>
      </x:c>
    </x:row>
    <x:row r="244">
      <x:c r="A244" s="18" t="s">
        <x:v>710</x:v>
      </x:c>
      <x:c r="B244" s="19" t="s">
        <x:v>711</x:v>
      </x:c>
      <x:c r="C244" s="20">
        <x:v>76012090</x:v>
      </x:c>
      <x:c r="D244" s="20">
        <x:v>3.85</x:v>
      </x:c>
      <x:c r="E244" s="18" t="s">
        <x:v>227</x:v>
      </x:c>
      <x:c r="F244" s="19" t="s">
        <x:v>41</x:v>
      </x:c>
      <x:c r="G244" s="20">
        <x:v>0</x:v>
      </x:c>
      <x:c r="H244" s="20">
        <x:v>830.25</x:v>
      </x:c>
      <x:c r="I244" s="21"/>
      <x:c r="J244" s="22">
        <x:v>0</x:v>
      </x:c>
      <x:c r="K244" s="22">
        <x:v>0</x:v>
      </x:c>
      <x:c r="L244" s="23">
        <x:v>0</x:v>
      </x:c>
    </x:row>
    <x:row r="245">
      <x:c r="A245" s="18" t="s">
        <x:v>712</x:v>
      </x:c>
      <x:c r="B245" s="19" t="s">
        <x:v>713</x:v>
      </x:c>
      <x:c r="C245" s="20">
        <x:v>76012090</x:v>
      </x:c>
      <x:c r="D245" s="20">
        <x:v>47.5</x:v>
      </x:c>
      <x:c r="E245" s="18" t="s">
        <x:v>227</x:v>
      </x:c>
      <x:c r="F245" s="19" t="s">
        <x:v>41</x:v>
      </x:c>
      <x:c r="G245" s="20">
        <x:v>0</x:v>
      </x:c>
      <x:c r="H245" s="20">
        <x:v>873.25</x:v>
      </x:c>
      <x:c r="I245" s="21"/>
      <x:c r="J245" s="23">
        <x:v>3</x:v>
      </x:c>
      <x:c r="K245" s="23">
        <x:v>220</x:v>
      </x:c>
      <x:c r="L245" s="23">
        <x:v>3</x:v>
      </x:c>
    </x:row>
    <x:row r="246">
      <x:c r="A246" s="18" t="s">
        <x:v>714</x:v>
      </x:c>
      <x:c r="B246" s="19" t="s">
        <x:v>715</x:v>
      </x:c>
      <x:c r="C246" s="20">
        <x:v>76012090</x:v>
      </x:c>
      <x:c r="D246" s="20">
        <x:v>0.4</x:v>
      </x:c>
      <x:c r="E246" s="18" t="s">
        <x:v>227</x:v>
      </x:c>
      <x:c r="F246" s="19" t="s">
        <x:v>41</x:v>
      </x:c>
      <x:c r="G246" s="20">
        <x:v>0</x:v>
      </x:c>
      <x:c r="H246" s="21"/>
      <x:c r="I246" s="21"/>
      <x:c r="J246" s="23">
        <x:v>3</x:v>
      </x:c>
      <x:c r="K246" s="23">
        <x:v>130</x:v>
      </x:c>
      <x:c r="L246" s="23">
        <x:v>3</x:v>
      </x:c>
    </x:row>
    <x:row r="247">
      <x:c r="A247" s="18" t="s">
        <x:v>716</x:v>
      </x:c>
      <x:c r="B247" s="19" t="s">
        <x:v>717</x:v>
      </x:c>
      <x:c r="C247" s="20">
        <x:v>76012090</x:v>
      </x:c>
      <x:c r="D247" s="20">
        <x:v>1.78</x:v>
      </x:c>
      <x:c r="E247" s="18" t="s">
        <x:v>227</x:v>
      </x:c>
      <x:c r="F247" s="19" t="s">
        <x:v>41</x:v>
      </x:c>
      <x:c r="G247" s="20">
        <x:v>0</x:v>
      </x:c>
      <x:c r="H247" s="20">
        <x:v>2528.3000000000002</x:v>
      </x:c>
      <x:c r="I247" s="21"/>
      <x:c r="J247" s="23">
        <x:v>3</x:v>
      </x:c>
      <x:c r="K247" s="23">
        <x:v>165</x:v>
      </x:c>
      <x:c r="L247" s="23">
        <x:v>3</x:v>
      </x:c>
    </x:row>
    <x:row r="248">
      <x:c r="A248" s="18" t="s">
        <x:v>718</x:v>
      </x:c>
      <x:c r="B248" s="19" t="s">
        <x:v>719</x:v>
      </x:c>
      <x:c r="C248" s="20">
        <x:v>76012090</x:v>
      </x:c>
      <x:c r="D248" s="20">
        <x:v>79.2</x:v>
      </x:c>
      <x:c r="E248" s="18" t="s">
        <x:v>227</x:v>
      </x:c>
      <x:c r="F248" s="19" t="s">
        <x:v>41</x:v>
      </x:c>
      <x:c r="G248" s="20">
        <x:v>0</x:v>
      </x:c>
      <x:c r="H248" s="20">
        <x:v>306.75</x:v>
      </x:c>
      <x:c r="I248" s="21"/>
      <x:c r="J248" s="23">
        <x:v>3</x:v>
      </x:c>
      <x:c r="K248" s="23">
        <x:v>160</x:v>
      </x:c>
      <x:c r="L248" s="23">
        <x:v>3</x:v>
      </x:c>
    </x:row>
    <x:row r="249">
      <x:c r="A249" s="18" t="s">
        <x:v>720</x:v>
      </x:c>
      <x:c r="B249" s="19" t="s">
        <x:v>721</x:v>
      </x:c>
      <x:c r="C249" s="20">
        <x:v>76012090</x:v>
      </x:c>
      <x:c r="D249" s="20">
        <x:v>1150.46</x:v>
      </x:c>
      <x:c r="E249" s="18" t="s">
        <x:v>227</x:v>
      </x:c>
      <x:c r="F249" s="19" t="s">
        <x:v>41</x:v>
      </x:c>
      <x:c r="G249" s="20">
        <x:v>0</x:v>
      </x:c>
      <x:c r="H249" s="20">
        <x:v>17.25</x:v>
      </x:c>
      <x:c r="I249" s="21"/>
      <x:c r="J249" s="23">
        <x:v>30</x:v>
      </x:c>
      <x:c r="K249" s="23">
        <x:v>25595.4</x:v>
      </x:c>
      <x:c r="L249" s="23">
        <x:v>0</x:v>
      </x:c>
    </x:row>
    <x:row r="250">
      <x:c r="A250" s="18" t="s">
        <x:v>722</x:v>
      </x:c>
      <x:c r="B250" s="19" t="s">
        <x:v>723</x:v>
      </x:c>
      <x:c r="C250" s="20">
        <x:v>76042930</x:v>
      </x:c>
      <x:c r="D250" s="20">
        <x:v>3580.83</x:v>
      </x:c>
      <x:c r="E250" s="18" t="s">
        <x:v>227</x:v>
      </x:c>
      <x:c r="F250" s="19" t="s">
        <x:v>41</x:v>
      </x:c>
      <x:c r="G250" s="20">
        <x:v>0</x:v>
      </x:c>
      <x:c r="H250" s="20">
        <x:v>150</x:v>
      </x:c>
      <x:c r="I250" s="21"/>
      <x:c r="J250" s="23">
        <x:v>331.2</x:v>
      </x:c>
      <x:c r="K250" s="23">
        <x:v>163249.13</x:v>
      </x:c>
      <x:c r="L250" s="23">
        <x:v>307.2</x:v>
      </x:c>
    </x:row>
    <x:row r="251">
      <x:c r="A251" s="18" t="s">
        <x:v>724</x:v>
      </x:c>
      <x:c r="B251" s="19" t="s">
        <x:v>725</x:v>
      </x:c>
      <x:c r="C251" s="20">
        <x:v>76042930</x:v>
      </x:c>
      <x:c r="D251" s="20">
        <x:v>7776.55</x:v>
      </x:c>
      <x:c r="E251" s="18" t="s">
        <x:v>227</x:v>
      </x:c>
      <x:c r="F251" s="19" t="s">
        <x:v>41</x:v>
      </x:c>
      <x:c r="G251" s="20">
        <x:v>0</x:v>
      </x:c>
      <x:c r="H251" s="20">
        <x:v>100</x:v>
      </x:c>
      <x:c r="I251" s="21"/>
      <x:c r="J251" s="23">
        <x:v>114</x:v>
      </x:c>
      <x:c r="K251" s="23">
        <x:v>64411.35</x:v>
      </x:c>
      <x:c r="L251" s="23">
        <x:v>114</x:v>
      </x:c>
    </x:row>
    <x:row r="252">
      <x:c r="A252" s="18" t="s">
        <x:v>726</x:v>
      </x:c>
      <x:c r="B252" s="19" t="s">
        <x:v>727</x:v>
      </x:c>
      <x:c r="C252" s="20">
        <x:v>76042930</x:v>
      </x:c>
      <x:c r="D252" s="20">
        <x:v>7776.55</x:v>
      </x:c>
      <x:c r="E252" s="18" t="s">
        <x:v>227</x:v>
      </x:c>
      <x:c r="F252" s="19" t="s">
        <x:v>41</x:v>
      </x:c>
      <x:c r="G252" s="20">
        <x:v>0</x:v>
      </x:c>
      <x:c r="H252" s="20">
        <x:v>50</x:v>
      </x:c>
      <x:c r="I252" s="21"/>
      <x:c r="J252" s="23">
        <x:v>292.2</x:v>
      </x:c>
      <x:c r="K252" s="23">
        <x:v>141943.87</x:v>
      </x:c>
      <x:c r="L252" s="23">
        <x:v>220.2</x:v>
      </x:c>
    </x:row>
    <x:row r="253">
      <x:c r="A253" s="18" t="s">
        <x:v>728</x:v>
      </x:c>
      <x:c r="B253" s="19" t="s">
        <x:v>729</x:v>
      </x:c>
      <x:c r="C253" s="20">
        <x:v>76042930</x:v>
      </x:c>
      <x:c r="D253" s="20">
        <x:v>4991.46</x:v>
      </x:c>
      <x:c r="E253" s="18" t="s">
        <x:v>227</x:v>
      </x:c>
      <x:c r="F253" s="19" t="s">
        <x:v>41</x:v>
      </x:c>
      <x:c r="G253" s="20">
        <x:v>0</x:v>
      </x:c>
      <x:c r="H253" s="20">
        <x:v>50</x:v>
      </x:c>
      <x:c r="I253" s="21"/>
      <x:c r="J253" s="23">
        <x:v>96</x:v>
      </x:c>
      <x:c r="K253" s="23">
        <x:v>42345.47</x:v>
      </x:c>
      <x:c r="L253" s="23">
        <x:v>96</x:v>
      </x:c>
    </x:row>
    <x:row r="254">
      <x:c r="A254" s="18" t="s">
        <x:v>730</x:v>
      </x:c>
      <x:c r="B254" s="19" t="s">
        <x:v>731</x:v>
      </x:c>
      <x:c r="C254" s="20">
        <x:v>76042930</x:v>
      </x:c>
      <x:c r="D254" s="20">
        <x:v>4278</x:v>
      </x:c>
      <x:c r="E254" s="18" t="s">
        <x:v>227</x:v>
      </x:c>
      <x:c r="F254" s="19" t="s">
        <x:v>41</x:v>
      </x:c>
      <x:c r="G254" s="20">
        <x:v>0</x:v>
      </x:c>
      <x:c r="H254" s="20">
        <x:v>100</x:v>
      </x:c>
      <x:c r="I254" s="21"/>
      <x:c r="J254" s="23">
        <x:v>6</x:v>
      </x:c>
      <x:c r="K254" s="23">
        <x:v>2601.02</x:v>
      </x:c>
      <x:c r="L254" s="23">
        <x:v>0</x:v>
      </x:c>
    </x:row>
    <x:row r="255">
      <x:c r="A255" s="18" t="s">
        <x:v>732</x:v>
      </x:c>
      <x:c r="B255" s="19" t="s">
        <x:v>733</x:v>
      </x:c>
      <x:c r="C255" s="20">
        <x:v>76042930</x:v>
      </x:c>
      <x:c r="D255" s="20">
        <x:v>7776.55</x:v>
      </x:c>
      <x:c r="E255" s="18" t="s">
        <x:v>227</x:v>
      </x:c>
      <x:c r="F255" s="19" t="s">
        <x:v>41</x:v>
      </x:c>
      <x:c r="G255" s="20">
        <x:v>0</x:v>
      </x:c>
      <x:c r="H255" s="20">
        <x:v>50</x:v>
      </x:c>
      <x:c r="I255" s="21"/>
      <x:c r="J255" s="23">
        <x:v>27</x:v>
      </x:c>
      <x:c r="K255" s="23">
        <x:v>13416.8</x:v>
      </x:c>
      <x:c r="L255" s="23">
        <x:v>0</x:v>
      </x:c>
    </x:row>
    <x:row r="256">
      <x:c r="A256" s="18" t="s">
        <x:v>734</x:v>
      </x:c>
      <x:c r="B256" s="19" t="s">
        <x:v>735</x:v>
      </x:c>
      <x:c r="C256" s="20">
        <x:v>76042930</x:v>
      </x:c>
      <x:c r="D256" s="20">
        <x:v>4014.87</x:v>
      </x:c>
      <x:c r="E256" s="18" t="s">
        <x:v>227</x:v>
      </x:c>
      <x:c r="F256" s="19" t="s">
        <x:v>41</x:v>
      </x:c>
      <x:c r="G256" s="20">
        <x:v>0</x:v>
      </x:c>
      <x:c r="H256" s="20">
        <x:v>50</x:v>
      </x:c>
      <x:c r="I256" s="21"/>
      <x:c r="J256" s="23">
        <x:v>16</x:v>
      </x:c>
      <x:c r="K256" s="23">
        <x:v>2485.17</x:v>
      </x:c>
      <x:c r="L256" s="23">
        <x:v>0</x:v>
      </x:c>
    </x:row>
    <x:row r="257">
      <x:c r="A257" s="18" t="s">
        <x:v>736</x:v>
      </x:c>
      <x:c r="B257" s="19" t="s">
        <x:v>737</x:v>
      </x:c>
      <x:c r="C257" s="20">
        <x:v>76042930</x:v>
      </x:c>
      <x:c r="D257" s="20">
        <x:v>6386</x:v>
      </x:c>
      <x:c r="E257" s="18" t="s">
        <x:v>227</x:v>
      </x:c>
      <x:c r="F257" s="19" t="s">
        <x:v>41</x:v>
      </x:c>
      <x:c r="G257" s="20">
        <x:v>0</x:v>
      </x:c>
      <x:c r="H257" s="20">
        <x:v>50</x:v>
      </x:c>
      <x:c r="I257" s="21"/>
      <x:c r="J257" s="23">
        <x:v>57</x:v>
      </x:c>
      <x:c r="K257" s="23">
        <x:v>10148.780000000001</x:v>
      </x:c>
      <x:c r="L257" s="23">
        <x:v>24</x:v>
      </x:c>
    </x:row>
    <x:row r="258">
      <x:c r="A258" s="18" t="s">
        <x:v>738</x:v>
      </x:c>
      <x:c r="B258" s="19" t="s">
        <x:v>739</x:v>
      </x:c>
      <x:c r="C258" s="20">
        <x:v>76042930</x:v>
      </x:c>
      <x:c r="D258" s="20">
        <x:v>4991.46</x:v>
      </x:c>
      <x:c r="E258" s="18" t="s">
        <x:v>227</x:v>
      </x:c>
      <x:c r="F258" s="19" t="s">
        <x:v>41</x:v>
      </x:c>
      <x:c r="G258" s="20">
        <x:v>0</x:v>
      </x:c>
      <x:c r="H258" s="20">
        <x:v>50</x:v>
      </x:c>
      <x:c r="I258" s="21"/>
      <x:c r="J258" s="23">
        <x:v>108</x:v>
      </x:c>
      <x:c r="K258" s="23">
        <x:v>20190.38</x:v>
      </x:c>
      <x:c r="L258" s="23">
        <x:v>0</x:v>
      </x:c>
    </x:row>
    <x:row r="259">
      <x:c r="A259" s="18" t="s">
        <x:v>740</x:v>
      </x:c>
      <x:c r="B259" s="19" t="s">
        <x:v>741</x:v>
      </x:c>
      <x:c r="C259" s="20">
        <x:v>76042930</x:v>
      </x:c>
      <x:c r="D259" s="20">
        <x:v>3782</x:v>
      </x:c>
      <x:c r="E259" s="18" t="s">
        <x:v>227</x:v>
      </x:c>
      <x:c r="F259" s="19" t="s">
        <x:v>41</x:v>
      </x:c>
      <x:c r="G259" s="20">
        <x:v>0</x:v>
      </x:c>
      <x:c r="H259" s="20">
        <x:v>50</x:v>
      </x:c>
      <x:c r="I259" s="21"/>
      <x:c r="J259" s="23">
        <x:v>231</x:v>
      </x:c>
      <x:c r="K259" s="23">
        <x:v>45339.4</x:v>
      </x:c>
      <x:c r="L259" s="23">
        <x:v>213</x:v>
      </x:c>
    </x:row>
    <x:row r="260">
      <x:c r="A260" s="18" t="s">
        <x:v>742</x:v>
      </x:c>
      <x:c r="B260" s="19" t="s">
        <x:v>743</x:v>
      </x:c>
      <x:c r="C260" s="20">
        <x:v>76042930</x:v>
      </x:c>
      <x:c r="D260" s="20">
        <x:v>1591.59</x:v>
      </x:c>
      <x:c r="E260" s="18" t="s">
        <x:v>227</x:v>
      </x:c>
      <x:c r="F260" s="19" t="s">
        <x:v>41</x:v>
      </x:c>
      <x:c r="G260" s="20">
        <x:v>0</x:v>
      </x:c>
      <x:c r="H260" s="20">
        <x:v>400</x:v>
      </x:c>
      <x:c r="I260" s="21"/>
      <x:c r="J260" s="23">
        <x:v>90</x:v>
      </x:c>
      <x:c r="K260" s="23">
        <x:v>20249.54</x:v>
      </x:c>
      <x:c r="L260" s="23">
        <x:v>90</x:v>
      </x:c>
    </x:row>
    <x:row r="261">
      <x:c r="A261" s="18" t="s">
        <x:v>744</x:v>
      </x:c>
      <x:c r="B261" s="19" t="s">
        <x:v>745</x:v>
      </x:c>
      <x:c r="C261" s="20">
        <x:v>76042930</x:v>
      </x:c>
      <x:c r="D261" s="20">
        <x:v>4991.46</x:v>
      </x:c>
      <x:c r="E261" s="18" t="s">
        <x:v>227</x:v>
      </x:c>
      <x:c r="F261" s="19" t="s">
        <x:v>41</x:v>
      </x:c>
      <x:c r="G261" s="20">
        <x:v>0</x:v>
      </x:c>
      <x:c r="H261" s="20">
        <x:v>50</x:v>
      </x:c>
      <x:c r="I261" s="21"/>
      <x:c r="J261" s="23">
        <x:v>96</x:v>
      </x:c>
      <x:c r="K261" s="23">
        <x:v>22679.01</x:v>
      </x:c>
      <x:c r="L261" s="23">
        <x:v>75</x:v>
      </x:c>
    </x:row>
    <x:row r="262">
      <x:c r="A262" s="18" t="s">
        <x:v>746</x:v>
      </x:c>
      <x:c r="B262" s="19" t="s">
        <x:v>747</x:v>
      </x:c>
      <x:c r="C262" s="20">
        <x:v>76012090</x:v>
      </x:c>
      <x:c r="D262" s="20">
        <x:v>3441</x:v>
      </x:c>
      <x:c r="E262" s="18" t="s">
        <x:v>227</x:v>
      </x:c>
      <x:c r="F262" s="19" t="s">
        <x:v>41</x:v>
      </x:c>
      <x:c r="G262" s="20">
        <x:v>0</x:v>
      </x:c>
      <x:c r="H262" s="20">
        <x:v>50</x:v>
      </x:c>
      <x:c r="I262" s="21"/>
      <x:c r="J262" s="22">
        <x:v>0</x:v>
      </x:c>
      <x:c r="K262" s="22">
        <x:v>0</x:v>
      </x:c>
      <x:c r="L262" s="23">
        <x:v>0</x:v>
      </x:c>
    </x:row>
    <x:row r="263">
      <x:c r="A263" s="18" t="s">
        <x:v>748</x:v>
      </x:c>
      <x:c r="B263" s="19" t="s">
        <x:v>749</x:v>
      </x:c>
      <x:c r="C263" s="20">
        <x:v>76042930</x:v>
      </x:c>
      <x:c r="D263" s="20">
        <x:v>4774.05</x:v>
      </x:c>
      <x:c r="E263" s="18" t="s">
        <x:v>227</x:v>
      </x:c>
      <x:c r="F263" s="19" t="s">
        <x:v>41</x:v>
      </x:c>
      <x:c r="G263" s="20">
        <x:v>0</x:v>
      </x:c>
      <x:c r="H263" s="20">
        <x:v>50</x:v>
      </x:c>
      <x:c r="I263" s="21"/>
      <x:c r="J263" s="23">
        <x:v>348</x:v>
      </x:c>
      <x:c r="K263" s="23">
        <x:v>98677.54</x:v>
      </x:c>
      <x:c r="L263" s="23">
        <x:v>342</x:v>
      </x:c>
    </x:row>
    <x:row r="264">
      <x:c r="A264" s="18" t="s">
        <x:v>750</x:v>
      </x:c>
      <x:c r="B264" s="19" t="s">
        <x:v>751</x:v>
      </x:c>
      <x:c r="C264" s="20">
        <x:v>76042930</x:v>
      </x:c>
      <x:c r="D264" s="20">
        <x:v>6872.3</x:v>
      </x:c>
      <x:c r="E264" s="18" t="s">
        <x:v>227</x:v>
      </x:c>
      <x:c r="F264" s="19" t="s">
        <x:v>41</x:v>
      </x:c>
      <x:c r="G264" s="20">
        <x:v>0</x:v>
      </x:c>
      <x:c r="H264" s="20">
        <x:v>50</x:v>
      </x:c>
      <x:c r="I264" s="21"/>
      <x:c r="J264" s="23">
        <x:v>75</x:v>
      </x:c>
      <x:c r="K264" s="23">
        <x:v>22012.77</x:v>
      </x:c>
      <x:c r="L264" s="23">
        <x:v>75</x:v>
      </x:c>
    </x:row>
    <x:row r="265">
      <x:c r="A265" s="18" t="s">
        <x:v>752</x:v>
      </x:c>
      <x:c r="B265" s="19" t="s">
        <x:v>753</x:v>
      </x:c>
      <x:c r="C265" s="20">
        <x:v>76042930</x:v>
      </x:c>
      <x:c r="D265" s="20">
        <x:v>4014.87</x:v>
      </x:c>
      <x:c r="E265" s="18" t="s">
        <x:v>227</x:v>
      </x:c>
      <x:c r="F265" s="19" t="s">
        <x:v>41</x:v>
      </x:c>
      <x:c r="G265" s="20">
        <x:v>0</x:v>
      </x:c>
      <x:c r="H265" s="20">
        <x:v>50</x:v>
      </x:c>
      <x:c r="I265" s="21"/>
      <x:c r="J265" s="23">
        <x:v>294</x:v>
      </x:c>
      <x:c r="K265" s="23">
        <x:v>95486.62</x:v>
      </x:c>
      <x:c r="L265" s="23">
        <x:v>291</x:v>
      </x:c>
    </x:row>
    <x:row r="266">
      <x:c r="A266" s="18" t="s">
        <x:v>754</x:v>
      </x:c>
      <x:c r="B266" s="19" t="s">
        <x:v>755</x:v>
      </x:c>
      <x:c r="C266" s="20">
        <x:v>76042930</x:v>
      </x:c>
      <x:c r="D266" s="20">
        <x:v>3937</x:v>
      </x:c>
      <x:c r="E266" s="18" t="s">
        <x:v>227</x:v>
      </x:c>
      <x:c r="F266" s="19" t="s">
        <x:v>41</x:v>
      </x:c>
      <x:c r="G266" s="20">
        <x:v>0</x:v>
      </x:c>
      <x:c r="H266" s="20">
        <x:v>50</x:v>
      </x:c>
      <x:c r="I266" s="21"/>
      <x:c r="J266" s="23">
        <x:v>123</x:v>
      </x:c>
      <x:c r="K266" s="23">
        <x:v>43227.03</x:v>
      </x:c>
      <x:c r="L266" s="23">
        <x:v>123</x:v>
      </x:c>
    </x:row>
    <x:row r="267">
      <x:c r="A267" s="18" t="s">
        <x:v>756</x:v>
      </x:c>
      <x:c r="B267" s="19" t="s">
        <x:v>757</x:v>
      </x:c>
      <x:c r="C267" s="20">
        <x:v>76012090</x:v>
      </x:c>
      <x:c r="D267" s="20">
        <x:v>3441</x:v>
      </x:c>
      <x:c r="E267" s="18" t="s">
        <x:v>227</x:v>
      </x:c>
      <x:c r="F267" s="19" t="s">
        <x:v>41</x:v>
      </x:c>
      <x:c r="G267" s="20">
        <x:v>0</x:v>
      </x:c>
      <x:c r="H267" s="20">
        <x:v>50</x:v>
      </x:c>
      <x:c r="I267" s="21"/>
      <x:c r="J267" s="23">
        <x:v>87</x:v>
      </x:c>
      <x:c r="K267" s="23">
        <x:v>43087.92</x:v>
      </x:c>
      <x:c r="L267" s="23">
        <x:v>48</x:v>
      </x:c>
    </x:row>
    <x:row r="268">
      <x:c r="A268" s="18" t="s">
        <x:v>758</x:v>
      </x:c>
      <x:c r="B268" s="19" t="s">
        <x:v>759</x:v>
      </x:c>
      <x:c r="C268" s="20">
        <x:v>76012090</x:v>
      </x:c>
      <x:c r="D268" s="20">
        <x:v>3069</x:v>
      </x:c>
      <x:c r="E268" s="18" t="s">
        <x:v>227</x:v>
      </x:c>
      <x:c r="F268" s="19" t="s">
        <x:v>236</x:v>
      </x:c>
      <x:c r="G268" s="20">
        <x:v>420</x:v>
      </x:c>
      <x:c r="H268" s="20">
        <x:v>50</x:v>
      </x:c>
      <x:c r="I268" s="26" t="s">
        <x:v>760</x:v>
      </x:c>
      <x:c r="J268" s="23">
        <x:v>121.6</x:v>
      </x:c>
      <x:c r="K268" s="23">
        <x:v>49248</x:v>
      </x:c>
      <x:c r="L268" s="23">
        <x:v>147.72</x:v>
      </x:c>
    </x:row>
    <x:row r="269">
      <x:c r="A269" s="18" t="s">
        <x:v>761</x:v>
      </x:c>
      <x:c r="B269" s="19" t="s">
        <x:v>762</x:v>
      </x:c>
      <x:c r="C269" s="20">
        <x:v>76012090</x:v>
      </x:c>
      <x:c r="D269" s="20">
        <x:v>4593.59</x:v>
      </x:c>
      <x:c r="E269" s="18" t="s">
        <x:v>227</x:v>
      </x:c>
      <x:c r="F269" s="19" t="s">
        <x:v>236</x:v>
      </x:c>
      <x:c r="G269" s="20">
        <x:v>447</x:v>
      </x:c>
      <x:c r="H269" s="20">
        <x:v>50</x:v>
      </x:c>
      <x:c r="I269" s="26" t="s">
        <x:v>760</x:v>
      </x:c>
      <x:c r="J269" s="23">
        <x:v>17.52</x:v>
      </x:c>
      <x:c r="K269" s="23">
        <x:v>6343.2</x:v>
      </x:c>
      <x:c r="L269" s="23">
        <x:v>0</x:v>
      </x:c>
    </x:row>
    <x:row r="270">
      <x:c r="A270" s="18" t="s">
        <x:v>763</x:v>
      </x:c>
      <x:c r="B270" s="19" t="s">
        <x:v>764</x:v>
      </x:c>
      <x:c r="C270" s="20">
        <x:v>76012090</x:v>
      </x:c>
      <x:c r="D270" s="20">
        <x:v>4014.87</x:v>
      </x:c>
      <x:c r="E270" s="18" t="s">
        <x:v>227</x:v>
      </x:c>
      <x:c r="F270" s="19" t="s">
        <x:v>236</x:v>
      </x:c>
      <x:c r="G270" s="20">
        <x:v>410</x:v>
      </x:c>
      <x:c r="H270" s="20">
        <x:v>50</x:v>
      </x:c>
      <x:c r="I270" s="26" t="s">
        <x:v>760</x:v>
      </x:c>
      <x:c r="J270" s="22">
        <x:v>0</x:v>
      </x:c>
      <x:c r="K270" s="22">
        <x:v>0</x:v>
      </x:c>
      <x:c r="L270" s="23">
        <x:v>0</x:v>
      </x:c>
    </x:row>
    <x:row r="271">
      <x:c r="A271" s="18" t="s">
        <x:v>765</x:v>
      </x:c>
      <x:c r="B271" s="19" t="s">
        <x:v>766</x:v>
      </x:c>
      <x:c r="C271" s="20">
        <x:v>76012090</x:v>
      </x:c>
      <x:c r="D271" s="20">
        <x:v>6479</x:v>
      </x:c>
      <x:c r="E271" s="18" t="s">
        <x:v>227</x:v>
      </x:c>
      <x:c r="F271" s="19" t="s">
        <x:v>236</x:v>
      </x:c>
      <x:c r="G271" s="20">
        <x:v>0</x:v>
      </x:c>
      <x:c r="H271" s="20">
        <x:v>50</x:v>
      </x:c>
      <x:c r="I271" s="21"/>
      <x:c r="J271" s="23">
        <x:v>7.94</x:v>
      </x:c>
      <x:c r="K271" s="23">
        <x:v>2739.3</x:v>
      </x:c>
      <x:c r="L271" s="23">
        <x:v>3.94</x:v>
      </x:c>
    </x:row>
    <x:row r="272">
      <x:c r="A272" s="18" t="s">
        <x:v>767</x:v>
      </x:c>
      <x:c r="B272" s="19" t="s">
        <x:v>768</x:v>
      </x:c>
      <x:c r="C272" s="20">
        <x:v>76012090</x:v>
      </x:c>
      <x:c r="D272" s="20">
        <x:v>4278</x:v>
      </x:c>
      <x:c r="E272" s="18" t="s">
        <x:v>227</x:v>
      </x:c>
      <x:c r="F272" s="19" t="s">
        <x:v>236</x:v>
      </x:c>
      <x:c r="G272" s="20">
        <x:v>410</x:v>
      </x:c>
      <x:c r="H272" s="20">
        <x:v>50</x:v>
      </x:c>
      <x:c r="I272" s="26" t="s">
        <x:v>760</x:v>
      </x:c>
      <x:c r="J272" s="23">
        <x:v>277.08</x:v>
      </x:c>
      <x:c r="K272" s="23">
        <x:v>101049.3</x:v>
      </x:c>
      <x:c r="L272" s="23">
        <x:v>60.64</x:v>
      </x:c>
    </x:row>
    <x:row r="273">
      <x:c r="A273" s="18" t="s">
        <x:v>769</x:v>
      </x:c>
      <x:c r="B273" s="19" t="s">
        <x:v>770</x:v>
      </x:c>
      <x:c r="C273" s="20">
        <x:v>76012090</x:v>
      </x:c>
      <x:c r="D273" s="20">
        <x:v>3942.21</x:v>
      </x:c>
      <x:c r="E273" s="18" t="s">
        <x:v>227</x:v>
      </x:c>
      <x:c r="F273" s="19" t="s">
        <x:v>236</x:v>
      </x:c>
      <x:c r="G273" s="20">
        <x:v>425</x:v>
      </x:c>
      <x:c r="H273" s="20">
        <x:v>50</x:v>
      </x:c>
      <x:c r="I273" s="26" t="s">
        <x:v>760</x:v>
      </x:c>
      <x:c r="J273" s="23">
        <x:v>96.6</x:v>
      </x:c>
      <x:c r="K273" s="23">
        <x:v>39606</x:v>
      </x:c>
      <x:c r="L273" s="23">
        <x:v>164</x:v>
      </x:c>
    </x:row>
    <x:row r="274">
      <x:c r="A274" s="18" t="s">
        <x:v>771</x:v>
      </x:c>
      <x:c r="B274" s="19" t="s">
        <x:v>772</x:v>
      </x:c>
      <x:c r="C274" s="20">
        <x:v>76042930</x:v>
      </x:c>
      <x:c r="D274" s="20">
        <x:v>3937</x:v>
      </x:c>
      <x:c r="E274" s="18" t="s">
        <x:v>227</x:v>
      </x:c>
      <x:c r="F274" s="19" t="s">
        <x:v>11</x:v>
      </x:c>
      <x:c r="G274" s="20">
        <x:v>0</x:v>
      </x:c>
      <x:c r="H274" s="20">
        <x:v>50</x:v>
      </x:c>
      <x:c r="I274" s="21"/>
      <x:c r="J274" s="23">
        <x:v>71</x:v>
      </x:c>
      <x:c r="K274" s="23">
        <x:v>794.76</x:v>
      </x:c>
      <x:c r="L274" s="23">
        <x:v>4</x:v>
      </x:c>
    </x:row>
    <x:row r="275">
      <x:c r="A275" s="18" t="s">
        <x:v>773</x:v>
      </x:c>
      <x:c r="B275" s="19" t="s">
        <x:v>774</x:v>
      </x:c>
      <x:c r="C275" s="20">
        <x:v>76042930</x:v>
      </x:c>
      <x:c r="D275" s="20">
        <x:v>3441</x:v>
      </x:c>
      <x:c r="E275" s="18" t="s">
        <x:v>227</x:v>
      </x:c>
      <x:c r="F275" s="19" t="s">
        <x:v>11</x:v>
      </x:c>
      <x:c r="G275" s="20">
        <x:v>0</x:v>
      </x:c>
      <x:c r="H275" s="20">
        <x:v>50</x:v>
      </x:c>
      <x:c r="I275" s="21"/>
      <x:c r="J275" s="23">
        <x:v>76</x:v>
      </x:c>
      <x:c r="K275" s="23">
        <x:v>492.72</x:v>
      </x:c>
      <x:c r="L275" s="23">
        <x:v>73</x:v>
      </x:c>
    </x:row>
    <x:row r="276">
      <x:c r="A276" s="18" t="s">
        <x:v>775</x:v>
      </x:c>
      <x:c r="B276" s="19" t="s">
        <x:v>776</x:v>
      </x:c>
      <x:c r="C276" s="20">
        <x:v>76042930</x:v>
      </x:c>
      <x:c r="D276" s="20">
        <x:v>3580.83</x:v>
      </x:c>
      <x:c r="E276" s="18" t="s">
        <x:v>227</x:v>
      </x:c>
      <x:c r="F276" s="19" t="s">
        <x:v>11</x:v>
      </x:c>
      <x:c r="G276" s="20">
        <x:v>0</x:v>
      </x:c>
      <x:c r="H276" s="20">
        <x:v>100</x:v>
      </x:c>
      <x:c r="I276" s="21"/>
      <x:c r="J276" s="23">
        <x:v>9</x:v>
      </x:c>
      <x:c r="K276" s="23">
        <x:v>133.77000000000001</x:v>
      </x:c>
      <x:c r="L276" s="23">
        <x:v>38</x:v>
      </x:c>
    </x:row>
    <x:row r="277">
      <x:c r="A277" s="18" t="s">
        <x:v>777</x:v>
      </x:c>
      <x:c r="B277" s="19" t="s">
        <x:v>778</x:v>
      </x:c>
      <x:c r="C277" s="20">
        <x:v>76012090</x:v>
      </x:c>
      <x:c r="D277" s="20">
        <x:v>3580.83</x:v>
      </x:c>
      <x:c r="E277" s="18" t="s">
        <x:v>227</x:v>
      </x:c>
      <x:c r="F277" s="19" t="s">
        <x:v>41</x:v>
      </x:c>
      <x:c r="G277" s="20">
        <x:v>0</x:v>
      </x:c>
      <x:c r="H277" s="20">
        <x:v>100</x:v>
      </x:c>
      <x:c r="I277" s="21"/>
      <x:c r="J277" s="22">
        <x:v>0</x:v>
      </x:c>
      <x:c r="K277" s="22">
        <x:v>0</x:v>
      </x:c>
      <x:c r="L277" s="23">
        <x:v>0</x:v>
      </x:c>
    </x:row>
    <x:row r="278">
      <x:c r="A278" s="18" t="s">
        <x:v>779</x:v>
      </x:c>
      <x:c r="B278" s="19" t="s">
        <x:v>780</x:v>
      </x:c>
      <x:c r="C278" s="20">
        <x:v>76042930</x:v>
      </x:c>
      <x:c r="D278" s="20">
        <x:v>4773.78</x:v>
      </x:c>
      <x:c r="E278" s="18" t="s">
        <x:v>227</x:v>
      </x:c>
      <x:c r="F278" s="19" t="s">
        <x:v>41</x:v>
      </x:c>
      <x:c r="G278" s="20">
        <x:v>0</x:v>
      </x:c>
      <x:c r="H278" s="20">
        <x:v>50</x:v>
      </x:c>
      <x:c r="I278" s="21"/>
      <x:c r="J278" s="22">
        <x:v>0</x:v>
      </x:c>
      <x:c r="K278" s="22">
        <x:v>0</x:v>
      </x:c>
      <x:c r="L278" s="23">
        <x:v>0</x:v>
      </x:c>
    </x:row>
    <x:row r="279">
      <x:c r="A279" s="18" t="s">
        <x:v>781</x:v>
      </x:c>
      <x:c r="B279" s="19" t="s">
        <x:v>782</x:v>
      </x:c>
      <x:c r="C279" s="20">
        <x:v>76012090</x:v>
      </x:c>
      <x:c r="D279" s="20">
        <x:v>3580.83</x:v>
      </x:c>
      <x:c r="E279" s="18" t="s">
        <x:v>227</x:v>
      </x:c>
      <x:c r="F279" s="19" t="s">
        <x:v>11</x:v>
      </x:c>
      <x:c r="G279" s="20">
        <x:v>0</x:v>
      </x:c>
      <x:c r="H279" s="20">
        <x:v>100</x:v>
      </x:c>
      <x:c r="I279" s="21"/>
      <x:c r="J279" s="22">
        <x:v>0</x:v>
      </x:c>
      <x:c r="K279" s="22">
        <x:v>0</x:v>
      </x:c>
      <x:c r="L279" s="23">
        <x:v>0</x:v>
      </x:c>
    </x:row>
    <x:row r="280">
      <x:c r="A280" s="18" t="s">
        <x:v>783</x:v>
      </x:c>
      <x:c r="B280" s="19" t="s">
        <x:v>784</x:v>
      </x:c>
      <x:c r="C280" s="20">
        <x:v>76012090</x:v>
      </x:c>
      <x:c r="D280" s="20">
        <x:v>3580.83</x:v>
      </x:c>
      <x:c r="E280" s="18" t="s">
        <x:v>227</x:v>
      </x:c>
      <x:c r="F280" s="19" t="s">
        <x:v>11</x:v>
      </x:c>
      <x:c r="G280" s="20">
        <x:v>0</x:v>
      </x:c>
      <x:c r="H280" s="20">
        <x:v>100</x:v>
      </x:c>
      <x:c r="I280" s="21"/>
      <x:c r="J280" s="22">
        <x:v>0</x:v>
      </x:c>
      <x:c r="K280" s="22">
        <x:v>0</x:v>
      </x:c>
      <x:c r="L280" s="23">
        <x:v>0</x:v>
      </x:c>
    </x:row>
    <x:row r="281">
      <x:c r="A281" s="18" t="s">
        <x:v>785</x:v>
      </x:c>
      <x:c r="B281" s="19" t="s">
        <x:v>786</x:v>
      </x:c>
      <x:c r="C281" s="20">
        <x:v>76012090</x:v>
      </x:c>
      <x:c r="D281" s="20">
        <x:v>472.75</x:v>
      </x:c>
      <x:c r="E281" s="18" t="s">
        <x:v>227</x:v>
      </x:c>
      <x:c r="F281" s="19" t="s">
        <x:v>11</x:v>
      </x:c>
      <x:c r="G281" s="20">
        <x:v>0</x:v>
      </x:c>
      <x:c r="H281" s="20">
        <x:v>50</x:v>
      </x:c>
      <x:c r="I281" s="21"/>
      <x:c r="J281" s="22">
        <x:v>0</x:v>
      </x:c>
      <x:c r="K281" s="22">
        <x:v>0</x:v>
      </x:c>
      <x:c r="L281" s="23">
        <x:v>0</x:v>
      </x:c>
    </x:row>
    <x:row r="282">
      <x:c r="A282" s="18" t="s">
        <x:v>787</x:v>
      </x:c>
      <x:c r="B282" s="19" t="s">
        <x:v>788</x:v>
      </x:c>
      <x:c r="C282" s="20">
        <x:v>76012090</x:v>
      </x:c>
      <x:c r="D282" s="20">
        <x:v>4375.97</x:v>
      </x:c>
      <x:c r="E282" s="18" t="s">
        <x:v>227</x:v>
      </x:c>
      <x:c r="F282" s="19" t="s">
        <x:v>11</x:v>
      </x:c>
      <x:c r="G282" s="20">
        <x:v>0</x:v>
      </x:c>
      <x:c r="H282" s="20">
        <x:v>50</x:v>
      </x:c>
      <x:c r="I282" s="21"/>
      <x:c r="J282" s="22">
        <x:v>0</x:v>
      </x:c>
      <x:c r="K282" s="22">
        <x:v>0</x:v>
      </x:c>
      <x:c r="L282" s="23">
        <x:v>0</x:v>
      </x:c>
    </x:row>
    <x:row r="283">
      <x:c r="A283" s="18" t="s">
        <x:v>789</x:v>
      </x:c>
      <x:c r="B283" s="19" t="s">
        <x:v>790</x:v>
      </x:c>
      <x:c r="C283" s="20">
        <x:v>84672900</x:v>
      </x:c>
      <x:c r="D283" s="20">
        <x:v>3942.21</x:v>
      </x:c>
      <x:c r="E283" s="18" t="s">
        <x:v>227</x:v>
      </x:c>
      <x:c r="F283" s="19" t="s">
        <x:v>11</x:v>
      </x:c>
      <x:c r="G283" s="20">
        <x:v>50.85</x:v>
      </x:c>
      <x:c r="H283" s="20">
        <x:v>50</x:v>
      </x:c>
      <x:c r="I283" s="26" t="s">
        <x:v>791</x:v>
      </x:c>
      <x:c r="J283" s="23">
        <x:v>50</x:v>
      </x:c>
      <x:c r="K283" s="23">
        <x:v>2542.5</x:v>
      </x:c>
      <x:c r="L283" s="23">
        <x:v>376</x:v>
      </x:c>
    </x:row>
    <x:row r="284">
      <x:c r="A284" s="18" t="s">
        <x:v>792</x:v>
      </x:c>
      <x:c r="B284" s="19" t="s">
        <x:v>793</x:v>
      </x:c>
      <x:c r="C284" s="20">
        <x:v>84672900</x:v>
      </x:c>
      <x:c r="D284" s="20">
        <x:v>3580.83</x:v>
      </x:c>
      <x:c r="E284" s="18" t="s">
        <x:v>227</x:v>
      </x:c>
      <x:c r="F284" s="19" t="s">
        <x:v>11</x:v>
      </x:c>
      <x:c r="G284" s="20">
        <x:v>50.85</x:v>
      </x:c>
      <x:c r="H284" s="20">
        <x:v>400</x:v>
      </x:c>
      <x:c r="I284" s="26" t="s">
        <x:v>791</x:v>
      </x:c>
      <x:c r="J284" s="23">
        <x:v>50</x:v>
      </x:c>
      <x:c r="K284" s="23">
        <x:v>2542.5</x:v>
      </x:c>
      <x:c r="L284" s="23">
        <x:v>140</x:v>
      </x:c>
    </x:row>
    <x:row r="285">
      <x:c r="A285" s="18" t="s">
        <x:v>794</x:v>
      </x:c>
      <x:c r="B285" s="19" t="s">
        <x:v>795</x:v>
      </x:c>
      <x:c r="C285" s="20">
        <x:v>84672900</x:v>
      </x:c>
      <x:c r="D285" s="20">
        <x:v>3580.83</x:v>
      </x:c>
      <x:c r="E285" s="18" t="s">
        <x:v>227</x:v>
      </x:c>
      <x:c r="F285" s="19" t="s">
        <x:v>11</x:v>
      </x:c>
      <x:c r="G285" s="20">
        <x:v>0</x:v>
      </x:c>
      <x:c r="H285" s="20">
        <x:v>100</x:v>
      </x:c>
      <x:c r="I285" s="21"/>
      <x:c r="J285" s="23">
        <x:v>160</x:v>
      </x:c>
      <x:c r="K285" s="23">
        <x:v>8136</x:v>
      </x:c>
      <x:c r="L285" s="23">
        <x:v>160</x:v>
      </x:c>
    </x:row>
    <x:row r="286">
      <x:c r="A286" s="18" t="s">
        <x:v>796</x:v>
      </x:c>
      <x:c r="B286" s="19" t="s">
        <x:v>797</x:v>
      </x:c>
      <x:c r="C286" s="20">
        <x:v>35069999</x:v>
      </x:c>
      <x:c r="D286" s="20">
        <x:v>3942.21</x:v>
      </x:c>
      <x:c r="E286" s="18" t="s">
        <x:v>227</x:v>
      </x:c>
      <x:c r="F286" s="19" t="s">
        <x:v>236</x:v>
      </x:c>
      <x:c r="G286" s="20">
        <x:v>0</x:v>
      </x:c>
      <x:c r="H286" s="20">
        <x:v>50</x:v>
      </x:c>
      <x:c r="I286" s="21"/>
      <x:c r="J286" s="22">
        <x:v>0</x:v>
      </x:c>
      <x:c r="K286" s="22">
        <x:v>0</x:v>
      </x:c>
      <x:c r="L286" s="23">
        <x:v>0</x:v>
      </x:c>
    </x:row>
    <x:row r="287">
      <x:c r="A287" s="18" t="s">
        <x:v>798</x:v>
      </x:c>
      <x:c r="B287" s="19" t="s">
        <x:v>799</x:v>
      </x:c>
      <x:c r="C287" s="20">
        <x:v>35069999</x:v>
      </x:c>
      <x:c r="D287" s="20">
        <x:v>3580.83</x:v>
      </x:c>
      <x:c r="E287" s="18" t="s">
        <x:v>227</x:v>
      </x:c>
      <x:c r="F287" s="19" t="s">
        <x:v>82</x:v>
      </x:c>
      <x:c r="G287" s="20">
        <x:v>0</x:v>
      </x:c>
      <x:c r="H287" s="20">
        <x:v>100</x:v>
      </x:c>
      <x:c r="I287" s="21"/>
      <x:c r="J287" s="23">
        <x:v>27</x:v>
      </x:c>
      <x:c r="K287" s="23">
        <x:v>7207.65</x:v>
      </x:c>
      <x:c r="L287" s="23">
        <x:v>27</x:v>
      </x:c>
    </x:row>
    <x:row r="288">
      <x:c r="A288" s="18" t="s">
        <x:v>800</x:v>
      </x:c>
      <x:c r="B288" s="19" t="s">
        <x:v>801</x:v>
      </x:c>
      <x:c r="C288" s="20">
        <x:v>35069999</x:v>
      </x:c>
      <x:c r="D288" s="20">
        <x:v>3099.6</x:v>
      </x:c>
      <x:c r="E288" s="18" t="s">
        <x:v>227</x:v>
      </x:c>
      <x:c r="F288" s="19" t="s">
        <x:v>82</x:v>
      </x:c>
      <x:c r="G288" s="20">
        <x:v>0</x:v>
      </x:c>
      <x:c r="H288" s="20">
        <x:v>100</x:v>
      </x:c>
      <x:c r="I288" s="21"/>
      <x:c r="J288" s="23">
        <x:v>7.2</x:v>
      </x:c>
      <x:c r="K288" s="23">
        <x:v>5637.96</x:v>
      </x:c>
      <x:c r="L288" s="23">
        <x:v>7.2</x:v>
      </x:c>
    </x:row>
    <x:row r="289">
      <x:c r="A289" s="18" t="s">
        <x:v>802</x:v>
      </x:c>
      <x:c r="B289" s="19" t="s">
        <x:v>803</x:v>
      </x:c>
      <x:c r="C289" s="20">
        <x:v>39263000</x:v>
      </x:c>
      <x:c r="D289" s="20">
        <x:v>4769.88</x:v>
      </x:c>
      <x:c r="E289" s="18" t="s">
        <x:v>227</x:v>
      </x:c>
      <x:c r="F289" s="19" t="s">
        <x:v>82</x:v>
      </x:c>
      <x:c r="G289" s="20">
        <x:v>0</x:v>
      </x:c>
      <x:c r="H289" s="20">
        <x:v>50</x:v>
      </x:c>
      <x:c r="I289" s="21"/>
      <x:c r="J289" s="23">
        <x:v>1</x:v>
      </x:c>
      <x:c r="K289" s="23">
        <x:v>785.38</x:v>
      </x:c>
      <x:c r="L289" s="23">
        <x:v>1</x:v>
      </x:c>
    </x:row>
    <x:row r="290">
      <x:c r="A290" s="18" t="s">
        <x:v>804</x:v>
      </x:c>
      <x:c r="B290" s="19" t="s">
        <x:v>805</x:v>
      </x:c>
      <x:c r="C290" s="20">
        <x:v>39263000</x:v>
      </x:c>
      <x:c r="D290" s="20">
        <x:v>3580.83</x:v>
      </x:c>
      <x:c r="E290" s="18" t="s">
        <x:v>227</x:v>
      </x:c>
      <x:c r="F290" s="19" t="s">
        <x:v>82</x:v>
      </x:c>
      <x:c r="G290" s="20">
        <x:v>0</x:v>
      </x:c>
      <x:c r="H290" s="20">
        <x:v>100</x:v>
      </x:c>
      <x:c r="I290" s="21"/>
      <x:c r="J290" s="23">
        <x:v>1</x:v>
      </x:c>
      <x:c r="K290" s="23">
        <x:v>3743.32</x:v>
      </x:c>
      <x:c r="L290" s="23">
        <x:v>1</x:v>
      </x:c>
    </x:row>
    <x:row r="291">
      <x:c r="A291" s="18" t="s">
        <x:v>806</x:v>
      </x:c>
      <x:c r="B291" s="19" t="s">
        <x:v>807</x:v>
      </x:c>
      <x:c r="C291" s="20">
        <x:v>39263000</x:v>
      </x:c>
      <x:c r="D291" s="20">
        <x:v>3580.83</x:v>
      </x:c>
      <x:c r="E291" s="18" t="s">
        <x:v>227</x:v>
      </x:c>
      <x:c r="F291" s="19" t="s">
        <x:v>11</x:v>
      </x:c>
      <x:c r="G291" s="20">
        <x:v>0</x:v>
      </x:c>
      <x:c r="H291" s="20">
        <x:v>100</x:v>
      </x:c>
      <x:c r="I291" s="21"/>
      <x:c r="J291" s="23">
        <x:v>1</x:v>
      </x:c>
      <x:c r="K291" s="23">
        <x:v>1128.99</x:v>
      </x:c>
      <x:c r="L291" s="23">
        <x:v>1</x:v>
      </x:c>
    </x:row>
    <x:row r="292">
      <x:c r="A292" s="18" t="s">
        <x:v>808</x:v>
      </x:c>
      <x:c r="B292" s="19" t="s">
        <x:v>809</x:v>
      </x:c>
      <x:c r="C292" s="20">
        <x:v>39263000</x:v>
      </x:c>
      <x:c r="D292" s="20">
        <x:v>3580.83</x:v>
      </x:c>
      <x:c r="E292" s="18" t="s">
        <x:v>227</x:v>
      </x:c>
      <x:c r="F292" s="19" t="s">
        <x:v>11</x:v>
      </x:c>
      <x:c r="G292" s="20">
        <x:v>0</x:v>
      </x:c>
      <x:c r="H292" s="20">
        <x:v>100</x:v>
      </x:c>
      <x:c r="I292" s="21"/>
      <x:c r="J292" s="23">
        <x:v>1</x:v>
      </x:c>
      <x:c r="K292" s="23">
        <x:v>1023.61</x:v>
      </x:c>
      <x:c r="L292" s="23">
        <x:v>1</x:v>
      </x:c>
    </x:row>
    <x:row r="293">
      <x:c r="A293" s="18" t="s">
        <x:v>810</x:v>
      </x:c>
      <x:c r="B293" s="19" t="s">
        <x:v>811</x:v>
      </x:c>
      <x:c r="C293" s="20">
        <x:v>73269099</x:v>
      </x:c>
      <x:c r="D293" s="20">
        <x:v>3580.83</x:v>
      </x:c>
      <x:c r="E293" s="18" t="s">
        <x:v>227</x:v>
      </x:c>
      <x:c r="F293" s="19" t="s">
        <x:v>11</x:v>
      </x:c>
      <x:c r="G293" s="20">
        <x:v>0</x:v>
      </x:c>
      <x:c r="H293" s="20">
        <x:v>100</x:v>
      </x:c>
      <x:c r="I293" s="21"/>
      <x:c r="J293" s="23">
        <x:v>13</x:v>
      </x:c>
      <x:c r="K293" s="23">
        <x:v>1111.5</x:v>
      </x:c>
      <x:c r="L293" s="23">
        <x:v>9</x:v>
      </x:c>
    </x:row>
    <x:row r="294">
      <x:c r="A294" s="18" t="s">
        <x:v>812</x:v>
      </x:c>
      <x:c r="B294" s="19" t="s">
        <x:v>813</x:v>
      </x:c>
      <x:c r="C294" s="20">
        <x:v>83014090</x:v>
      </x:c>
      <x:c r="D294" s="20">
        <x:v>3580.83</x:v>
      </x:c>
      <x:c r="E294" s="18" t="s">
        <x:v>227</x:v>
      </x:c>
      <x:c r="F294" s="19" t="s">
        <x:v>11</x:v>
      </x:c>
      <x:c r="G294" s="20">
        <x:v>6170</x:v>
      </x:c>
      <x:c r="H294" s="20">
        <x:v>100</x:v>
      </x:c>
      <x:c r="I294" s="26" t="s">
        <x:v>814</x:v>
      </x:c>
      <x:c r="J294" s="23">
        <x:v>9</x:v>
      </x:c>
      <x:c r="K294" s="23">
        <x:v>27765</x:v>
      </x:c>
      <x:c r="L294" s="23">
        <x:v>4</x:v>
      </x:c>
    </x:row>
    <x:row r="295">
      <x:c r="A295" s="18" t="s">
        <x:v>815</x:v>
      </x:c>
      <x:c r="B295" s="19" t="s">
        <x:v>816</x:v>
      </x:c>
      <x:c r="C295" s="20">
        <x:v>83014090</x:v>
      </x:c>
      <x:c r="D295" s="20">
        <x:v>3942.21</x:v>
      </x:c>
      <x:c r="E295" s="18" t="s">
        <x:v>227</x:v>
      </x:c>
      <x:c r="F295" s="19" t="s">
        <x:v>11</x:v>
      </x:c>
      <x:c r="G295" s="20">
        <x:v>6170</x:v>
      </x:c>
      <x:c r="H295" s="20">
        <x:v>50</x:v>
      </x:c>
      <x:c r="I295" s="26" t="s">
        <x:v>814</x:v>
      </x:c>
      <x:c r="J295" s="23">
        <x:v>3</x:v>
      </x:c>
      <x:c r="K295" s="23">
        <x:v>9255</x:v>
      </x:c>
      <x:c r="L295" s="23">
        <x:v>5</x:v>
      </x:c>
    </x:row>
    <x:row r="296">
      <x:c r="A296" s="18" t="s">
        <x:v>817</x:v>
      </x:c>
      <x:c r="B296" s="19" t="s">
        <x:v>818</x:v>
      </x:c>
      <x:c r="C296" s="20">
        <x:v>82023900</x:v>
      </x:c>
      <x:c r="D296" s="20">
        <x:v>30382.06</x:v>
      </x:c>
      <x:c r="E296" s="18" t="s">
        <x:v>227</x:v>
      </x:c>
      <x:c r="F296" s="19" t="s">
        <x:v>11</x:v>
      </x:c>
      <x:c r="G296" s="20">
        <x:v>0</x:v>
      </x:c>
      <x:c r="H296" s="21"/>
      <x:c r="I296" s="21"/>
      <x:c r="J296" s="23">
        <x:v>10</x:v>
      </x:c>
      <x:c r="K296" s="23">
        <x:v>1800</x:v>
      </x:c>
      <x:c r="L296" s="23">
        <x:v>8</x:v>
      </x:c>
    </x:row>
    <x:row r="297">
      <x:c r="A297" s="18" t="s">
        <x:v>819</x:v>
      </x:c>
      <x:c r="B297" s="19" t="s">
        <x:v>820</x:v>
      </x:c>
      <x:c r="C297" s="20">
        <x:v>82023900</x:v>
      </x:c>
      <x:c r="D297" s="20">
        <x:v>17769.330000000002</x:v>
      </x:c>
      <x:c r="E297" s="18" t="s">
        <x:v>227</x:v>
      </x:c>
      <x:c r="F297" s="19" t="s">
        <x:v>11</x:v>
      </x:c>
      <x:c r="G297" s="20">
        <x:v>0</x:v>
      </x:c>
      <x:c r="H297" s="21"/>
      <x:c r="I297" s="21"/>
      <x:c r="J297" s="23">
        <x:v>24</x:v>
      </x:c>
      <x:c r="K297" s="23">
        <x:v>4320</x:v>
      </x:c>
      <x:c r="L297" s="23">
        <x:v>24</x:v>
      </x:c>
    </x:row>
    <x:row r="298">
      <x:c r="A298" s="18" t="s">
        <x:v>821</x:v>
      </x:c>
      <x:c r="B298" s="19" t="s">
        <x:v>822</x:v>
      </x:c>
      <x:c r="C298" s="20">
        <x:v>82023900</x:v>
      </x:c>
      <x:c r="D298" s="20">
        <x:v>19673</x:v>
      </x:c>
      <x:c r="E298" s="18" t="s">
        <x:v>227</x:v>
      </x:c>
      <x:c r="F298" s="19" t="s">
        <x:v>11</x:v>
      </x:c>
      <x:c r="G298" s="20">
        <x:v>118</x:v>
      </x:c>
      <x:c r="H298" s="21"/>
      <x:c r="I298" s="26" t="s">
        <x:v>823</x:v>
      </x:c>
      <x:c r="J298" s="23">
        <x:v>20</x:v>
      </x:c>
      <x:c r="K298" s="23">
        <x:v>2300</x:v>
      </x:c>
      <x:c r="L298" s="23">
        <x:v>503</x:v>
      </x:c>
    </x:row>
    <x:row r="299">
      <x:c r="A299" s="18" t="s">
        <x:v>824</x:v>
      </x:c>
      <x:c r="B299" s="19" t="s">
        <x:v>825</x:v>
      </x:c>
      <x:c r="C299" s="20">
        <x:v>82023900</x:v>
      </x:c>
      <x:c r="D299" s="20">
        <x:v>2852</x:v>
      </x:c>
      <x:c r="E299" s="18" t="s">
        <x:v>227</x:v>
      </x:c>
      <x:c r="F299" s="19" t="s">
        <x:v>11</x:v>
      </x:c>
      <x:c r="G299" s="20">
        <x:v>455</x:v>
      </x:c>
      <x:c r="H299" s="21"/>
      <x:c r="I299" s="26" t="s">
        <x:v>826</x:v>
      </x:c>
      <x:c r="J299" s="23">
        <x:v>61</x:v>
      </x:c>
      <x:c r="K299" s="23">
        <x:v>26950</x:v>
      </x:c>
      <x:c r="L299" s="23">
        <x:v>83</x:v>
      </x:c>
    </x:row>
    <x:row r="300">
      <x:c r="A300" s="18" t="s">
        <x:v>827</x:v>
      </x:c>
      <x:c r="B300" s="19" t="s">
        <x:v>828</x:v>
      </x:c>
      <x:c r="C300" s="20">
        <x:v>82023900</x:v>
      </x:c>
      <x:c r="D300" s="20">
        <x:v>6872.3</x:v>
      </x:c>
      <x:c r="E300" s="18" t="s">
        <x:v>227</x:v>
      </x:c>
      <x:c r="F300" s="19" t="s">
        <x:v>11</x:v>
      </x:c>
      <x:c r="G300" s="20">
        <x:v>400</x:v>
      </x:c>
      <x:c r="H300" s="21"/>
      <x:c r="I300" s="26" t="s">
        <x:v>826</x:v>
      </x:c>
      <x:c r="J300" s="23">
        <x:v>170</x:v>
      </x:c>
      <x:c r="K300" s="23">
        <x:v>63750</x:v>
      </x:c>
      <x:c r="L300" s="23">
        <x:v>264</x:v>
      </x:c>
    </x:row>
    <x:row r="301">
      <x:c r="A301" s="18" t="s">
        <x:v>829</x:v>
      </x:c>
      <x:c r="B301" s="19" t="s">
        <x:v>830</x:v>
      </x:c>
      <x:c r="C301" s="20">
        <x:v>82023900</x:v>
      </x:c>
      <x:c r="D301" s="20">
        <x:v>3580.83</x:v>
      </x:c>
      <x:c r="E301" s="18" t="s">
        <x:v>227</x:v>
      </x:c>
      <x:c r="F301" s="19" t="s">
        <x:v>11</x:v>
      </x:c>
      <x:c r="G301" s="20">
        <x:v>0</x:v>
      </x:c>
      <x:c r="H301" s="21"/>
      <x:c r="I301" s="21"/>
      <x:c r="J301" s="22">
        <x:v>0</x:v>
      </x:c>
      <x:c r="K301" s="22">
        <x:v>0</x:v>
      </x:c>
      <x:c r="L301" s="23">
        <x:v>0</x:v>
      </x:c>
    </x:row>
    <x:row r="302">
      <x:c r="A302" s="18" t="s">
        <x:v>831</x:v>
      </x:c>
      <x:c r="B302" s="19" t="s">
        <x:v>832</x:v>
      </x:c>
      <x:c r="C302" s="20">
        <x:v>82023900</x:v>
      </x:c>
      <x:c r="D302" s="20">
        <x:v>1653.6</x:v>
      </x:c>
      <x:c r="E302" s="18" t="s">
        <x:v>227</x:v>
      </x:c>
      <x:c r="F302" s="19" t="s">
        <x:v>11</x:v>
      </x:c>
      <x:c r="G302" s="20">
        <x:v>445</x:v>
      </x:c>
      <x:c r="H302" s="21"/>
      <x:c r="I302" s="26" t="s">
        <x:v>826</x:v>
      </x:c>
      <x:c r="J302" s="23">
        <x:v>53</x:v>
      </x:c>
      <x:c r="K302" s="23">
        <x:v>22820</x:v>
      </x:c>
      <x:c r="L302" s="23">
        <x:v>0</x:v>
      </x:c>
    </x:row>
    <x:row r="303">
      <x:c r="A303" s="18" t="s">
        <x:v>833</x:v>
      </x:c>
      <x:c r="B303" s="19" t="s">
        <x:v>834</x:v>
      </x:c>
      <x:c r="C303" s="20">
        <x:v>82023900</x:v>
      </x:c>
      <x:c r="D303" s="20">
        <x:v>3719.7</x:v>
      </x:c>
      <x:c r="E303" s="18" t="s">
        <x:v>227</x:v>
      </x:c>
      <x:c r="F303" s="19" t="s">
        <x:v>11</x:v>
      </x:c>
      <x:c r="G303" s="20">
        <x:v>0</x:v>
      </x:c>
      <x:c r="H303" s="21"/>
      <x:c r="I303" s="21"/>
      <x:c r="J303" s="23">
        <x:v>289</x:v>
      </x:c>
      <x:c r="K303" s="23">
        <x:v>11271</x:v>
      </x:c>
      <x:c r="L303" s="23">
        <x:v>0</x:v>
      </x:c>
    </x:row>
    <x:row r="304">
      <x:c r="A304" s="18" t="s">
        <x:v>835</x:v>
      </x:c>
      <x:c r="B304" s="19" t="s">
        <x:v>836</x:v>
      </x:c>
      <x:c r="C304" s="20">
        <x:v>82023100</x:v>
      </x:c>
      <x:c r="D304" s="20">
        <x:v>3069</x:v>
      </x:c>
      <x:c r="E304" s="18" t="s">
        <x:v>227</x:v>
      </x:c>
      <x:c r="F304" s="19" t="s">
        <x:v>11</x:v>
      </x:c>
      <x:c r="G304" s="20">
        <x:v>100</x:v>
      </x:c>
      <x:c r="H304" s="21"/>
      <x:c r="I304" s="26" t="s">
        <x:v>837</x:v>
      </x:c>
      <x:c r="J304" s="23">
        <x:v>214</x:v>
      </x:c>
      <x:c r="K304" s="23">
        <x:v>19260</x:v>
      </x:c>
      <x:c r="L304" s="23">
        <x:v>173</x:v>
      </x:c>
    </x:row>
    <x:row r="305">
      <x:c r="A305" s="18" t="s">
        <x:v>838</x:v>
      </x:c>
      <x:c r="B305" s="19" t="s">
        <x:v>839</x:v>
      </x:c>
      <x:c r="C305" s="20">
        <x:v>73239390</x:v>
      </x:c>
      <x:c r="D305" s="20">
        <x:v>2195.5500000000002</x:v>
      </x:c>
      <x:c r="E305" s="18" t="s">
        <x:v>227</x:v>
      </x:c>
      <x:c r="F305" s="19" t="s">
        <x:v>11</x:v>
      </x:c>
      <x:c r="G305" s="20">
        <x:v>0</x:v>
      </x:c>
      <x:c r="H305" s="21"/>
      <x:c r="I305" s="21"/>
      <x:c r="J305" s="23">
        <x:v>3</x:v>
      </x:c>
      <x:c r="K305" s="23">
        <x:v>2037.35</x:v>
      </x:c>
      <x:c r="L305" s="23">
        <x:v>2</x:v>
      </x:c>
    </x:row>
    <x:row r="306">
      <x:c r="A306" s="18" t="s">
        <x:v>840</x:v>
      </x:c>
      <x:c r="B306" s="19" t="s">
        <x:v>841</x:v>
      </x:c>
      <x:c r="C306" s="20">
        <x:v>73239390</x:v>
      </x:c>
      <x:c r="D306" s="20">
        <x:v>294.5</x:v>
      </x:c>
      <x:c r="E306" s="18" t="s">
        <x:v>227</x:v>
      </x:c>
      <x:c r="F306" s="19" t="s">
        <x:v>11</x:v>
      </x:c>
      <x:c r="G306" s="20">
        <x:v>576</x:v>
      </x:c>
      <x:c r="H306" s="21"/>
      <x:c r="I306" s="26" t="s">
        <x:v>842</x:v>
      </x:c>
      <x:c r="J306" s="22">
        <x:v>0</x:v>
      </x:c>
      <x:c r="K306" s="22">
        <x:v>0</x:v>
      </x:c>
      <x:c r="L306" s="23">
        <x:v>0</x:v>
      </x:c>
    </x:row>
    <x:row r="307">
      <x:c r="A307" s="18" t="s">
        <x:v>843</x:v>
      </x:c>
      <x:c r="B307" s="19" t="s">
        <x:v>844</x:v>
      </x:c>
      <x:c r="C307" s="20">
        <x:v>73239390</x:v>
      </x:c>
      <x:c r="D307" s="20">
        <x:v>3580.83</x:v>
      </x:c>
      <x:c r="E307" s="18" t="s">
        <x:v>227</x:v>
      </x:c>
      <x:c r="F307" s="19" t="s">
        <x:v>82</x:v>
      </x:c>
      <x:c r="G307" s="20">
        <x:v>0</x:v>
      </x:c>
      <x:c r="H307" s="21"/>
      <x:c r="I307" s="21"/>
      <x:c r="J307" s="23">
        <x:v>42</x:v>
      </x:c>
      <x:c r="K307" s="23">
        <x:v>262535.01</x:v>
      </x:c>
      <x:c r="L307" s="23">
        <x:v>32</x:v>
      </x:c>
    </x:row>
    <x:row r="308">
      <x:c r="A308" s="18" t="s">
        <x:v>845</x:v>
      </x:c>
      <x:c r="B308" s="19" t="s">
        <x:v>846</x:v>
      </x:c>
      <x:c r="C308" s="20">
        <x:v>73239390</x:v>
      </x:c>
      <x:c r="D308" s="20">
        <x:v>4014.87</x:v>
      </x:c>
      <x:c r="E308" s="18" t="s">
        <x:v>227</x:v>
      </x:c>
      <x:c r="F308" s="19" t="s">
        <x:v>11</x:v>
      </x:c>
      <x:c r="G308" s="20">
        <x:v>3308</x:v>
      </x:c>
      <x:c r="H308" s="21"/>
      <x:c r="I308" s="26" t="s">
        <x:v>847</x:v>
      </x:c>
      <x:c r="J308" s="23">
        <x:v>12</x:v>
      </x:c>
      <x:c r="K308" s="23">
        <x:v>37800</x:v>
      </x:c>
      <x:c r="L308" s="23">
        <x:v>1</x:v>
      </x:c>
    </x:row>
    <x:row r="309">
      <x:c r="A309" s="18" t="s">
        <x:v>848</x:v>
      </x:c>
      <x:c r="B309" s="19" t="s">
        <x:v>849</x:v>
      </x:c>
      <x:c r="C309" s="20">
        <x:v>73239390</x:v>
      </x:c>
      <x:c r="D309" s="20">
        <x:v>1653.6</x:v>
      </x:c>
      <x:c r="E309" s="18" t="s">
        <x:v>227</x:v>
      </x:c>
      <x:c r="F309" s="19" t="s">
        <x:v>11</x:v>
      </x:c>
      <x:c r="G309" s="20">
        <x:v>0</x:v>
      </x:c>
      <x:c r="H309" s="21"/>
      <x:c r="I309" s="21"/>
      <x:c r="J309" s="23">
        <x:v>10</x:v>
      </x:c>
      <x:c r="K309" s="23">
        <x:v>36000</x:v>
      </x:c>
      <x:c r="L309" s="23">
        <x:v>1</x:v>
      </x:c>
    </x:row>
    <x:row r="310">
      <x:c r="A310" s="18" t="s">
        <x:v>850</x:v>
      </x:c>
      <x:c r="B310" s="19" t="s">
        <x:v>851</x:v>
      </x:c>
      <x:c r="C310" s="20">
        <x:v>83025000</x:v>
      </x:c>
      <x:c r="D310" s="20">
        <x:v>271.25</x:v>
      </x:c>
      <x:c r="E310" s="18" t="s">
        <x:v>227</x:v>
      </x:c>
      <x:c r="F310" s="19" t="s">
        <x:v>82</x:v>
      </x:c>
      <x:c r="G310" s="20">
        <x:v>0</x:v>
      </x:c>
      <x:c r="H310" s="21"/>
      <x:c r="I310" s="21"/>
      <x:c r="J310" s="23">
        <x:v>84</x:v>
      </x:c>
      <x:c r="K310" s="23">
        <x:v>1675.8</x:v>
      </x:c>
      <x:c r="L310" s="23">
        <x:v>73</x:v>
      </x:c>
    </x:row>
    <x:row r="311">
      <x:c r="A311" s="18" t="s">
        <x:v>852</x:v>
      </x:c>
      <x:c r="B311" s="19" t="s">
        <x:v>853</x:v>
      </x:c>
      <x:c r="C311" s="20">
        <x:v>83025000</x:v>
      </x:c>
      <x:c r="D311" s="20">
        <x:v>3069</x:v>
      </x:c>
      <x:c r="E311" s="18" t="s">
        <x:v>227</x:v>
      </x:c>
      <x:c r="F311" s="19" t="s">
        <x:v>11</x:v>
      </x:c>
      <x:c r="G311" s="20">
        <x:v>192</x:v>
      </x:c>
      <x:c r="H311" s="21"/>
      <x:c r="I311" s="26" t="s">
        <x:v>854</x:v>
      </x:c>
      <x:c r="J311" s="23">
        <x:v>53</x:v>
      </x:c>
      <x:c r="K311" s="23">
        <x:v>8480</x:v>
      </x:c>
      <x:c r="L311" s="23">
        <x:v>70</x:v>
      </x:c>
    </x:row>
    <x:row r="312">
      <x:c r="A312" s="18" t="s">
        <x:v>855</x:v>
      </x:c>
      <x:c r="B312" s="19" t="s">
        <x:v>107</x:v>
      </x:c>
      <x:c r="C312" s="20">
        <x:v>83025000</x:v>
      </x:c>
      <x:c r="D312" s="20">
        <x:v>3580.83</x:v>
      </x:c>
      <x:c r="E312" s="18" t="s">
        <x:v>227</x:v>
      </x:c>
      <x:c r="F312" s="19" t="s">
        <x:v>11</x:v>
      </x:c>
      <x:c r="G312" s="20">
        <x:v>2.81</x:v>
      </x:c>
      <x:c r="H312" s="21"/>
      <x:c r="I312" s="26" t="s">
        <x:v>233</x:v>
      </x:c>
      <x:c r="J312" s="23">
        <x:v>3138</x:v>
      </x:c>
      <x:c r="K312" s="23">
        <x:v>6944.88</x:v>
      </x:c>
      <x:c r="L312" s="23">
        <x:v>745</x:v>
      </x:c>
    </x:row>
    <x:row r="313">
      <x:c r="A313" s="18" t="s">
        <x:v>856</x:v>
      </x:c>
      <x:c r="B313" s="19" t="s">
        <x:v>857</x:v>
      </x:c>
      <x:c r="C313" s="20">
        <x:v>83025000</x:v>
      </x:c>
      <x:c r="D313" s="20">
        <x:v>3719.7</x:v>
      </x:c>
      <x:c r="E313" s="18" t="s">
        <x:v>227</x:v>
      </x:c>
      <x:c r="F313" s="19" t="s">
        <x:v>11</x:v>
      </x:c>
      <x:c r="G313" s="20">
        <x:v>8.18</x:v>
      </x:c>
      <x:c r="H313" s="21"/>
      <x:c r="I313" s="26" t="s">
        <x:v>858</x:v>
      </x:c>
      <x:c r="J313" s="23">
        <x:v>522</x:v>
      </x:c>
      <x:c r="K313" s="23">
        <x:v>3079.54</x:v>
      </x:c>
      <x:c r="L313" s="23">
        <x:v>1202</x:v>
      </x:c>
    </x:row>
    <x:row r="314">
      <x:c r="A314" s="18" t="s">
        <x:v>859</x:v>
      </x:c>
      <x:c r="B314" s="19" t="s">
        <x:v>860</x:v>
      </x:c>
      <x:c r="C314" s="20">
        <x:v>74092900</x:v>
      </x:c>
      <x:c r="D314" s="20">
        <x:v>1226.2</x:v>
      </x:c>
      <x:c r="E314" s="18" t="s">
        <x:v>227</x:v>
      </x:c>
      <x:c r="F314" s="19" t="s">
        <x:v>236</x:v>
      </x:c>
      <x:c r="G314" s="20">
        <x:v>1020</x:v>
      </x:c>
      <x:c r="H314" s="21"/>
      <x:c r="I314" s="26" t="s">
        <x:v>861</x:v>
      </x:c>
      <x:c r="J314" s="22">
        <x:v>0</x:v>
      </x:c>
      <x:c r="K314" s="22">
        <x:v>0</x:v>
      </x:c>
      <x:c r="L314" s="23">
        <x:v>109.8</x:v>
      </x:c>
    </x:row>
    <x:row r="315">
      <x:c r="A315" s="18" t="s">
        <x:v>862</x:v>
      </x:c>
      <x:c r="B315" s="19" t="s">
        <x:v>863</x:v>
      </x:c>
      <x:c r="C315" s="20">
        <x:v>74092900</x:v>
      </x:c>
      <x:c r="D315" s="20">
        <x:v>3580.83</x:v>
      </x:c>
      <x:c r="E315" s="18" t="s">
        <x:v>227</x:v>
      </x:c>
      <x:c r="F315" s="19" t="s">
        <x:v>11</x:v>
      </x:c>
      <x:c r="G315" s="20">
        <x:v>0</x:v>
      </x:c>
      <x:c r="H315" s="21"/>
      <x:c r="I315" s="21"/>
      <x:c r="J315" s="22">
        <x:v>0</x:v>
      </x:c>
      <x:c r="K315" s="22">
        <x:v>0</x:v>
      </x:c>
      <x:c r="L315" s="23">
        <x:v>0</x:v>
      </x:c>
    </x:row>
    <x:row r="316">
      <x:c r="A316" s="18" t="s">
        <x:v>864</x:v>
      </x:c>
      <x:c r="B316" s="19" t="s">
        <x:v>865</x:v>
      </x:c>
      <x:c r="C316" s="20">
        <x:v>84182100</x:v>
      </x:c>
      <x:c r="D316" s="20">
        <x:v>3719.7</x:v>
      </x:c>
      <x:c r="E316" s="18" t="s">
        <x:v>227</x:v>
      </x:c>
      <x:c r="F316" s="19" t="s">
        <x:v>11</x:v>
      </x:c>
      <x:c r="G316" s="20">
        <x:v>41522</x:v>
      </x:c>
      <x:c r="H316" s="21"/>
      <x:c r="I316" s="26" t="s">
        <x:v>866</x:v>
      </x:c>
      <x:c r="J316" s="22">
        <x:v>0</x:v>
      </x:c>
      <x:c r="K316" s="22">
        <x:v>0</x:v>
      </x:c>
      <x:c r="L316" s="23">
        <x:v>0</x:v>
      </x:c>
    </x:row>
    <x:row r="317">
      <x:c r="A317" s="18" t="s">
        <x:v>867</x:v>
      </x:c>
      <x:c r="B317" s="19" t="s">
        <x:v>868</x:v>
      </x:c>
      <x:c r="C317" s="20">
        <x:v>83030000</x:v>
      </x:c>
      <x:c r="D317" s="20">
        <x:v>3580.83</x:v>
      </x:c>
      <x:c r="E317" s="18" t="s">
        <x:v>227</x:v>
      </x:c>
      <x:c r="F317" s="19" t="s">
        <x:v>82</x:v>
      </x:c>
      <x:c r="G317" s="20">
        <x:v>0</x:v>
      </x:c>
      <x:c r="H317" s="21"/>
      <x:c r="I317" s="21"/>
      <x:c r="J317" s="23">
        <x:v>2</x:v>
      </x:c>
      <x:c r="K317" s="23">
        <x:v>73200</x:v>
      </x:c>
      <x:c r="L317" s="23">
        <x:v>1</x:v>
      </x:c>
    </x:row>
    <x:row r="318">
      <x:c r="A318" s="18" t="s">
        <x:v>869</x:v>
      </x:c>
      <x:c r="B318" s="19" t="s">
        <x:v>870</x:v>
      </x:c>
      <x:c r="C318" s="20">
        <x:v>83024900</x:v>
      </x:c>
      <x:c r="D318" s="20">
        <x:v>919.46</x:v>
      </x:c>
      <x:c r="E318" s="18" t="s">
        <x:v>227</x:v>
      </x:c>
      <x:c r="F318" s="19" t="s">
        <x:v>11</x:v>
      </x:c>
      <x:c r="G318" s="20">
        <x:v>0</x:v>
      </x:c>
      <x:c r="H318" s="21"/>
      <x:c r="I318" s="21"/>
      <x:c r="J318" s="23">
        <x:v>338</x:v>
      </x:c>
      <x:c r="K318" s="23">
        <x:v>1903.17</x:v>
      </x:c>
      <x:c r="L318" s="23">
        <x:v>175</x:v>
      </x:c>
    </x:row>
    <x:row r="319">
      <x:c r="A319" s="18" t="s">
        <x:v>871</x:v>
      </x:c>
      <x:c r="B319" s="19" t="s">
        <x:v>872</x:v>
      </x:c>
      <x:c r="C319" s="20">
        <x:v>83024900</x:v>
      </x:c>
      <x:c r="D319" s="20">
        <x:v>3719.7</x:v>
      </x:c>
      <x:c r="E319" s="18" t="s">
        <x:v>227</x:v>
      </x:c>
      <x:c r="F319" s="19" t="s">
        <x:v>11</x:v>
      </x:c>
      <x:c r="G319" s="20">
        <x:v>2.63</x:v>
      </x:c>
      <x:c r="H319" s="21"/>
      <x:c r="I319" s="26" t="s">
        <x:v>252</x:v>
      </x:c>
      <x:c r="J319" s="23">
        <x:v>3411</x:v>
      </x:c>
      <x:c r="K319" s="23">
        <x:v>8268.93</x:v>
      </x:c>
      <x:c r="L319" s="23">
        <x:v>2162</x:v>
      </x:c>
    </x:row>
    <x:row r="320">
      <x:c r="A320" s="18" t="s">
        <x:v>873</x:v>
      </x:c>
      <x:c r="B320" s="19" t="s">
        <x:v>110</x:v>
      </x:c>
      <x:c r="C320" s="20">
        <x:v>83024900</x:v>
      </x:c>
      <x:c r="D320" s="20">
        <x:v>3410.55</x:v>
      </x:c>
      <x:c r="E320" s="18" t="s">
        <x:v>227</x:v>
      </x:c>
      <x:c r="F320" s="19" t="s">
        <x:v>11</x:v>
      </x:c>
      <x:c r="G320" s="20">
        <x:v>2.4500000000000002</x:v>
      </x:c>
      <x:c r="H320" s="21"/>
      <x:c r="I320" s="26" t="s">
        <x:v>233</x:v>
      </x:c>
      <x:c r="J320" s="23">
        <x:v>11529</x:v>
      </x:c>
      <x:c r="K320" s="23">
        <x:v>28342.63</x:v>
      </x:c>
      <x:c r="L320" s="23">
        <x:v>12780</x:v>
      </x:c>
    </x:row>
    <x:row r="321">
      <x:c r="A321" s="18" t="s">
        <x:v>874</x:v>
      </x:c>
      <x:c r="B321" s="19" t="s">
        <x:v>875</x:v>
      </x:c>
      <x:c r="C321" s="20">
        <x:v>39269099</x:v>
      </x:c>
      <x:c r="D321" s="20">
        <x:v>4688.1499999999996</x:v>
      </x:c>
      <x:c r="E321" s="18" t="s">
        <x:v>227</x:v>
      </x:c>
      <x:c r="F321" s="19" t="s">
        <x:v>11</x:v>
      </x:c>
      <x:c r="G321" s="20">
        <x:v>24.6</x:v>
      </x:c>
      <x:c r="H321" s="21"/>
      <x:c r="I321" s="26" t="s">
        <x:v>858</x:v>
      </x:c>
      <x:c r="J321" s="22">
        <x:v>0</x:v>
      </x:c>
      <x:c r="K321" s="22">
        <x:v>0</x:v>
      </x:c>
      <x:c r="L321" s="23">
        <x:v>7</x:v>
      </x:c>
    </x:row>
    <x:row r="322">
      <x:c r="A322" s="18" t="s">
        <x:v>876</x:v>
      </x:c>
      <x:c r="B322" s="19" t="s">
        <x:v>877</x:v>
      </x:c>
      <x:c r="C322" s="20">
        <x:v>39269099</x:v>
      </x:c>
      <x:c r="D322" s="20">
        <x:v>2273.6999999999998</x:v>
      </x:c>
      <x:c r="E322" s="18" t="s">
        <x:v>227</x:v>
      </x:c>
      <x:c r="F322" s="19" t="s">
        <x:v>11</x:v>
      </x:c>
      <x:c r="G322" s="20">
        <x:v>563.4</x:v>
      </x:c>
      <x:c r="H322" s="21"/>
      <x:c r="I322" s="26" t="s">
        <x:v>858</x:v>
      </x:c>
      <x:c r="J322" s="22">
        <x:v>0</x:v>
      </x:c>
      <x:c r="K322" s="22">
        <x:v>0</x:v>
      </x:c>
      <x:c r="L322" s="23">
        <x:v>4</x:v>
      </x:c>
    </x:row>
    <x:row r="323">
      <x:c r="A323" s="18" t="s">
        <x:v>878</x:v>
      </x:c>
      <x:c r="B323" s="19" t="s">
        <x:v>879</x:v>
      </x:c>
      <x:c r="C323" s="20">
        <x:v>73239420</x:v>
      </x:c>
      <x:c r="D323" s="20">
        <x:v>3693.69</x:v>
      </x:c>
      <x:c r="E323" s="18" t="s">
        <x:v>227</x:v>
      </x:c>
      <x:c r="F323" s="19" t="s">
        <x:v>11</x:v>
      </x:c>
      <x:c r="G323" s="20">
        <x:v>0</x:v>
      </x:c>
      <x:c r="H323" s="21"/>
      <x:c r="I323" s="21"/>
      <x:c r="J323" s="22">
        <x:v>0</x:v>
      </x:c>
      <x:c r="K323" s="22">
        <x:v>0</x:v>
      </x:c>
      <x:c r="L323" s="23">
        <x:v>0</x:v>
      </x:c>
    </x:row>
    <x:row r="324">
      <x:c r="A324" s="18" t="s">
        <x:v>880</x:v>
      </x:c>
      <x:c r="B324" s="19" t="s">
        <x:v>881</x:v>
      </x:c>
      <x:c r="C324" s="20">
        <x:v>73239420</x:v>
      </x:c>
      <x:c r="D324" s="20">
        <x:v>3693.69</x:v>
      </x:c>
      <x:c r="E324" s="18" t="s">
        <x:v>227</x:v>
      </x:c>
      <x:c r="F324" s="19" t="s">
        <x:v>82</x:v>
      </x:c>
      <x:c r="G324" s="20">
        <x:v>0</x:v>
      </x:c>
      <x:c r="H324" s="21"/>
      <x:c r="I324" s="21"/>
      <x:c r="J324" s="22">
        <x:v>0</x:v>
      </x:c>
      <x:c r="K324" s="22">
        <x:v>0</x:v>
      </x:c>
      <x:c r="L324" s="23">
        <x:v>0</x:v>
      </x:c>
    </x:row>
    <x:row r="325">
      <x:c r="A325" s="18" t="s">
        <x:v>882</x:v>
      </x:c>
      <x:c r="B325" s="19" t="s">
        <x:v>883</x:v>
      </x:c>
      <x:c r="C325" s="20">
        <x:v>73239420</x:v>
      </x:c>
      <x:c r="D325" s="20">
        <x:v>3183.18</x:v>
      </x:c>
      <x:c r="E325" s="18" t="s">
        <x:v>227</x:v>
      </x:c>
      <x:c r="F325" s="19" t="s">
        <x:v>11</x:v>
      </x:c>
      <x:c r="G325" s="20">
        <x:v>0</x:v>
      </x:c>
      <x:c r="H325" s="21"/>
      <x:c r="I325" s="21"/>
      <x:c r="J325" s="22">
        <x:v>0</x:v>
      </x:c>
      <x:c r="K325" s="22">
        <x:v>0</x:v>
      </x:c>
      <x:c r="L325" s="23">
        <x:v>0</x:v>
      </x:c>
    </x:row>
    <x:row r="326">
      <x:c r="A326" s="18" t="s">
        <x:v>884</x:v>
      </x:c>
      <x:c r="B326" s="19" t="s">
        <x:v>885</x:v>
      </x:c>
      <x:c r="C326" s="20">
        <x:v>73269099</x:v>
      </x:c>
      <x:c r="D326" s="20">
        <x:v>2955.81</x:v>
      </x:c>
      <x:c r="E326" s="18" t="s">
        <x:v>227</x:v>
      </x:c>
      <x:c r="F326" s="19" t="s">
        <x:v>87</x:v>
      </x:c>
      <x:c r="G326" s="20">
        <x:v>0</x:v>
      </x:c>
      <x:c r="H326" s="21"/>
      <x:c r="I326" s="21"/>
      <x:c r="J326" s="22">
        <x:v>0</x:v>
      </x:c>
      <x:c r="K326" s="22">
        <x:v>0</x:v>
      </x:c>
      <x:c r="L326" s="23">
        <x:v>0</x:v>
      </x:c>
    </x:row>
    <x:row r="327">
      <x:c r="A327" s="18" t="s">
        <x:v>886</x:v>
      </x:c>
      <x:c r="B327" s="19" t="s">
        <x:v>887</x:v>
      </x:c>
      <x:c r="C327" s="20">
        <x:v>73239420</x:v>
      </x:c>
      <x:c r="D327" s="20">
        <x:v>2273.6999999999998</x:v>
      </x:c>
      <x:c r="E327" s="18" t="s">
        <x:v>227</x:v>
      </x:c>
      <x:c r="F327" s="19" t="s">
        <x:v>11</x:v>
      </x:c>
      <x:c r="G327" s="20">
        <x:v>20</x:v>
      </x:c>
      <x:c r="H327" s="21"/>
      <x:c r="I327" s="26" t="s">
        <x:v>888</x:v>
      </x:c>
      <x:c r="J327" s="22">
        <x:v>0</x:v>
      </x:c>
      <x:c r="K327" s="22">
        <x:v>0</x:v>
      </x:c>
      <x:c r="L327" s="23">
        <x:v>338</x:v>
      </x:c>
    </x:row>
    <x:row r="328">
      <x:c r="A328" s="18" t="s">
        <x:v>889</x:v>
      </x:c>
      <x:c r="B328" s="19" t="s">
        <x:v>890</x:v>
      </x:c>
      <x:c r="C328" s="20">
        <x:v>68109900</x:v>
      </x:c>
      <x:c r="D328" s="20">
        <x:v>2273.6999999999998</x:v>
      </x:c>
      <x:c r="E328" s="18" t="s">
        <x:v>227</x:v>
      </x:c>
      <x:c r="F328" s="19" t="s">
        <x:v>11</x:v>
      </x:c>
      <x:c r="G328" s="20">
        <x:v>0</x:v>
      </x:c>
      <x:c r="H328" s="21"/>
      <x:c r="I328" s="21"/>
      <x:c r="J328" s="23">
        <x:v>33</x:v>
      </x:c>
      <x:c r="K328" s="23">
        <x:v>19250</x:v>
      </x:c>
      <x:c r="L328" s="23">
        <x:v>28</x:v>
      </x:c>
    </x:row>
    <x:row r="329">
      <x:c r="A329" s="18" t="s">
        <x:v>891</x:v>
      </x:c>
      <x:c r="B329" s="19" t="s">
        <x:v>892</x:v>
      </x:c>
      <x:c r="C329" s="20">
        <x:v>73089090</x:v>
      </x:c>
      <x:c r="D329" s="20">
        <x:v>2273.6999999999998</x:v>
      </x:c>
      <x:c r="E329" s="18" t="s">
        <x:v>227</x:v>
      </x:c>
      <x:c r="F329" s="19" t="s">
        <x:v>11</x:v>
      </x:c>
      <x:c r="G329" s="20">
        <x:v>44489</x:v>
      </x:c>
      <x:c r="H329" s="21"/>
      <x:c r="I329" s="26" t="s">
        <x:v>866</x:v>
      </x:c>
      <x:c r="J329" s="22">
        <x:v>0</x:v>
      </x:c>
      <x:c r="K329" s="22">
        <x:v>0</x:v>
      </x:c>
      <x:c r="L329" s="23">
        <x:v>0</x:v>
      </x:c>
    </x:row>
    <x:row r="330">
      <x:c r="A330" s="18" t="s">
        <x:v>893</x:v>
      </x:c>
      <x:c r="B330" s="19" t="s">
        <x:v>894</x:v>
      </x:c>
      <x:c r="C330" s="20">
        <x:v>73089090</x:v>
      </x:c>
      <x:c r="D330" s="20">
        <x:v>1963.65</x:v>
      </x:c>
      <x:c r="E330" s="18" t="s">
        <x:v>227</x:v>
      </x:c>
      <x:c r="F330" s="19" t="s">
        <x:v>11</x:v>
      </x:c>
      <x:c r="G330" s="20">
        <x:v>15984</x:v>
      </x:c>
      <x:c r="H330" s="21"/>
      <x:c r="I330" s="26" t="s">
        <x:v>866</x:v>
      </x:c>
      <x:c r="J330" s="22">
        <x:v>0</x:v>
      </x:c>
      <x:c r="K330" s="22">
        <x:v>0</x:v>
      </x:c>
      <x:c r="L330" s="23">
        <x:v>0</x:v>
      </x:c>
    </x:row>
    <x:row r="331">
      <x:c r="A331" s="18" t="s">
        <x:v>895</x:v>
      </x:c>
      <x:c r="B331" s="19" t="s">
        <x:v>896</x:v>
      </x:c>
      <x:c r="C331" s="20">
        <x:v>73089090</x:v>
      </x:c>
      <x:c r="D331" s="20">
        <x:v>1860.3</x:v>
      </x:c>
      <x:c r="E331" s="18" t="s">
        <x:v>227</x:v>
      </x:c>
      <x:c r="F331" s="19" t="s">
        <x:v>11</x:v>
      </x:c>
      <x:c r="G331" s="20">
        <x:v>64990</x:v>
      </x:c>
      <x:c r="H331" s="21"/>
      <x:c r="I331" s="26" t="s">
        <x:v>897</x:v>
      </x:c>
      <x:c r="J331" s="22">
        <x:v>0</x:v>
      </x:c>
      <x:c r="K331" s="22">
        <x:v>0</x:v>
      </x:c>
      <x:c r="L331" s="23">
        <x:v>1</x:v>
      </x:c>
    </x:row>
    <x:row r="332">
      <x:c r="A332" s="18" t="s">
        <x:v>898</x:v>
      </x:c>
      <x:c r="B332" s="19" t="s">
        <x:v>899</x:v>
      </x:c>
      <x:c r="C332" s="20">
        <x:v>63071030</x:v>
      </x:c>
      <x:c r="D332" s="20">
        <x:v>4433</x:v>
      </x:c>
      <x:c r="E332" s="18" t="s">
        <x:v>227</x:v>
      </x:c>
      <x:c r="F332" s="19" t="s">
        <x:v>11</x:v>
      </x:c>
      <x:c r="G332" s="20">
        <x:v>24</x:v>
      </x:c>
      <x:c r="H332" s="21"/>
      <x:c r="I332" s="26" t="s">
        <x:v>900</x:v>
      </x:c>
      <x:c r="J332" s="23">
        <x:v>551</x:v>
      </x:c>
      <x:c r="K332" s="23">
        <x:v>13224</x:v>
      </x:c>
      <x:c r="L332" s="23">
        <x:v>654</x:v>
      </x:c>
    </x:row>
    <x:row r="333">
      <x:c r="A333" s="18" t="s">
        <x:v>901</x:v>
      </x:c>
      <x:c r="B333" s="19" t="s">
        <x:v>902</x:v>
      </x:c>
      <x:c r="C333" s="20">
        <x:v>91052100</x:v>
      </x:c>
      <x:c r="D333" s="20">
        <x:v>1575.9</x:v>
      </x:c>
      <x:c r="E333" s="18" t="s">
        <x:v>227</x:v>
      </x:c>
      <x:c r="F333" s="19" t="s">
        <x:v>11</x:v>
      </x:c>
      <x:c r="G333" s="20">
        <x:v>0</x:v>
      </x:c>
      <x:c r="H333" s="21"/>
      <x:c r="I333" s="21"/>
      <x:c r="J333" s="23">
        <x:v>131</x:v>
      </x:c>
      <x:c r="K333" s="23">
        <x:v>1152.8</x:v>
      </x:c>
      <x:c r="L333" s="23">
        <x:v>128</x:v>
      </x:c>
    </x:row>
    <x:row r="334">
      <x:c r="A334" s="18" t="s">
        <x:v>903</x:v>
      </x:c>
      <x:c r="B334" s="19" t="s">
        <x:v>904</x:v>
      </x:c>
      <x:c r="C334" s="38" t="e">
        <x:v>#N/A</x:v>
      </x:c>
      <x:c r="D334" s="20">
        <x:v>0</x:v>
      </x:c>
      <x:c r="E334" s="18" t="s">
        <x:v>227</x:v>
      </x:c>
      <x:c r="F334" s="19" t="s">
        <x:v>87</x:v>
      </x:c>
      <x:c r="G334" s="20">
        <x:v>0</x:v>
      </x:c>
      <x:c r="H334" s="21"/>
      <x:c r="I334" s="21"/>
      <x:c r="J334" s="22">
        <x:v>0</x:v>
      </x:c>
      <x:c r="K334" s="22">
        <x:v>0</x:v>
      </x:c>
      <x:c r="L334" s="23">
        <x:v>0</x:v>
      </x:c>
    </x:row>
    <x:row r="335">
      <x:c r="A335" s="18" t="s">
        <x:v>905</x:v>
      </x:c>
      <x:c r="B335" s="19" t="s">
        <x:v>906</x:v>
      </x:c>
      <x:c r="C335" s="38" t="e">
        <x:v>#N/A</x:v>
      </x:c>
      <x:c r="D335" s="20">
        <x:v>0</x:v>
      </x:c>
      <x:c r="E335" s="18" t="s">
        <x:v>227</x:v>
      </x:c>
      <x:c r="F335" s="19" t="s">
        <x:v>87</x:v>
      </x:c>
      <x:c r="G335" s="20">
        <x:v>0</x:v>
      </x:c>
      <x:c r="H335" s="21"/>
      <x:c r="I335" s="21"/>
      <x:c r="J335" s="22">
        <x:v>0</x:v>
      </x:c>
      <x:c r="K335" s="22">
        <x:v>0</x:v>
      </x:c>
      <x:c r="L335" s="23">
        <x:v>0</x:v>
      </x:c>
    </x:row>
    <x:row r="336">
      <x:c r="A336" s="18" t="s">
        <x:v>907</x:v>
      </x:c>
      <x:c r="B336" s="19" t="s">
        <x:v>908</x:v>
      </x:c>
      <x:c r="C336" s="20">
        <x:v>84198190</x:v>
      </x:c>
      <x:c r="D336" s="20">
        <x:v>3698.2</x:v>
      </x:c>
      <x:c r="E336" s="18" t="s">
        <x:v>227</x:v>
      </x:c>
      <x:c r="F336" s="19" t="s">
        <x:v>11</x:v>
      </x:c>
      <x:c r="G336" s="20">
        <x:v>59025</x:v>
      </x:c>
      <x:c r="H336" s="20">
        <x:v>180.25</x:v>
      </x:c>
      <x:c r="I336" s="26" t="s">
        <x:v>866</x:v>
      </x:c>
      <x:c r="J336" s="22">
        <x:v>0</x:v>
      </x:c>
      <x:c r="K336" s="22">
        <x:v>0</x:v>
      </x:c>
      <x:c r="L336" s="23">
        <x:v>0</x:v>
      </x:c>
    </x:row>
    <x:row r="337">
      <x:c r="A337" s="18" t="s">
        <x:v>909</x:v>
      </x:c>
      <x:c r="B337" s="19" t="s">
        <x:v>910</x:v>
      </x:c>
      <x:c r="C337" s="20">
        <x:v>84661020</x:v>
      </x:c>
      <x:c r="D337" s="20">
        <x:v>12000</x:v>
      </x:c>
      <x:c r="E337" s="18" t="s">
        <x:v>227</x:v>
      </x:c>
      <x:c r="F337" s="19" t="s">
        <x:v>11</x:v>
      </x:c>
      <x:c r="G337" s="20">
        <x:v>0</x:v>
      </x:c>
      <x:c r="H337" s="20">
        <x:v>40</x:v>
      </x:c>
      <x:c r="I337" s="21"/>
      <x:c r="J337" s="22">
        <x:v>0</x:v>
      </x:c>
      <x:c r="K337" s="22">
        <x:v>0</x:v>
      </x:c>
      <x:c r="L337" s="23">
        <x:v>0</x:v>
      </x:c>
    </x:row>
    <x:row r="338">
      <x:c r="A338" s="18" t="s">
        <x:v>911</x:v>
      </x:c>
      <x:c r="B338" s="19" t="s">
        <x:v>912</x:v>
      </x:c>
      <x:c r="C338" s="20">
        <x:v>94034000</x:v>
      </x:c>
      <x:c r="D338" s="20">
        <x:v>4050</x:v>
      </x:c>
      <x:c r="E338" s="18" t="s">
        <x:v>227</x:v>
      </x:c>
      <x:c r="F338" s="19" t="s">
        <x:v>11</x:v>
      </x:c>
      <x:c r="G338" s="20">
        <x:v>0</x:v>
      </x:c>
      <x:c r="H338" s="20">
        <x:v>289</x:v>
      </x:c>
      <x:c r="I338" s="21"/>
      <x:c r="J338" s="22">
        <x:v>0</x:v>
      </x:c>
      <x:c r="K338" s="22">
        <x:v>0</x:v>
      </x:c>
      <x:c r="L338" s="23">
        <x:v>0</x:v>
      </x:c>
    </x:row>
    <x:row r="339">
      <x:c r="A339" s="18" t="s">
        <x:v>913</x:v>
      </x:c>
      <x:c r="B339" s="19" t="s">
        <x:v>914</x:v>
      </x:c>
      <x:c r="C339" s="20">
        <x:v>39269099</x:v>
      </x:c>
      <x:c r="D339" s="20">
        <x:v>650</x:v>
      </x:c>
      <x:c r="E339" s="18" t="s">
        <x:v>227</x:v>
      </x:c>
      <x:c r="F339" s="19" t="s">
        <x:v>11</x:v>
      </x:c>
      <x:c r="G339" s="20">
        <x:v>265</x:v>
      </x:c>
      <x:c r="H339" s="20">
        <x:v>320.25</x:v>
      </x:c>
      <x:c r="I339" s="26" t="s">
        <x:v>255</x:v>
      </x:c>
      <x:c r="J339" s="23">
        <x:v>2</x:v>
      </x:c>
      <x:c r="K339" s="23">
        <x:v>530</x:v>
      </x:c>
      <x:c r="L339" s="23">
        <x:v>7</x:v>
      </x:c>
    </x:row>
    <x:row r="340">
      <x:c r="A340" s="18" t="s">
        <x:v>915</x:v>
      </x:c>
      <x:c r="B340" s="19" t="s">
        <x:v>916</x:v>
      </x:c>
      <x:c r="C340" s="20">
        <x:v>85366990</x:v>
      </x:c>
      <x:c r="D340" s="20">
        <x:v>406.65</x:v>
      </x:c>
      <x:c r="E340" s="18" t="s">
        <x:v>227</x:v>
      </x:c>
      <x:c r="F340" s="19" t="s">
        <x:v>11</x:v>
      </x:c>
      <x:c r="G340" s="20">
        <x:v>0</x:v>
      </x:c>
      <x:c r="H340" s="20">
        <x:v>4000</x:v>
      </x:c>
      <x:c r="I340" s="21"/>
      <x:c r="J340" s="23">
        <x:v>13</x:v>
      </x:c>
      <x:c r="K340" s="23">
        <x:v>419.9</x:v>
      </x:c>
      <x:c r="L340" s="23">
        <x:v>13</x:v>
      </x:c>
    </x:row>
    <x:row r="341">
      <x:c r="A341" s="18" t="s">
        <x:v>917</x:v>
      </x:c>
      <x:c r="B341" s="19" t="s">
        <x:v>918</x:v>
      </x:c>
      <x:c r="C341" s="22">
        <x:v>0</x:v>
      </x:c>
      <x:c r="D341" s="20">
        <x:v>350</x:v>
      </x:c>
      <x:c r="E341" s="18" t="s">
        <x:v>227</x:v>
      </x:c>
      <x:c r="F341" s="19" t="s">
        <x:v>11</x:v>
      </x:c>
      <x:c r="G341" s="20">
        <x:v>0</x:v>
      </x:c>
      <x:c r="H341" s="20">
        <x:v>463.75</x:v>
      </x:c>
      <x:c r="I341" s="21"/>
      <x:c r="J341" s="22">
        <x:v>0</x:v>
      </x:c>
      <x:c r="K341" s="22">
        <x:v>0</x:v>
      </x:c>
      <x:c r="L341" s="23">
        <x:v>0</x:v>
      </x:c>
    </x:row>
    <x:row r="342">
      <x:c r="A342" s="18" t="s">
        <x:v>919</x:v>
      </x:c>
      <x:c r="B342" s="19" t="s">
        <x:v>920</x:v>
      </x:c>
      <x:c r="C342" s="20">
        <x:v>39205119</x:v>
      </x:c>
      <x:c r="D342" s="20">
        <x:v>36.5</x:v>
      </x:c>
      <x:c r="E342" s="18" t="s">
        <x:v>227</x:v>
      </x:c>
      <x:c r="F342" s="19" t="s">
        <x:v>921</x:v>
      </x:c>
      <x:c r="G342" s="20">
        <x:v>350</x:v>
      </x:c>
      <x:c r="H342" s="20">
        <x:v>3575</x:v>
      </x:c>
      <x:c r="I342" s="26" t="s">
        <x:v>922</x:v>
      </x:c>
      <x:c r="J342" s="22">
        <x:v>0</x:v>
      </x:c>
      <x:c r="K342" s="22">
        <x:v>0</x:v>
      </x:c>
      <x:c r="L342" s="23">
        <x:v>0</x:v>
      </x:c>
    </x:row>
    <x:row r="343">
      <x:c r="A343" s="18" t="s">
        <x:v>923</x:v>
      </x:c>
      <x:c r="B343" s="39" t="s">
        <x:v>924</x:v>
      </x:c>
      <x:c r="C343" s="40">
        <x:v>73089090</x:v>
      </x:c>
      <x:c r="D343" s="20">
        <x:v>192</x:v>
      </x:c>
      <x:c r="E343" s="18" t="s">
        <x:v>227</x:v>
      </x:c>
      <x:c r="F343" s="19" t="s">
        <x:v>82</x:v>
      </x:c>
      <x:c r="G343" s="20">
        <x:v>0</x:v>
      </x:c>
      <x:c r="H343" s="20">
        <x:v>12.629</x:v>
      </x:c>
      <x:c r="I343" s="21"/>
      <x:c r="J343" s="23">
        <x:v>75</x:v>
      </x:c>
      <x:c r="K343" s="23">
        <x:v>14400</x:v>
      </x:c>
      <x:c r="L343" s="23">
        <x:v>75</x:v>
      </x:c>
    </x:row>
    <x:row r="344">
      <x:c r="A344" s="18" t="s">
        <x:v>925</x:v>
      </x:c>
      <x:c r="B344" s="19" t="s">
        <x:v>926</x:v>
      </x:c>
      <x:c r="C344" s="20">
        <x:v>73089090</x:v>
      </x:c>
      <x:c r="D344" s="20">
        <x:v>800</x:v>
      </x:c>
      <x:c r="E344" s="18" t="s">
        <x:v>227</x:v>
      </x:c>
      <x:c r="F344" s="19" t="s">
        <x:v>82</x:v>
      </x:c>
      <x:c r="G344" s="20">
        <x:v>64.28</x:v>
      </x:c>
      <x:c r="H344" s="20">
        <x:v>153.75</x:v>
      </x:c>
      <x:c r="I344" s="26" t="s">
        <x:v>858</x:v>
      </x:c>
      <x:c r="J344" s="23">
        <x:v>317</x:v>
      </x:c>
      <x:c r="K344" s="23">
        <x:v>15850</x:v>
      </x:c>
      <x:c r="L344" s="23">
        <x:v>563</x:v>
      </x:c>
    </x:row>
    <x:row r="345">
      <x:c r="A345" s="18" t="s">
        <x:v>927</x:v>
      </x:c>
      <x:c r="B345" s="19" t="s">
        <x:v>928</x:v>
      </x:c>
      <x:c r="C345" s="20">
        <x:v>73089090</x:v>
      </x:c>
      <x:c r="D345" s="20">
        <x:v>850</x:v>
      </x:c>
      <x:c r="E345" s="18" t="s">
        <x:v>227</x:v>
      </x:c>
      <x:c r="F345" s="19" t="s">
        <x:v>82</x:v>
      </x:c>
      <x:c r="G345" s="20">
        <x:v>0</x:v>
      </x:c>
      <x:c r="H345" s="20">
        <x:v>137.68</x:v>
      </x:c>
      <x:c r="I345" s="21"/>
      <x:c r="J345" s="23">
        <x:v>308</x:v>
      </x:c>
      <x:c r="K345" s="23">
        <x:v>15650</x:v>
      </x:c>
      <x:c r="L345" s="23">
        <x:v>99</x:v>
      </x:c>
    </x:row>
    <x:row r="346">
      <x:c r="A346" s="18" t="s">
        <x:v>929</x:v>
      </x:c>
      <x:c r="B346" s="19" t="s">
        <x:v>930</x:v>
      </x:c>
      <x:c r="C346" s="20">
        <x:v>73089090</x:v>
      </x:c>
      <x:c r="D346" s="20">
        <x:v>375</x:v>
      </x:c>
      <x:c r="E346" s="18" t="s">
        <x:v>227</x:v>
      </x:c>
      <x:c r="F346" s="19" t="s">
        <x:v>11</x:v>
      </x:c>
      <x:c r="G346" s="20">
        <x:v>0</x:v>
      </x:c>
      <x:c r="H346" s="21"/>
      <x:c r="I346" s="21"/>
      <x:c r="J346" s="23">
        <x:v>146</x:v>
      </x:c>
      <x:c r="K346" s="23">
        <x:v>14454</x:v>
      </x:c>
      <x:c r="L346" s="23">
        <x:v>98</x:v>
      </x:c>
    </x:row>
    <x:row r="347">
      <x:c r="A347" s="18" t="s">
        <x:v>931</x:v>
      </x:c>
      <x:c r="B347" s="19" t="s">
        <x:v>932</x:v>
      </x:c>
      <x:c r="C347" s="20">
        <x:v>83024190</x:v>
      </x:c>
      <x:c r="D347" s="20">
        <x:v>15333.12</x:v>
      </x:c>
      <x:c r="E347" s="18" t="s">
        <x:v>227</x:v>
      </x:c>
      <x:c r="F347" s="19" t="s">
        <x:v>41</x:v>
      </x:c>
      <x:c r="G347" s="20">
        <x:v>0</x:v>
      </x:c>
      <x:c r="H347" s="20">
        <x:v>7.25</x:v>
      </x:c>
      <x:c r="I347" s="21"/>
      <x:c r="J347" s="22">
        <x:v>0</x:v>
      </x:c>
      <x:c r="K347" s="22">
        <x:v>0</x:v>
      </x:c>
      <x:c r="L347" s="23">
        <x:v>0</x:v>
      </x:c>
    </x:row>
    <x:row r="348">
      <x:c r="A348" s="18" t="s">
        <x:v>933</x:v>
      </x:c>
      <x:c r="B348" s="19" t="s">
        <x:v>934</x:v>
      </x:c>
      <x:c r="C348" s="20">
        <x:v>83024190</x:v>
      </x:c>
      <x:c r="D348" s="20">
        <x:v>842.12</x:v>
      </x:c>
      <x:c r="E348" s="18" t="s">
        <x:v>227</x:v>
      </x:c>
      <x:c r="F348" s="19" t="s">
        <x:v>11</x:v>
      </x:c>
      <x:c r="G348" s="20">
        <x:v>80</x:v>
      </x:c>
      <x:c r="H348" s="20">
        <x:v>115</x:v>
      </x:c>
      <x:c r="I348" s="26" t="s">
        <x:v>255</x:v>
      </x:c>
      <x:c r="J348" s="23">
        <x:v>541</x:v>
      </x:c>
      <x:c r="K348" s="23">
        <x:v>38280</x:v>
      </x:c>
      <x:c r="L348" s="23">
        <x:v>103</x:v>
      </x:c>
    </x:row>
    <x:row r="349">
      <x:c r="A349" s="18" t="s">
        <x:v>935</x:v>
      </x:c>
      <x:c r="B349" s="19" t="s">
        <x:v>936</x:v>
      </x:c>
      <x:c r="C349" s="20">
        <x:v>83024190</x:v>
      </x:c>
      <x:c r="D349" s="20">
        <x:v>112.42</x:v>
      </x:c>
      <x:c r="E349" s="18" t="s">
        <x:v>227</x:v>
      </x:c>
      <x:c r="F349" s="19" t="s">
        <x:v>11</x:v>
      </x:c>
      <x:c r="G349" s="20">
        <x:v>0</x:v>
      </x:c>
      <x:c r="H349" s="20">
        <x:v>840.5</x:v>
      </x:c>
      <x:c r="I349" s="21"/>
      <x:c r="J349" s="23">
        <x:v>235</x:v>
      </x:c>
      <x:c r="K349" s="23">
        <x:v>70500</x:v>
      </x:c>
      <x:c r="L349" s="23">
        <x:v>146</x:v>
      </x:c>
    </x:row>
    <x:row r="350">
      <x:c r="A350" s="18" t="s">
        <x:v>937</x:v>
      </x:c>
      <x:c r="B350" s="19" t="s">
        <x:v>938</x:v>
      </x:c>
      <x:c r="C350" s="20">
        <x:v>83024190</x:v>
      </x:c>
      <x:c r="D350" s="20">
        <x:v>28.6</x:v>
      </x:c>
      <x:c r="E350" s="18" t="s">
        <x:v>227</x:v>
      </x:c>
      <x:c r="F350" s="19" t="s">
        <x:v>11</x:v>
      </x:c>
      <x:c r="G350" s="20">
        <x:v>300</x:v>
      </x:c>
      <x:c r="H350" s="20">
        <x:v>3275.5</x:v>
      </x:c>
      <x:c r="I350" s="26" t="s">
        <x:v>939</x:v>
      </x:c>
      <x:c r="J350" s="23">
        <x:v>52</x:v>
      </x:c>
      <x:c r="K350" s="23">
        <x:v>15600</x:v>
      </x:c>
      <x:c r="L350" s="23">
        <x:v>4</x:v>
      </x:c>
    </x:row>
    <x:row r="351">
      <x:c r="A351" s="18" t="s">
        <x:v>940</x:v>
      </x:c>
      <x:c r="B351" s="19" t="s">
        <x:v>941</x:v>
      </x:c>
      <x:c r="C351" s="20">
        <x:v>83024190</x:v>
      </x:c>
      <x:c r="D351" s="20">
        <x:v>335.5</x:v>
      </x:c>
      <x:c r="E351" s="18" t="s">
        <x:v>227</x:v>
      </x:c>
      <x:c r="F351" s="19" t="s">
        <x:v>11</x:v>
      </x:c>
      <x:c r="G351" s="20">
        <x:v>0</x:v>
      </x:c>
      <x:c r="H351" s="20">
        <x:v>275.35000000000002</x:v>
      </x:c>
      <x:c r="I351" s="21"/>
      <x:c r="J351" s="23">
        <x:v>31</x:v>
      </x:c>
      <x:c r="K351" s="23">
        <x:v>9300</x:v>
      </x:c>
      <x:c r="L351" s="23">
        <x:v>0</x:v>
      </x:c>
    </x:row>
    <x:row r="352">
      <x:c r="A352" s="18" t="s">
        <x:v>942</x:v>
      </x:c>
      <x:c r="B352" s="19" t="s">
        <x:v>943</x:v>
      </x:c>
      <x:c r="C352" s="20">
        <x:v>83024190</x:v>
      </x:c>
      <x:c r="D352" s="20">
        <x:v>6250.83</x:v>
      </x:c>
      <x:c r="E352" s="18" t="s">
        <x:v>227</x:v>
      </x:c>
      <x:c r="F352" s="19" t="s">
        <x:v>82</x:v>
      </x:c>
      <x:c r="G352" s="20">
        <x:v>82</x:v>
      </x:c>
      <x:c r="H352" s="20">
        <x:v>14.75</x:v>
      </x:c>
      <x:c r="I352" s="26" t="s">
        <x:v>939</x:v>
      </x:c>
      <x:c r="J352" s="23">
        <x:v>550</x:v>
      </x:c>
      <x:c r="K352" s="23">
        <x:v>39600</x:v>
      </x:c>
      <x:c r="L352" s="23">
        <x:v>660</x:v>
      </x:c>
    </x:row>
    <x:row r="353">
      <x:c r="A353" s="18" t="s">
        <x:v>944</x:v>
      </x:c>
      <x:c r="B353" s="19" t="s">
        <x:v>945</x:v>
      </x:c>
      <x:c r="C353" s="20">
        <x:v>48191010</x:v>
      </x:c>
      <x:c r="D353" s="20">
        <x:v>78</x:v>
      </x:c>
      <x:c r="E353" s="18" t="s">
        <x:v>227</x:v>
      </x:c>
      <x:c r="F353" s="19" t="s">
        <x:v>11</x:v>
      </x:c>
      <x:c r="G353" s="20">
        <x:v>21</x:v>
      </x:c>
      <x:c r="H353" s="20">
        <x:v>1182</x:v>
      </x:c>
      <x:c r="I353" s="26" t="s">
        <x:v>826</x:v>
      </x:c>
      <x:c r="J353" s="23">
        <x:v>1640</x:v>
      </x:c>
      <x:c r="K353" s="23">
        <x:v>34440</x:v>
      </x:c>
      <x:c r="L353" s="23">
        <x:v>1850</x:v>
      </x:c>
    </x:row>
    <x:row r="354">
      <x:c r="A354" s="18" t="s">
        <x:v>946</x:v>
      </x:c>
      <x:c r="B354" s="19" t="s">
        <x:v>947</x:v>
      </x:c>
      <x:c r="C354" s="20">
        <x:v>48191010</x:v>
      </x:c>
      <x:c r="D354" s="20">
        <x:v>1278.8800000000001</x:v>
      </x:c>
      <x:c r="E354" s="18" t="s">
        <x:v>227</x:v>
      </x:c>
      <x:c r="F354" s="19" t="s">
        <x:v>11</x:v>
      </x:c>
      <x:c r="G354" s="20">
        <x:v>38</x:v>
      </x:c>
      <x:c r="H354" s="20">
        <x:v>300</x:v>
      </x:c>
      <x:c r="I354" s="26" t="s">
        <x:v>948</x:v>
      </x:c>
      <x:c r="J354" s="23">
        <x:v>100</x:v>
      </x:c>
      <x:c r="K354" s="23">
        <x:v>3800</x:v>
      </x:c>
      <x:c r="L354" s="23">
        <x:v>232</x:v>
      </x:c>
    </x:row>
    <x:row r="355">
      <x:c r="A355" s="18" t="s">
        <x:v>949</x:v>
      </x:c>
      <x:c r="B355" s="19" t="s">
        <x:v>950</x:v>
      </x:c>
      <x:c r="C355" s="20">
        <x:v>48191010</x:v>
      </x:c>
      <x:c r="D355" s="20">
        <x:v>36</x:v>
      </x:c>
      <x:c r="E355" s="18" t="s">
        <x:v>227</x:v>
      </x:c>
      <x:c r="F355" s="19" t="s">
        <x:v>11</x:v>
      </x:c>
      <x:c r="G355" s="20">
        <x:v>39</x:v>
      </x:c>
      <x:c r="H355" s="20">
        <x:v>2325</x:v>
      </x:c>
      <x:c r="I355" s="26" t="s">
        <x:v>948</x:v>
      </x:c>
      <x:c r="J355" s="23">
        <x:v>222</x:v>
      </x:c>
      <x:c r="K355" s="23">
        <x:v>8658</x:v>
      </x:c>
      <x:c r="L355" s="23">
        <x:v>92</x:v>
      </x:c>
    </x:row>
    <x:row r="356">
      <x:c r="A356" s="18" t="s">
        <x:v>951</x:v>
      </x:c>
      <x:c r="B356" s="19" t="s">
        <x:v>952</x:v>
      </x:c>
      <x:c r="C356" s="20">
        <x:v>48191010</x:v>
      </x:c>
      <x:c r="D356" s="20">
        <x:v>21</x:v>
      </x:c>
      <x:c r="E356" s="18" t="s">
        <x:v>227</x:v>
      </x:c>
      <x:c r="F356" s="19" t="s">
        <x:v>11</x:v>
      </x:c>
      <x:c r="G356" s="20">
        <x:v>0</x:v>
      </x:c>
      <x:c r="H356" s="21"/>
      <x:c r="I356" s="21"/>
      <x:c r="J356" s="23">
        <x:v>551</x:v>
      </x:c>
      <x:c r="K356" s="23">
        <x:v>26448</x:v>
      </x:c>
      <x:c r="L356" s="23">
        <x:v>7</x:v>
      </x:c>
    </x:row>
    <x:row r="357">
      <x:c r="A357" s="18" t="s">
        <x:v>953</x:v>
      </x:c>
      <x:c r="B357" s="19" t="s">
        <x:v>954</x:v>
      </x:c>
      <x:c r="C357" s="20">
        <x:v>48191010</x:v>
      </x:c>
      <x:c r="D357" s="20">
        <x:v>180</x:v>
      </x:c>
      <x:c r="E357" s="18" t="s">
        <x:v>227</x:v>
      </x:c>
      <x:c r="F357" s="19" t="s">
        <x:v>11</x:v>
      </x:c>
      <x:c r="G357" s="20">
        <x:v>64</x:v>
      </x:c>
      <x:c r="H357" s="20">
        <x:v>430.75</x:v>
      </x:c>
      <x:c r="I357" s="26" t="s">
        <x:v>948</x:v>
      </x:c>
      <x:c r="J357" s="23">
        <x:v>552</x:v>
      </x:c>
      <x:c r="K357" s="23">
        <x:v>35328</x:v>
      </x:c>
      <x:c r="L357" s="23">
        <x:v>49</x:v>
      </x:c>
    </x:row>
    <x:row r="358">
      <x:c r="A358" s="18" t="s">
        <x:v>955</x:v>
      </x:c>
      <x:c r="B358" s="19" t="s">
        <x:v>956</x:v>
      </x:c>
      <x:c r="C358" s="20">
        <x:v>48191010</x:v>
      </x:c>
      <x:c r="D358" s="20">
        <x:v>143.88</x:v>
      </x:c>
      <x:c r="E358" s="18" t="s">
        <x:v>227</x:v>
      </x:c>
      <x:c r="F358" s="19" t="s">
        <x:v>87</x:v>
      </x:c>
      <x:c r="G358" s="20">
        <x:v>0</x:v>
      </x:c>
      <x:c r="H358" s="20">
        <x:v>2500</x:v>
      </x:c>
      <x:c r="I358" s="21"/>
      <x:c r="J358" s="22">
        <x:v>0</x:v>
      </x:c>
      <x:c r="K358" s="22">
        <x:v>0</x:v>
      </x:c>
      <x:c r="L358" s="23">
        <x:v>0</x:v>
      </x:c>
    </x:row>
    <x:row r="359">
      <x:c r="A359" s="18" t="s">
        <x:v>957</x:v>
      </x:c>
      <x:c r="B359" s="19" t="s">
        <x:v>958</x:v>
      </x:c>
      <x:c r="C359" s="20">
        <x:v>48191010</x:v>
      </x:c>
      <x:c r="D359" s="20">
        <x:v>23</x:v>
      </x:c>
      <x:c r="E359" s="18" t="s">
        <x:v>227</x:v>
      </x:c>
      <x:c r="F359" s="19" t="s">
        <x:v>236</x:v>
      </x:c>
      <x:c r="G359" s="20">
        <x:v>38</x:v>
      </x:c>
      <x:c r="H359" s="21"/>
      <x:c r="I359" s="26" t="s">
        <x:v>948</x:v>
      </x:c>
      <x:c r="J359" s="23">
        <x:v>1619.4</x:v>
      </x:c>
      <x:c r="K359" s="23">
        <x:v>61537.2</x:v>
      </x:c>
      <x:c r="L359" s="23">
        <x:v>938.6</x:v>
      </x:c>
    </x:row>
    <x:row r="360">
      <x:c r="A360" s="18" t="s">
        <x:v>959</x:v>
      </x:c>
      <x:c r="B360" s="19" t="s">
        <x:v>960</x:v>
      </x:c>
      <x:c r="C360" s="22">
        <x:v>0</x:v>
      </x:c>
      <x:c r="D360" s="20">
        <x:v>4740</x:v>
      </x:c>
      <x:c r="E360" s="18" t="s">
        <x:v>227</x:v>
      </x:c>
      <x:c r="F360" s="19" t="s">
        <x:v>11</x:v>
      </x:c>
      <x:c r="G360" s="20">
        <x:v>0</x:v>
      </x:c>
      <x:c r="H360" s="20">
        <x:v>13.5</x:v>
      </x:c>
      <x:c r="I360" s="21"/>
      <x:c r="J360" s="22">
        <x:v>0</x:v>
      </x:c>
      <x:c r="K360" s="22">
        <x:v>0</x:v>
      </x:c>
      <x:c r="L360" s="23">
        <x:v>0</x:v>
      </x:c>
    </x:row>
    <x:row r="361">
      <x:c r="A361" s="18" t="s">
        <x:v>961</x:v>
      </x:c>
      <x:c r="B361" s="19" t="s">
        <x:v>962</x:v>
      </x:c>
      <x:c r="C361" s="20">
        <x:v>39269099</x:v>
      </x:c>
      <x:c r="D361" s="20">
        <x:v>54884.24</x:v>
      </x:c>
      <x:c r="E361" s="18" t="s">
        <x:v>227</x:v>
      </x:c>
      <x:c r="F361" s="19" t="s">
        <x:v>11</x:v>
      </x:c>
      <x:c r="G361" s="20">
        <x:v>0.64</x:v>
      </x:c>
      <x:c r="H361" s="20">
        <x:v>1</x:v>
      </x:c>
      <x:c r="I361" s="26" t="s">
        <x:v>228</x:v>
      </x:c>
      <x:c r="J361" s="23">
        <x:v>840</x:v>
      </x:c>
      <x:c r="K361" s="23">
        <x:v>537.6</x:v>
      </x:c>
      <x:c r="L361" s="23">
        <x:v>2440</x:v>
      </x:c>
    </x:row>
    <x:row r="362">
      <x:c r="A362" s="18" t="s">
        <x:v>963</x:v>
      </x:c>
      <x:c r="B362" s="19" t="s">
        <x:v>964</x:v>
      </x:c>
      <x:c r="C362" s="20">
        <x:v>39269099</x:v>
      </x:c>
      <x:c r="D362" s="20">
        <x:v>311.24</x:v>
      </x:c>
      <x:c r="E362" s="18" t="s">
        <x:v>227</x:v>
      </x:c>
      <x:c r="F362" s="19" t="s">
        <x:v>11</x:v>
      </x:c>
      <x:c r="G362" s="20">
        <x:v>19</x:v>
      </x:c>
      <x:c r="H362" s="20">
        <x:v>170.05</x:v>
      </x:c>
      <x:c r="I362" s="26" t="s">
        <x:v>965</x:v>
      </x:c>
      <x:c r="J362" s="23">
        <x:v>375</x:v>
      </x:c>
      <x:c r="K362" s="23">
        <x:v>6710</x:v>
      </x:c>
      <x:c r="L362" s="23">
        <x:v>719</x:v>
      </x:c>
    </x:row>
    <x:row r="363">
      <x:c r="A363" s="18" t="s">
        <x:v>966</x:v>
      </x:c>
      <x:c r="B363" s="19" t="s">
        <x:v>967</x:v>
      </x:c>
      <x:c r="C363" s="20">
        <x:v>39269099</x:v>
      </x:c>
      <x:c r="D363" s="20">
        <x:v>140</x:v>
      </x:c>
      <x:c r="E363" s="18" t="s">
        <x:v>227</x:v>
      </x:c>
      <x:c r="F363" s="19" t="s">
        <x:v>11</x:v>
      </x:c>
      <x:c r="G363" s="20">
        <x:v>19</x:v>
      </x:c>
      <x:c r="H363" s="20">
        <x:v>359.25</x:v>
      </x:c>
      <x:c r="I363" s="26" t="s">
        <x:v>965</x:v>
      </x:c>
      <x:c r="J363" s="23">
        <x:v>349</x:v>
      </x:c>
      <x:c r="K363" s="23">
        <x:v>6631</x:v>
      </x:c>
      <x:c r="L363" s="23">
        <x:v>693</x:v>
      </x:c>
    </x:row>
    <x:row r="364">
      <x:c r="A364" s="18" t="s">
        <x:v>968</x:v>
      </x:c>
      <x:c r="B364" s="19" t="s">
        <x:v>969</x:v>
      </x:c>
      <x:c r="C364" s="20">
        <x:v>69111011</x:v>
      </x:c>
      <x:c r="D364" s="20">
        <x:v>15312</x:v>
      </x:c>
      <x:c r="E364" s="18" t="s">
        <x:v>227</x:v>
      </x:c>
      <x:c r="F364" s="19" t="s">
        <x:v>11</x:v>
      </x:c>
      <x:c r="G364" s="20">
        <x:v>0</x:v>
      </x:c>
      <x:c r="H364" s="20">
        <x:v>3.25</x:v>
      </x:c>
      <x:c r="I364" s="21"/>
      <x:c r="J364" s="23">
        <x:v>1</x:v>
      </x:c>
      <x:c r="K364" s="23">
        <x:v>425</x:v>
      </x:c>
      <x:c r="L364" s="23">
        <x:v>1</x:v>
      </x:c>
    </x:row>
    <x:row r="365">
      <x:c r="A365" s="18" t="s">
        <x:v>970</x:v>
      </x:c>
      <x:c r="B365" s="19" t="s">
        <x:v>971</x:v>
      </x:c>
      <x:c r="C365" s="20">
        <x:v>73239990</x:v>
      </x:c>
      <x:c r="D365" s="20">
        <x:v>68</x:v>
      </x:c>
      <x:c r="E365" s="18" t="s">
        <x:v>227</x:v>
      </x:c>
      <x:c r="F365" s="19" t="s">
        <x:v>11</x:v>
      </x:c>
      <x:c r="G365" s="20">
        <x:v>0</x:v>
      </x:c>
      <x:c r="H365" s="20">
        <x:v>720</x:v>
      </x:c>
      <x:c r="I365" s="21"/>
      <x:c r="J365" s="23">
        <x:v>2</x:v>
      </x:c>
      <x:c r="K365" s="23">
        <x:v>4800</x:v>
      </x:c>
      <x:c r="L365" s="23">
        <x:v>2</x:v>
      </x:c>
    </x:row>
    <x:row r="366">
      <x:c r="A366" s="18" t="s">
        <x:v>972</x:v>
      </x:c>
      <x:c r="B366" s="19" t="s">
        <x:v>973</x:v>
      </x:c>
      <x:c r="C366" s="20">
        <x:v>73239990</x:v>
      </x:c>
      <x:c r="D366" s="20">
        <x:v>210.1</x:v>
      </x:c>
      <x:c r="E366" s="18" t="s">
        <x:v>227</x:v>
      </x:c>
      <x:c r="F366" s="19" t="s">
        <x:v>11</x:v>
      </x:c>
      <x:c r="G366" s="20">
        <x:v>0</x:v>
      </x:c>
      <x:c r="H366" s="20">
        <x:v>231</x:v>
      </x:c>
      <x:c r="I366" s="21"/>
      <x:c r="J366" s="23">
        <x:v>3</x:v>
      </x:c>
      <x:c r="K366" s="23">
        <x:v>10200</x:v>
      </x:c>
      <x:c r="L366" s="23">
        <x:v>1</x:v>
      </x:c>
    </x:row>
    <x:row r="367">
      <x:c r="A367" s="18" t="s">
        <x:v>974</x:v>
      </x:c>
      <x:c r="B367" s="19" t="s">
        <x:v>975</x:v>
      </x:c>
      <x:c r="C367" s="20">
        <x:v>73239990</x:v>
      </x:c>
      <x:c r="D367" s="20">
        <x:v>210.1</x:v>
      </x:c>
      <x:c r="E367" s="18" t="s">
        <x:v>227</x:v>
      </x:c>
      <x:c r="F367" s="19" t="s">
        <x:v>11</x:v>
      </x:c>
      <x:c r="G367" s="20">
        <x:v>880.03</x:v>
      </x:c>
      <x:c r="H367" s="20">
        <x:v>229.25</x:v>
      </x:c>
      <x:c r="I367" s="26" t="s">
        <x:v>272</x:v>
      </x:c>
      <x:c r="J367" s="23">
        <x:v>1</x:v>
      </x:c>
      <x:c r="K367" s="23">
        <x:v>880.03</x:v>
      </x:c>
      <x:c r="L367" s="23">
        <x:v>0</x:v>
      </x:c>
    </x:row>
    <x:row r="368">
      <x:c r="A368" s="18" t="s">
        <x:v>976</x:v>
      </x:c>
      <x:c r="B368" s="19" t="s">
        <x:v>153</x:v>
      </x:c>
      <x:c r="C368" s="20">
        <x:v>39249090</x:v>
      </x:c>
      <x:c r="D368" s="20">
        <x:v>2.7</x:v>
      </x:c>
      <x:c r="E368" s="18" t="s">
        <x:v>227</x:v>
      </x:c>
      <x:c r="F368" s="19" t="s">
        <x:v>11</x:v>
      </x:c>
      <x:c r="G368" s="20">
        <x:v>260</x:v>
      </x:c>
      <x:c r="H368" s="20">
        <x:v>17000</x:v>
      </x:c>
      <x:c r="I368" s="26" t="s">
        <x:v>842</x:v>
      </x:c>
      <x:c r="J368" s="23">
        <x:v>2</x:v>
      </x:c>
      <x:c r="K368" s="23">
        <x:v>112</x:v>
      </x:c>
      <x:c r="L368" s="23">
        <x:v>1</x:v>
      </x:c>
    </x:row>
    <x:row r="369">
      <x:c r="A369" s="18" t="s">
        <x:v>977</x:v>
      </x:c>
      <x:c r="B369" s="19" t="s">
        <x:v>978</x:v>
      </x:c>
      <x:c r="C369" s="20">
        <x:v>68042210</x:v>
      </x:c>
      <x:c r="D369" s="20">
        <x:v>8.25</x:v>
      </x:c>
      <x:c r="E369" s="18" t="s">
        <x:v>227</x:v>
      </x:c>
      <x:c r="F369" s="19" t="s">
        <x:v>11</x:v>
      </x:c>
      <x:c r="G369" s="20">
        <x:v>80</x:v>
      </x:c>
      <x:c r="H369" s="20">
        <x:v>5557.8</x:v>
      </x:c>
      <x:c r="I369" s="26" t="s">
        <x:v>979</x:v>
      </x:c>
      <x:c r="J369" s="23">
        <x:v>50</x:v>
      </x:c>
      <x:c r="K369" s="23">
        <x:v>3814</x:v>
      </x:c>
      <x:c r="L369" s="23">
        <x:v>163</x:v>
      </x:c>
    </x:row>
    <x:row r="370">
      <x:c r="A370" s="18" t="s">
        <x:v>980</x:v>
      </x:c>
      <x:c r="B370" s="19" t="s">
        <x:v>981</x:v>
      </x:c>
      <x:c r="C370" s="20">
        <x:v>68042210</x:v>
      </x:c>
      <x:c r="D370" s="20">
        <x:v>56.43</x:v>
      </x:c>
      <x:c r="E370" s="18" t="s">
        <x:v>227</x:v>
      </x:c>
      <x:c r="F370" s="19" t="s">
        <x:v>11</x:v>
      </x:c>
      <x:c r="G370" s="20">
        <x:v>68</x:v>
      </x:c>
      <x:c r="H370" s="20">
        <x:v>769.5</x:v>
      </x:c>
      <x:c r="I370" s="26" t="s">
        <x:v>837</x:v>
      </x:c>
      <x:c r="J370" s="23">
        <x:v>210</x:v>
      </x:c>
      <x:c r="K370" s="23">
        <x:v>14280</x:v>
      </x:c>
      <x:c r="L370" s="23">
        <x:v>380</x:v>
      </x:c>
    </x:row>
    <x:row r="371">
      <x:c r="A371" s="18" t="s">
        <x:v>982</x:v>
      </x:c>
      <x:c r="B371" s="19" t="s">
        <x:v>983</x:v>
      </x:c>
      <x:c r="C371" s="20">
        <x:v>68042210</x:v>
      </x:c>
      <x:c r="D371" s="20">
        <x:v>390</x:v>
      </x:c>
      <x:c r="E371" s="18" t="s">
        <x:v>227</x:v>
      </x:c>
      <x:c r="F371" s="19" t="s">
        <x:v>11</x:v>
      </x:c>
      <x:c r="G371" s="20">
        <x:v>80</x:v>
      </x:c>
      <x:c r="H371" s="20">
        <x:v>107.5</x:v>
      </x:c>
      <x:c r="I371" s="26" t="s">
        <x:v>979</x:v>
      </x:c>
      <x:c r="J371" s="23">
        <x:v>58</x:v>
      </x:c>
      <x:c r="K371" s="23">
        <x:v>4424.24</x:v>
      </x:c>
      <x:c r="L371" s="23">
        <x:v>116</x:v>
      </x:c>
    </x:row>
    <x:row r="372">
      <x:c r="A372" s="18" t="s">
        <x:v>984</x:v>
      </x:c>
      <x:c r="B372" s="19" t="s">
        <x:v>985</x:v>
      </x:c>
      <x:c r="C372" s="20">
        <x:v>68042210</x:v>
      </x:c>
      <x:c r="D372" s="20">
        <x:v>141.58000000000001</x:v>
      </x:c>
      <x:c r="E372" s="18" t="s">
        <x:v>227</x:v>
      </x:c>
      <x:c r="F372" s="19" t="s">
        <x:v>11</x:v>
      </x:c>
      <x:c r="G372" s="20">
        <x:v>0</x:v>
      </x:c>
      <x:c r="H372" s="20">
        <x:v>289.75</x:v>
      </x:c>
      <x:c r="I372" s="21"/>
      <x:c r="J372" s="23">
        <x:v>30</x:v>
      </x:c>
      <x:c r="K372" s="23">
        <x:v>2040</x:v>
      </x:c>
      <x:c r="L372" s="23">
        <x:v>30</x:v>
      </x:c>
    </x:row>
    <x:row r="373">
      <x:c r="A373" s="18" t="s">
        <x:v>986</x:v>
      </x:c>
      <x:c r="B373" s="19" t="s">
        <x:v>987</x:v>
      </x:c>
      <x:c r="C373" s="20">
        <x:v>68042210</x:v>
      </x:c>
      <x:c r="D373" s="20">
        <x:v>320</x:v>
      </x:c>
      <x:c r="E373" s="18" t="s">
        <x:v>227</x:v>
      </x:c>
      <x:c r="F373" s="19" t="s">
        <x:v>11</x:v>
      </x:c>
      <x:c r="G373" s="20">
        <x:v>0</x:v>
      </x:c>
      <x:c r="H373" s="21"/>
      <x:c r="I373" s="21"/>
      <x:c r="J373" s="23">
        <x:v>80</x:v>
      </x:c>
      <x:c r="K373" s="23">
        <x:v>5440</x:v>
      </x:c>
      <x:c r="L373" s="23">
        <x:v>80</x:v>
      </x:c>
    </x:row>
    <x:row r="374">
      <x:c r="A374" s="18" t="s">
        <x:v>988</x:v>
      </x:c>
      <x:c r="B374" s="19" t="s">
        <x:v>989</x:v>
      </x:c>
      <x:c r="C374" s="20">
        <x:v>73239990</x:v>
      </x:c>
      <x:c r="D374" s="20">
        <x:v>420.8</x:v>
      </x:c>
      <x:c r="E374" s="18" t="s">
        <x:v>227</x:v>
      </x:c>
      <x:c r="F374" s="19" t="s">
        <x:v>11</x:v>
      </x:c>
      <x:c r="G374" s="20">
        <x:v>1985</x:v>
      </x:c>
      <x:c r="H374" s="20">
        <x:v>400</x:v>
      </x:c>
      <x:c r="I374" s="26" t="s">
        <x:v>255</x:v>
      </x:c>
      <x:c r="J374" s="23">
        <x:v>22</x:v>
      </x:c>
      <x:c r="K374" s="23">
        <x:v>41250</x:v>
      </x:c>
      <x:c r="L374" s="23">
        <x:v>39</x:v>
      </x:c>
    </x:row>
    <x:row r="375">
      <x:c r="A375" s="18" t="s">
        <x:v>990</x:v>
      </x:c>
      <x:c r="B375" s="19" t="s">
        <x:v>991</x:v>
      </x:c>
      <x:c r="C375" s="20">
        <x:v>73239990</x:v>
      </x:c>
      <x:c r="D375" s="20">
        <x:v>506.66</x:v>
      </x:c>
      <x:c r="E375" s="18" t="s">
        <x:v>227</x:v>
      </x:c>
      <x:c r="F375" s="19" t="s">
        <x:v>11</x:v>
      </x:c>
      <x:c r="G375" s="20">
        <x:v>0</x:v>
      </x:c>
      <x:c r="H375" s="20">
        <x:v>600</x:v>
      </x:c>
      <x:c r="I375" s="21"/>
      <x:c r="J375" s="23">
        <x:v>1</x:v>
      </x:c>
      <x:c r="K375" s="23">
        <x:v>600</x:v>
      </x:c>
      <x:c r="L375" s="23">
        <x:v>1</x:v>
      </x:c>
    </x:row>
    <x:row r="376">
      <x:c r="A376" s="18" t="s">
        <x:v>992</x:v>
      </x:c>
      <x:c r="B376" s="19" t="s">
        <x:v>993</x:v>
      </x:c>
      <x:c r="C376" s="20">
        <x:v>73239990</x:v>
      </x:c>
      <x:c r="D376" s="20">
        <x:v>38</x:v>
      </x:c>
      <x:c r="E376" s="18" t="s">
        <x:v>227</x:v>
      </x:c>
      <x:c r="F376" s="19" t="s">
        <x:v>11</x:v>
      </x:c>
      <x:c r="G376" s="20">
        <x:v>672</x:v>
      </x:c>
      <x:c r="H376" s="20">
        <x:v>1013</x:v>
      </x:c>
      <x:c r="I376" s="26" t="s">
        <x:v>233</x:v>
      </x:c>
      <x:c r="J376" s="22">
        <x:v>0</x:v>
      </x:c>
      <x:c r="K376" s="22">
        <x:v>0</x:v>
      </x:c>
      <x:c r="L376" s="23">
        <x:v>0</x:v>
      </x:c>
    </x:row>
    <x:row r="377">
      <x:c r="A377" s="18" t="s">
        <x:v>994</x:v>
      </x:c>
      <x:c r="B377" s="19" t="s">
        <x:v>995</x:v>
      </x:c>
      <x:c r="C377" s="20">
        <x:v>73239990</x:v>
      </x:c>
      <x:c r="D377" s="20">
        <x:v>72.64</x:v>
      </x:c>
      <x:c r="E377" s="18" t="s">
        <x:v>227</x:v>
      </x:c>
      <x:c r="F377" s="19" t="s">
        <x:v>82</x:v>
      </x:c>
      <x:c r="G377" s="20">
        <x:v>0</x:v>
      </x:c>
      <x:c r="H377" s="21"/>
      <x:c r="I377" s="21"/>
      <x:c r="J377" s="22">
        <x:v>0</x:v>
      </x:c>
      <x:c r="K377" s="22">
        <x:v>0</x:v>
      </x:c>
      <x:c r="L377" s="23">
        <x:v>0</x:v>
      </x:c>
    </x:row>
    <x:row r="378">
      <x:c r="A378" s="18" t="s">
        <x:v>996</x:v>
      </x:c>
      <x:c r="B378" s="19" t="s">
        <x:v>997</x:v>
      </x:c>
      <x:c r="C378" s="20">
        <x:v>73239990</x:v>
      </x:c>
      <x:c r="D378" s="20">
        <x:v>254.59</x:v>
      </x:c>
      <x:c r="E378" s="18" t="s">
        <x:v>227</x:v>
      </x:c>
      <x:c r="F378" s="19" t="s">
        <x:v>11</x:v>
      </x:c>
      <x:c r="G378" s="20">
        <x:v>816</x:v>
      </x:c>
      <x:c r="H378" s="20">
        <x:v>132.75</x:v>
      </x:c>
      <x:c r="I378" s="26" t="s">
        <x:v>233</x:v>
      </x:c>
      <x:c r="J378" s="23">
        <x:v>5</x:v>
      </x:c>
      <x:c r="K378" s="23">
        <x:v>4080</x:v>
      </x:c>
      <x:c r="L378" s="23">
        <x:v>0</x:v>
      </x:c>
    </x:row>
    <x:row r="379">
      <x:c r="A379" s="18" t="s">
        <x:v>998</x:v>
      </x:c>
      <x:c r="B379" s="19" t="s">
        <x:v>999</x:v>
      </x:c>
      <x:c r="C379" s="20">
        <x:v>73239990</x:v>
      </x:c>
      <x:c r="D379" s="20">
        <x:v>284.38</x:v>
      </x:c>
      <x:c r="E379" s="18" t="s">
        <x:v>227</x:v>
      </x:c>
      <x:c r="F379" s="19" t="s">
        <x:v>11</x:v>
      </x:c>
      <x:c r="G379" s="20">
        <x:v>2500</x:v>
      </x:c>
      <x:c r="H379" s="20">
        <x:v>390</x:v>
      </x:c>
      <x:c r="I379" s="26" t="s">
        <x:v>255</x:v>
      </x:c>
      <x:c r="J379" s="23">
        <x:v>9</x:v>
      </x:c>
      <x:c r="K379" s="23">
        <x:v>21375</x:v>
      </x:c>
      <x:c r="L379" s="23">
        <x:v>14</x:v>
      </x:c>
    </x:row>
    <x:row r="380">
      <x:c r="A380" s="18" t="s">
        <x:v>1000</x:v>
      </x:c>
      <x:c r="B380" s="19" t="s">
        <x:v>1001</x:v>
      </x:c>
      <x:c r="C380" s="20">
        <x:v>39269099</x:v>
      </x:c>
      <x:c r="D380" s="20">
        <x:v>180.58</x:v>
      </x:c>
      <x:c r="E380" s="18" t="s">
        <x:v>227</x:v>
      </x:c>
      <x:c r="F380" s="19" t="s">
        <x:v>11</x:v>
      </x:c>
      <x:c r="G380" s="20">
        <x:v>0</x:v>
      </x:c>
      <x:c r="H380" s="20">
        <x:v>179.13</x:v>
      </x:c>
      <x:c r="I380" s="21"/>
      <x:c r="J380" s="23">
        <x:v>364</x:v>
      </x:c>
      <x:c r="K380" s="23">
        <x:v>535.99</x:v>
      </x:c>
      <x:c r="L380" s="23">
        <x:v>0</x:v>
      </x:c>
    </x:row>
    <x:row r="381">
      <x:c r="A381" s="18" t="s">
        <x:v>1002</x:v>
      </x:c>
      <x:c r="B381" s="19" t="s">
        <x:v>1003</x:v>
      </x:c>
      <x:c r="C381" s="20">
        <x:v>39269099</x:v>
      </x:c>
      <x:c r="D381" s="20">
        <x:v>150</x:v>
      </x:c>
      <x:c r="E381" s="18" t="s">
        <x:v>227</x:v>
      </x:c>
      <x:c r="F381" s="19" t="s">
        <x:v>11</x:v>
      </x:c>
      <x:c r="G381" s="20">
        <x:v>0</x:v>
      </x:c>
      <x:c r="H381" s="21"/>
      <x:c r="I381" s="21"/>
      <x:c r="J381" s="23">
        <x:v>1047</x:v>
      </x:c>
      <x:c r="K381" s="23">
        <x:v>8962.32</x:v>
      </x:c>
      <x:c r="L381" s="23">
        <x:v>1047</x:v>
      </x:c>
    </x:row>
    <x:row r="382">
      <x:c r="A382" s="18" t="s">
        <x:v>1004</x:v>
      </x:c>
      <x:c r="B382" s="19" t="s">
        <x:v>1005</x:v>
      </x:c>
      <x:c r="C382" s="20">
        <x:v>39269099</x:v>
      </x:c>
      <x:c r="D382" s="20">
        <x:v>3150</x:v>
      </x:c>
      <x:c r="E382" s="18" t="s">
        <x:v>227</x:v>
      </x:c>
      <x:c r="F382" s="19" t="s">
        <x:v>11</x:v>
      </x:c>
      <x:c r="G382" s="20">
        <x:v>0</x:v>
      </x:c>
      <x:c r="H382" s="21"/>
      <x:c r="I382" s="21"/>
      <x:c r="J382" s="23">
        <x:v>2759</x:v>
      </x:c>
      <x:c r="K382" s="23">
        <x:v>6098.49</x:v>
      </x:c>
      <x:c r="L382" s="23">
        <x:v>2627</x:v>
      </x:c>
    </x:row>
    <x:row r="383">
      <x:c r="A383" s="18" t="s">
        <x:v>1006</x:v>
      </x:c>
      <x:c r="B383" s="19" t="s">
        <x:v>1007</x:v>
      </x:c>
      <x:c r="C383" s="20">
        <x:v>39269099</x:v>
      </x:c>
      <x:c r="D383" s="20">
        <x:v>450.13</x:v>
      </x:c>
      <x:c r="E383" s="18" t="s">
        <x:v>227</x:v>
      </x:c>
      <x:c r="F383" s="19" t="s">
        <x:v>11</x:v>
      </x:c>
      <x:c r="G383" s="20">
        <x:v>1.9</x:v>
      </x:c>
      <x:c r="H383" s="20">
        <x:v>68.5</x:v>
      </x:c>
      <x:c r="I383" s="26" t="s">
        <x:v>252</x:v>
      </x:c>
      <x:c r="J383" s="23">
        <x:v>5972</x:v>
      </x:c>
      <x:c r="K383" s="23">
        <x:v>10098.65</x:v>
      </x:c>
      <x:c r="L383" s="23">
        <x:v>3786</x:v>
      </x:c>
    </x:row>
    <x:row r="384">
      <x:c r="A384" s="18" t="s">
        <x:v>1008</x:v>
      </x:c>
      <x:c r="B384" s="19" t="s">
        <x:v>1009</x:v>
      </x:c>
      <x:c r="C384" s="20">
        <x:v>39269099</x:v>
      </x:c>
      <x:c r="D384" s="20">
        <x:v>140</x:v>
      </x:c>
      <x:c r="E384" s="18" t="s">
        <x:v>227</x:v>
      </x:c>
      <x:c r="F384" s="19" t="s">
        <x:v>11</x:v>
      </x:c>
      <x:c r="G384" s="20">
        <x:v>0</x:v>
      </x:c>
      <x:c r="H384" s="20">
        <x:v>213.22</x:v>
      </x:c>
      <x:c r="I384" s="21"/>
      <x:c r="J384" s="22">
        <x:v>0</x:v>
      </x:c>
      <x:c r="K384" s="22">
        <x:v>0</x:v>
      </x:c>
      <x:c r="L384" s="23">
        <x:v>0</x:v>
      </x:c>
    </x:row>
    <x:row r="385">
      <x:c r="A385" s="18" t="s">
        <x:v>1010</x:v>
      </x:c>
      <x:c r="B385" s="19" t="s">
        <x:v>1011</x:v>
      </x:c>
      <x:c r="C385" s="20">
        <x:v>39269099</x:v>
      </x:c>
      <x:c r="D385" s="20">
        <x:v>125.87</x:v>
      </x:c>
      <x:c r="E385" s="18" t="s">
        <x:v>227</x:v>
      </x:c>
      <x:c r="F385" s="19" t="s">
        <x:v>11</x:v>
      </x:c>
      <x:c r="G385" s="20">
        <x:v>0</x:v>
      </x:c>
      <x:c r="H385" s="20">
        <x:v>750</x:v>
      </x:c>
      <x:c r="I385" s="21"/>
      <x:c r="J385" s="22">
        <x:v>0</x:v>
      </x:c>
      <x:c r="K385" s="22">
        <x:v>0</x:v>
      </x:c>
      <x:c r="L385" s="23">
        <x:v>0</x:v>
      </x:c>
    </x:row>
    <x:row r="386">
      <x:c r="A386" s="18" t="s">
        <x:v>1012</x:v>
      </x:c>
      <x:c r="B386" s="19" t="s">
        <x:v>103</x:v>
      </x:c>
      <x:c r="C386" s="20">
        <x:v>39269099</x:v>
      </x:c>
      <x:c r="D386" s="20">
        <x:v>374.99</x:v>
      </x:c>
      <x:c r="E386" s="18" t="s">
        <x:v>227</x:v>
      </x:c>
      <x:c r="F386" s="19" t="s">
        <x:v>11</x:v>
      </x:c>
      <x:c r="G386" s="20">
        <x:v>0</x:v>
      </x:c>
      <x:c r="H386" s="20">
        <x:v>76.25</x:v>
      </x:c>
      <x:c r="I386" s="21"/>
      <x:c r="J386" s="23">
        <x:v>820</x:v>
      </x:c>
      <x:c r="K386" s="23">
        <x:v>967.6</x:v>
      </x:c>
      <x:c r="L386" s="23">
        <x:v>0</x:v>
      </x:c>
    </x:row>
    <x:row r="387">
      <x:c r="A387" s="18" t="s">
        <x:v>1013</x:v>
      </x:c>
      <x:c r="B387" s="19" t="s">
        <x:v>1014</x:v>
      </x:c>
      <x:c r="C387" s="20">
        <x:v>39269099</x:v>
      </x:c>
      <x:c r="D387" s="20">
        <x:v>87.07</x:v>
      </x:c>
      <x:c r="E387" s="18" t="s">
        <x:v>227</x:v>
      </x:c>
      <x:c r="F387" s="19" t="s">
        <x:v>11</x:v>
      </x:c>
      <x:c r="G387" s="20">
        <x:v>0</x:v>
      </x:c>
      <x:c r="H387" s="20">
        <x:v>1200</x:v>
      </x:c>
      <x:c r="I387" s="21"/>
      <x:c r="J387" s="23">
        <x:v>3</x:v>
      </x:c>
      <x:c r="K387" s="23">
        <x:v>13597.98</x:v>
      </x:c>
      <x:c r="L387" s="23">
        <x:v>2</x:v>
      </x:c>
    </x:row>
    <x:row r="388">
      <x:c r="A388" s="18" t="s">
        <x:v>1015</x:v>
      </x:c>
      <x:c r="B388" s="19" t="s">
        <x:v>1016</x:v>
      </x:c>
      <x:c r="C388" s="20">
        <x:v>40169330</x:v>
      </x:c>
      <x:c r="D388" s="20">
        <x:v>1875</x:v>
      </x:c>
      <x:c r="E388" s="18" t="s">
        <x:v>227</x:v>
      </x:c>
      <x:c r="F388" s="19" t="s">
        <x:v>41</x:v>
      </x:c>
      <x:c r="G388" s="20">
        <x:v>99</x:v>
      </x:c>
      <x:c r="H388" s="20">
        <x:v>15</x:v>
      </x:c>
      <x:c r="I388" s="26" t="s">
        <x:v>858</x:v>
      </x:c>
      <x:c r="J388" s="23">
        <x:v>306</x:v>
      </x:c>
      <x:c r="K388" s="23">
        <x:v>26947.19</x:v>
      </x:c>
      <x:c r="L388" s="23">
        <x:v>156</x:v>
      </x:c>
    </x:row>
    <x:row r="389">
      <x:c r="A389" s="18" t="s">
        <x:v>1017</x:v>
      </x:c>
      <x:c r="B389" s="19" t="s">
        <x:v>1018</x:v>
      </x:c>
      <x:c r="C389" s="20">
        <x:v>40169330</x:v>
      </x:c>
      <x:c r="D389" s="20">
        <x:v>114.74</x:v>
      </x:c>
      <x:c r="E389" s="18" t="s">
        <x:v>227</x:v>
      </x:c>
      <x:c r="F389" s="19" t="s">
        <x:v>41</x:v>
      </x:c>
      <x:c r="G389" s="20">
        <x:v>0</x:v>
      </x:c>
      <x:c r="H389" s="20">
        <x:v>600</x:v>
      </x:c>
      <x:c r="I389" s="21"/>
      <x:c r="J389" s="23">
        <x:v>150.5</x:v>
      </x:c>
      <x:c r="K389" s="23">
        <x:v>15298.32</x:v>
      </x:c>
      <x:c r="L389" s="23">
        <x:v>93.5</x:v>
      </x:c>
    </x:row>
    <x:row r="390">
      <x:c r="A390" s="18" t="s">
        <x:v>1019</x:v>
      </x:c>
      <x:c r="B390" s="19" t="s">
        <x:v>1020</x:v>
      </x:c>
      <x:c r="C390" s="20">
        <x:v>40169330</x:v>
      </x:c>
      <x:c r="D390" s="20">
        <x:v>3150</x:v>
      </x:c>
      <x:c r="E390" s="18" t="s">
        <x:v>227</x:v>
      </x:c>
      <x:c r="F390" s="19" t="s">
        <x:v>41</x:v>
      </x:c>
      <x:c r="G390" s="20">
        <x:v>48</x:v>
      </x:c>
      <x:c r="H390" s="20">
        <x:v>8.5</x:v>
      </x:c>
      <x:c r="I390" s="26" t="s">
        <x:v>272</x:v>
      </x:c>
      <x:c r="J390" s="22">
        <x:v>0</x:v>
      </x:c>
      <x:c r="K390" s="22">
        <x:v>0</x:v>
      </x:c>
      <x:c r="L390" s="23">
        <x:v>0</x:v>
      </x:c>
    </x:row>
    <x:row r="391">
      <x:c r="A391" s="18" t="s">
        <x:v>1021</x:v>
      </x:c>
      <x:c r="B391" s="19" t="s">
        <x:v>1022</x:v>
      </x:c>
      <x:c r="C391" s="20">
        <x:v>85437099</x:v>
      </x:c>
      <x:c r="D391" s="20">
        <x:v>79.03</x:v>
      </x:c>
      <x:c r="E391" s="18" t="s">
        <x:v>227</x:v>
      </x:c>
      <x:c r="F391" s="19" t="s">
        <x:v>11</x:v>
      </x:c>
      <x:c r="G391" s="20">
        <x:v>650</x:v>
      </x:c>
      <x:c r="H391" s="21"/>
      <x:c r="I391" s="26" t="s">
        <x:v>233</x:v>
      </x:c>
      <x:c r="J391" s="23">
        <x:v>413</x:v>
      </x:c>
      <x:c r="K391" s="23">
        <x:v>268450</x:v>
      </x:c>
      <x:c r="L391" s="23">
        <x:v>209</x:v>
      </x:c>
    </x:row>
    <x:row r="392">
      <x:c r="A392" s="18" t="s">
        <x:v>1023</x:v>
      </x:c>
      <x:c r="B392" s="19" t="s">
        <x:v>1024</x:v>
      </x:c>
      <x:c r="C392" s="20">
        <x:v>83024110</x:v>
      </x:c>
      <x:c r="D392" s="20">
        <x:v>12500</x:v>
      </x:c>
      <x:c r="E392" s="18" t="s">
        <x:v>227</x:v>
      </x:c>
      <x:c r="F392" s="19" t="s">
        <x:v>82</x:v>
      </x:c>
      <x:c r="G392" s="20">
        <x:v>0</x:v>
      </x:c>
      <x:c r="H392" s="20">
        <x:v>2</x:v>
      </x:c>
      <x:c r="I392" s="21"/>
      <x:c r="J392" s="23">
        <x:v>18</x:v>
      </x:c>
      <x:c r="K392" s="23">
        <x:v>14051.61</x:v>
      </x:c>
      <x:c r="L392" s="23">
        <x:v>18</x:v>
      </x:c>
    </x:row>
    <x:row r="393">
      <x:c r="A393" s="18" t="s">
        <x:v>1025</x:v>
      </x:c>
      <x:c r="B393" s="19" t="s">
        <x:v>1026</x:v>
      </x:c>
      <x:c r="C393" s="20">
        <x:v>83024110</x:v>
      </x:c>
      <x:c r="D393" s="20">
        <x:v>2.7</x:v>
      </x:c>
      <x:c r="E393" s="18" t="s">
        <x:v>227</x:v>
      </x:c>
      <x:c r="F393" s="19" t="s">
        <x:v>11</x:v>
      </x:c>
      <x:c r="G393" s="20">
        <x:v>0</x:v>
      </x:c>
      <x:c r="H393" s="20">
        <x:v>9232.5</x:v>
      </x:c>
      <x:c r="I393" s="21"/>
      <x:c r="J393" s="23">
        <x:v>17</x:v>
      </x:c>
      <x:c r="K393" s="23">
        <x:v>13264.93</x:v>
      </x:c>
      <x:c r="L393" s="23">
        <x:v>17</x:v>
      </x:c>
    </x:row>
    <x:row r="394">
      <x:c r="A394" s="18" t="s">
        <x:v>1027</x:v>
      </x:c>
      <x:c r="B394" s="19" t="s">
        <x:v>1028</x:v>
      </x:c>
      <x:c r="C394" s="20">
        <x:v>83024110</x:v>
      </x:c>
      <x:c r="D394" s="20">
        <x:v>128.4</x:v>
      </x:c>
      <x:c r="E394" s="18" t="s">
        <x:v>227</x:v>
      </x:c>
      <x:c r="F394" s="19" t="s">
        <x:v>11</x:v>
      </x:c>
      <x:c r="G394" s="20">
        <x:v>0</x:v>
      </x:c>
      <x:c r="H394" s="20">
        <x:v>193</x:v>
      </x:c>
      <x:c r="I394" s="21"/>
      <x:c r="J394" s="23">
        <x:v>6</x:v>
      </x:c>
      <x:c r="K394" s="23">
        <x:v>5389.62</x:v>
      </x:c>
      <x:c r="L394" s="23">
        <x:v>0</x:v>
      </x:c>
    </x:row>
    <x:row r="395">
      <x:c r="A395" s="18" t="s">
        <x:v>1029</x:v>
      </x:c>
      <x:c r="B395" s="19" t="s">
        <x:v>1030</x:v>
      </x:c>
      <x:c r="C395" s="20">
        <x:v>83024110</x:v>
      </x:c>
      <x:c r="D395" s="20">
        <x:v>2.1</x:v>
      </x:c>
      <x:c r="E395" s="18" t="s">
        <x:v>227</x:v>
      </x:c>
      <x:c r="F395" s="19" t="s">
        <x:v>11</x:v>
      </x:c>
      <x:c r="G395" s="20">
        <x:v>0</x:v>
      </x:c>
      <x:c r="H395" s="20">
        <x:v>11725</x:v>
      </x:c>
      <x:c r="I395" s="21"/>
      <x:c r="J395" s="22">
        <x:v>0</x:v>
      </x:c>
      <x:c r="K395" s="22">
        <x:v>0</x:v>
      </x:c>
      <x:c r="L395" s="23">
        <x:v>0</x:v>
      </x:c>
    </x:row>
    <x:row r="396">
      <x:c r="A396" s="18" t="s">
        <x:v>1031</x:v>
      </x:c>
      <x:c r="B396" s="19" t="s">
        <x:v>1032</x:v>
      </x:c>
      <x:c r="C396" s="20">
        <x:v>83024110</x:v>
      </x:c>
      <x:c r="D396" s="20">
        <x:v>433.5</x:v>
      </x:c>
      <x:c r="E396" s="18" t="s">
        <x:v>227</x:v>
      </x:c>
      <x:c r="F396" s="19" t="s">
        <x:v>82</x:v>
      </x:c>
      <x:c r="G396" s="20">
        <x:v>656.4</x:v>
      </x:c>
      <x:c r="H396" s="21"/>
      <x:c r="I396" s="26" t="s">
        <x:v>858</x:v>
      </x:c>
      <x:c r="J396" s="23">
        <x:v>23</x:v>
      </x:c>
      <x:c r="K396" s="23">
        <x:v>13686.15</x:v>
      </x:c>
      <x:c r="L396" s="23">
        <x:v>12</x:v>
      </x:c>
    </x:row>
    <x:row r="397">
      <x:c r="A397" s="18" t="s">
        <x:v>1033</x:v>
      </x:c>
      <x:c r="B397" s="19" t="s">
        <x:v>1034</x:v>
      </x:c>
      <x:c r="C397" s="20">
        <x:v>84242000</x:v>
      </x:c>
      <x:c r="D397" s="20">
        <x:v>24</x:v>
      </x:c>
      <x:c r="E397" s="18" t="s">
        <x:v>227</x:v>
      </x:c>
      <x:c r="F397" s="19" t="s">
        <x:v>11</x:v>
      </x:c>
      <x:c r="G397" s="20">
        <x:v>0</x:v>
      </x:c>
      <x:c r="H397" s="20">
        <x:v>897.25</x:v>
      </x:c>
      <x:c r="I397" s="21"/>
      <x:c r="J397" s="22">
        <x:v>0</x:v>
      </x:c>
      <x:c r="K397" s="22">
        <x:v>0</x:v>
      </x:c>
      <x:c r="L397" s="23">
        <x:v>0</x:v>
      </x:c>
    </x:row>
    <x:row r="398">
      <x:c r="A398" s="18" t="s">
        <x:v>1035</x:v>
      </x:c>
      <x:c r="B398" s="19" t="s">
        <x:v>139</x:v>
      </x:c>
      <x:c r="C398" s="20">
        <x:v>83024200</x:v>
      </x:c>
      <x:c r="D398" s="20">
        <x:v>1.1599999999999999</x:v>
      </x:c>
      <x:c r="E398" s="18" t="s">
        <x:v>227</x:v>
      </x:c>
      <x:c r="F398" s="19" t="s">
        <x:v>82</x:v>
      </x:c>
      <x:c r="G398" s="20">
        <x:v>8088</x:v>
      </x:c>
      <x:c r="H398" s="20">
        <x:v>17878</x:v>
      </x:c>
      <x:c r="I398" s="26" t="s">
        <x:v>1036</x:v>
      </x:c>
      <x:c r="J398" s="23">
        <x:v>3</x:v>
      </x:c>
      <x:c r="K398" s="23">
        <x:v>7382.87</x:v>
      </x:c>
      <x:c r="L398" s="23">
        <x:v>2</x:v>
      </x:c>
    </x:row>
    <x:row r="399">
      <x:c r="A399" s="18" t="s">
        <x:v>1037</x:v>
      </x:c>
      <x:c r="B399" s="19" t="s">
        <x:v>136</x:v>
      </x:c>
      <x:c r="C399" s="20">
        <x:v>83024200</x:v>
      </x:c>
      <x:c r="D399" s="20">
        <x:v>3.1</x:v>
      </x:c>
      <x:c r="E399" s="18" t="s">
        <x:v>227</x:v>
      </x:c>
      <x:c r="F399" s="19" t="s">
        <x:v>82</x:v>
      </x:c>
      <x:c r="G399" s="20">
        <x:v>6627</x:v>
      </x:c>
      <x:c r="H399" s="20">
        <x:v>6533.8</x:v>
      </x:c>
      <x:c r="I399" s="26" t="s">
        <x:v>1036</x:v>
      </x:c>
      <x:c r="J399" s="23">
        <x:v>4</x:v>
      </x:c>
      <x:c r="K399" s="23">
        <x:v>8770.9699999999993</x:v>
      </x:c>
      <x:c r="L399" s="23">
        <x:v>-2</x:v>
      </x:c>
    </x:row>
    <x:row r="400">
      <x:c r="A400" s="18" t="s">
        <x:v>1038</x:v>
      </x:c>
      <x:c r="B400" s="19" t="s">
        <x:v>1039</x:v>
      </x:c>
      <x:c r="C400" s="20">
        <x:v>83024200</x:v>
      </x:c>
      <x:c r="D400" s="20">
        <x:v>13005</x:v>
      </x:c>
      <x:c r="E400" s="18" t="s">
        <x:v>227</x:v>
      </x:c>
      <x:c r="F400" s="19" t="s">
        <x:v>11</x:v>
      </x:c>
      <x:c r="G400" s="20">
        <x:v>0</x:v>
      </x:c>
      <x:c r="H400" s="20">
        <x:v>1.5</x:v>
      </x:c>
      <x:c r="I400" s="21"/>
      <x:c r="J400" s="23">
        <x:v>1</x:v>
      </x:c>
      <x:c r="K400" s="23">
        <x:v>43401</x:v>
      </x:c>
      <x:c r="L400" s="23">
        <x:v>1</x:v>
      </x:c>
    </x:row>
    <x:row r="401">
      <x:c r="A401" s="18" t="s">
        <x:v>1040</x:v>
      </x:c>
      <x:c r="B401" s="19" t="s">
        <x:v>1041</x:v>
      </x:c>
      <x:c r="C401" s="20">
        <x:v>83024200</x:v>
      </x:c>
      <x:c r="D401" s="20">
        <x:v>6170</x:v>
      </x:c>
      <x:c r="E401" s="18" t="s">
        <x:v>227</x:v>
      </x:c>
      <x:c r="F401" s="19" t="s">
        <x:v>82</x:v>
      </x:c>
      <x:c r="G401" s="20">
        <x:v>0</x:v>
      </x:c>
      <x:c r="H401" s="20">
        <x:v>3</x:v>
      </x:c>
      <x:c r="I401" s="21"/>
      <x:c r="J401" s="22">
        <x:v>0</x:v>
      </x:c>
      <x:c r="K401" s="22">
        <x:v>0</x:v>
      </x:c>
      <x:c r="L401" s="23">
        <x:v>0</x:v>
      </x:c>
    </x:row>
    <x:row r="402">
      <x:c r="A402" s="18" t="s">
        <x:v>1042</x:v>
      </x:c>
      <x:c r="B402" s="19" t="s">
        <x:v>140</x:v>
      </x:c>
      <x:c r="C402" s="20">
        <x:v>83024200</x:v>
      </x:c>
      <x:c r="D402" s="20">
        <x:v>0.57999999999999996</x:v>
      </x:c>
      <x:c r="E402" s="18" t="s">
        <x:v>227</x:v>
      </x:c>
      <x:c r="F402" s="19" t="s">
        <x:v>82</x:v>
      </x:c>
      <x:c r="G402" s="20">
        <x:v>0</x:v>
      </x:c>
      <x:c r="H402" s="21"/>
      <x:c r="I402" s="21"/>
      <x:c r="J402" s="22">
        <x:v>0</x:v>
      </x:c>
      <x:c r="K402" s="22">
        <x:v>0</x:v>
      </x:c>
      <x:c r="L402" s="23">
        <x:v>0</x:v>
      </x:c>
    </x:row>
    <x:row r="403">
      <x:c r="A403" s="18" t="s">
        <x:v>1043</x:v>
      </x:c>
      <x:c r="B403" s="19" t="s">
        <x:v>1044</x:v>
      </x:c>
      <x:c r="C403" s="20">
        <x:v>83024200</x:v>
      </x:c>
      <x:c r="D403" s="20">
        <x:v>36.380000000000003</x:v>
      </x:c>
      <x:c r="E403" s="18" t="s">
        <x:v>227</x:v>
      </x:c>
      <x:c r="F403" s="19" t="s">
        <x:v>11</x:v>
      </x:c>
      <x:c r="G403" s="20">
        <x:v>1637.5</x:v>
      </x:c>
      <x:c r="H403" s="20">
        <x:v>483</x:v>
      </x:c>
      <x:c r="I403" s="26" t="s">
        <x:v>255</x:v>
      </x:c>
      <x:c r="J403" s="22">
        <x:v>0</x:v>
      </x:c>
      <x:c r="K403" s="22">
        <x:v>0</x:v>
      </x:c>
      <x:c r="L403" s="23">
        <x:v>0</x:v>
      </x:c>
    </x:row>
    <x:row r="404">
      <x:c r="A404" s="18" t="s">
        <x:v>1045</x:v>
      </x:c>
      <x:c r="B404" s="19" t="s">
        <x:v>1046</x:v>
      </x:c>
      <x:c r="C404" s="20">
        <x:v>83024200</x:v>
      </x:c>
      <x:c r="D404" s="20">
        <x:v>80</x:v>
      </x:c>
      <x:c r="E404" s="18" t="s">
        <x:v>227</x:v>
      </x:c>
      <x:c r="F404" s="19" t="s">
        <x:v>11</x:v>
      </x:c>
      <x:c r="G404" s="20">
        <x:v>0</x:v>
      </x:c>
      <x:c r="H404" s="20">
        <x:v>212.5</x:v>
      </x:c>
      <x:c r="I404" s="21"/>
      <x:c r="J404" s="22">
        <x:v>0</x:v>
      </x:c>
      <x:c r="K404" s="22">
        <x:v>0</x:v>
      </x:c>
      <x:c r="L404" s="23">
        <x:v>0</x:v>
      </x:c>
    </x:row>
    <x:row r="405">
      <x:c r="A405" s="18" t="s">
        <x:v>1047</x:v>
      </x:c>
      <x:c r="B405" s="19" t="s">
        <x:v>1048</x:v>
      </x:c>
      <x:c r="C405" s="20">
        <x:v>83024200</x:v>
      </x:c>
      <x:c r="D405" s="20">
        <x:v>11260.13</x:v>
      </x:c>
      <x:c r="E405" s="18" t="s">
        <x:v>227</x:v>
      </x:c>
      <x:c r="F405" s="19" t="s">
        <x:v>82</x:v>
      </x:c>
      <x:c r="G405" s="20">
        <x:v>0</x:v>
      </x:c>
      <x:c r="H405" s="20">
        <x:v>1.5</x:v>
      </x:c>
      <x:c r="I405" s="21"/>
      <x:c r="J405" s="22">
        <x:v>0</x:v>
      </x:c>
      <x:c r="K405" s="22">
        <x:v>0</x:v>
      </x:c>
      <x:c r="L405" s="23">
        <x:v>0</x:v>
      </x:c>
    </x:row>
    <x:row r="406">
      <x:c r="A406" s="18" t="s">
        <x:v>1049</x:v>
      </x:c>
      <x:c r="B406" s="19" t="s">
        <x:v>1050</x:v>
      </x:c>
      <x:c r="C406" s="20">
        <x:v>83024200</x:v>
      </x:c>
      <x:c r="D406" s="20">
        <x:v>50.85</x:v>
      </x:c>
      <x:c r="E406" s="18" t="s">
        <x:v>227</x:v>
      </x:c>
      <x:c r="F406" s="19" t="s">
        <x:v>82</x:v>
      </x:c>
      <x:c r="G406" s="20">
        <x:v>3630.8</x:v>
      </x:c>
      <x:c r="H406" s="20">
        <x:v>308.75</x:v>
      </x:c>
      <x:c r="I406" s="26" t="s">
        <x:v>1051</x:v>
      </x:c>
      <x:c r="J406" s="22">
        <x:v>0</x:v>
      </x:c>
      <x:c r="K406" s="22">
        <x:v>0</x:v>
      </x:c>
      <x:c r="L406" s="23">
        <x:v>0</x:v>
      </x:c>
    </x:row>
    <x:row r="407">
      <x:c r="A407" s="18" t="s">
        <x:v>1052</x:v>
      </x:c>
      <x:c r="B407" s="19" t="s">
        <x:v>1053</x:v>
      </x:c>
      <x:c r="C407" s="20">
        <x:v>83024200</x:v>
      </x:c>
      <x:c r="D407" s="20">
        <x:v>121.94</x:v>
      </x:c>
      <x:c r="E407" s="18" t="s">
        <x:v>227</x:v>
      </x:c>
      <x:c r="F407" s="19" t="s">
        <x:v>82</x:v>
      </x:c>
      <x:c r="G407" s="20">
        <x:v>4055.4</x:v>
      </x:c>
      <x:c r="H407" s="21"/>
      <x:c r="I407" s="26" t="s">
        <x:v>1051</x:v>
      </x:c>
      <x:c r="J407" s="22">
        <x:v>0</x:v>
      </x:c>
      <x:c r="K407" s="22">
        <x:v>0</x:v>
      </x:c>
      <x:c r="L407" s="23">
        <x:v>12</x:v>
      </x:c>
    </x:row>
    <x:row r="408">
      <x:c r="A408" s="18" t="s">
        <x:v>1054</x:v>
      </x:c>
      <x:c r="B408" s="19" t="s">
        <x:v>1055</x:v>
      </x:c>
      <x:c r="C408" s="20">
        <x:v>83024200</x:v>
      </x:c>
      <x:c r="D408" s="20">
        <x:v>115</x:v>
      </x:c>
      <x:c r="E408" s="18" t="s">
        <x:v>227</x:v>
      </x:c>
      <x:c r="F408" s="19" t="s">
        <x:v>82</x:v>
      </x:c>
      <x:c r="G408" s="20">
        <x:v>0</x:v>
      </x:c>
      <x:c r="H408" s="20">
        <x:v>132</x:v>
      </x:c>
      <x:c r="I408" s="21"/>
      <x:c r="J408" s="22">
        <x:v>0</x:v>
      </x:c>
      <x:c r="K408" s="22">
        <x:v>0</x:v>
      </x:c>
      <x:c r="L408" s="23">
        <x:v>0</x:v>
      </x:c>
    </x:row>
    <x:row r="409">
      <x:c r="A409" s="18" t="s">
        <x:v>1056</x:v>
      </x:c>
      <x:c r="B409" s="19" t="s">
        <x:v>1057</x:v>
      </x:c>
      <x:c r="C409" s="20">
        <x:v>83024200</x:v>
      </x:c>
      <x:c r="D409" s="20">
        <x:v>54.71</x:v>
      </x:c>
      <x:c r="E409" s="18" t="s">
        <x:v>227</x:v>
      </x:c>
      <x:c r="F409" s="19" t="s">
        <x:v>82</x:v>
      </x:c>
      <x:c r="G409" s="20">
        <x:v>2750.5</x:v>
      </x:c>
      <x:c r="H409" s="21"/>
      <x:c r="I409" s="26" t="s">
        <x:v>1051</x:v>
      </x:c>
      <x:c r="J409" s="23">
        <x:v>256</x:v>
      </x:c>
      <x:c r="K409" s="23">
        <x:v>240092.83</x:v>
      </x:c>
      <x:c r="L409" s="23">
        <x:v>184</x:v>
      </x:c>
    </x:row>
    <x:row r="410">
      <x:c r="A410" s="18" t="s">
        <x:v>1058</x:v>
      </x:c>
      <x:c r="B410" s="19" t="s">
        <x:v>1059</x:v>
      </x:c>
      <x:c r="C410" s="20">
        <x:v>83024200</x:v>
      </x:c>
      <x:c r="D410" s="20">
        <x:v>130</x:v>
      </x:c>
      <x:c r="E410" s="18" t="s">
        <x:v>227</x:v>
      </x:c>
      <x:c r="F410" s="19" t="s">
        <x:v>82</x:v>
      </x:c>
      <x:c r="G410" s="20">
        <x:v>0</x:v>
      </x:c>
      <x:c r="H410" s="20">
        <x:v>104.75</x:v>
      </x:c>
      <x:c r="I410" s="21"/>
      <x:c r="J410" s="23">
        <x:v>1138</x:v>
      </x:c>
      <x:c r="K410" s="23">
        <x:v>1367619.54</x:v>
      </x:c>
      <x:c r="L410" s="23">
        <x:v>410</x:v>
      </x:c>
    </x:row>
    <x:row r="411">
      <x:c r="A411" s="18" t="s">
        <x:v>1060</x:v>
      </x:c>
      <x:c r="B411" s="19" t="s">
        <x:v>1061</x:v>
      </x:c>
      <x:c r="C411" s="20">
        <x:v>83024200</x:v>
      </x:c>
      <x:c r="D411" s="20">
        <x:v>100</x:v>
      </x:c>
      <x:c r="E411" s="18" t="s">
        <x:v>227</x:v>
      </x:c>
      <x:c r="F411" s="19" t="s">
        <x:v>82</x:v>
      </x:c>
      <x:c r="G411" s="20">
        <x:v>0</x:v>
      </x:c>
      <x:c r="H411" s="20">
        <x:v>124.75</x:v>
      </x:c>
      <x:c r="I411" s="21"/>
      <x:c r="J411" s="23">
        <x:v>405</x:v>
      </x:c>
      <x:c r="K411" s="23">
        <x:v>335245.90999999997</x:v>
      </x:c>
      <x:c r="L411" s="23">
        <x:v>103</x:v>
      </x:c>
    </x:row>
    <x:row r="412">
      <x:c r="A412" s="18" t="s">
        <x:v>1062</x:v>
      </x:c>
      <x:c r="B412" s="19" t="s">
        <x:v>1063</x:v>
      </x:c>
      <x:c r="C412" s="20">
        <x:v>83024200</x:v>
      </x:c>
      <x:c r="D412" s="20">
        <x:v>3555</x:v>
      </x:c>
      <x:c r="E412" s="18" t="s">
        <x:v>227</x:v>
      </x:c>
      <x:c r="F412" s="19" t="s">
        <x:v>82</x:v>
      </x:c>
      <x:c r="G412" s="20">
        <x:v>2194.1999999999998</x:v>
      </x:c>
      <x:c r="H412" s="20">
        <x:v>3.25</x:v>
      </x:c>
      <x:c r="I412" s="26" t="s">
        <x:v>1051</x:v>
      </x:c>
      <x:c r="J412" s="23">
        <x:v>300</x:v>
      </x:c>
      <x:c r="K412" s="23">
        <x:v>351901.18</x:v>
      </x:c>
      <x:c r="L412" s="23">
        <x:v>136</x:v>
      </x:c>
    </x:row>
    <x:row r="413">
      <x:c r="A413" s="18" t="s">
        <x:v>1064</x:v>
      </x:c>
      <x:c r="B413" s="19" t="s">
        <x:v>1065</x:v>
      </x:c>
      <x:c r="C413" s="20">
        <x:v>70099200</x:v>
      </x:c>
      <x:c r="D413" s="20">
        <x:v>696.19</x:v>
      </x:c>
      <x:c r="E413" s="18" t="s">
        <x:v>227</x:v>
      </x:c>
      <x:c r="F413" s="19" t="s">
        <x:v>11</x:v>
      </x:c>
      <x:c r="G413" s="20">
        <x:v>0</x:v>
      </x:c>
      <x:c r="H413" s="20">
        <x:v>150</x:v>
      </x:c>
      <x:c r="I413" s="21"/>
      <x:c r="J413" s="23">
        <x:v>3</x:v>
      </x:c>
      <x:c r="K413" s="23">
        <x:v>10773</x:v>
      </x:c>
      <x:c r="L413" s="23">
        <x:v>2</x:v>
      </x:c>
    </x:row>
    <x:row r="414">
      <x:c r="A414" s="18" t="s">
        <x:v>1066</x:v>
      </x:c>
      <x:c r="B414" s="19" t="s">
        <x:v>1067</x:v>
      </x:c>
      <x:c r="C414" s="20">
        <x:v>84592990</x:v>
      </x:c>
      <x:c r="D414" s="20">
        <x:v>79.650000000000006</x:v>
      </x:c>
      <x:c r="E414" s="18" t="s">
        <x:v>227</x:v>
      </x:c>
      <x:c r="F414" s="19" t="s">
        <x:v>11</x:v>
      </x:c>
      <x:c r="G414" s="20">
        <x:v>0</x:v>
      </x:c>
      <x:c r="H414" s="20">
        <x:v>144</x:v>
      </x:c>
      <x:c r="I414" s="21"/>
      <x:c r="J414" s="22">
        <x:v>0</x:v>
      </x:c>
      <x:c r="K414" s="22">
        <x:v>0</x:v>
      </x:c>
      <x:c r="L414" s="23">
        <x:v>0</x:v>
      </x:c>
    </x:row>
    <x:row r="415">
      <x:c r="A415" s="18" t="s">
        <x:v>1068</x:v>
      </x:c>
      <x:c r="B415" s="19" t="s">
        <x:v>1069</x:v>
      </x:c>
      <x:c r="C415" s="20">
        <x:v>73239390</x:v>
      </x:c>
      <x:c r="D415" s="20">
        <x:v>2375</x:v>
      </x:c>
      <x:c r="E415" s="18" t="s">
        <x:v>227</x:v>
      </x:c>
      <x:c r="F415" s="19" t="s">
        <x:v>11</x:v>
      </x:c>
      <x:c r="G415" s="20">
        <x:v>0</x:v>
      </x:c>
      <x:c r="H415" s="20">
        <x:v>4.75</x:v>
      </x:c>
      <x:c r="I415" s="21"/>
      <x:c r="J415" s="22">
        <x:v>0</x:v>
      </x:c>
      <x:c r="K415" s="22">
        <x:v>0</x:v>
      </x:c>
      <x:c r="L415" s="23">
        <x:v>0</x:v>
      </x:c>
    </x:row>
    <x:row r="416">
      <x:c r="A416" s="18" t="s">
        <x:v>1070</x:v>
      </x:c>
      <x:c r="B416" s="19" t="s">
        <x:v>1071</x:v>
      </x:c>
      <x:c r="C416" s="20">
        <x:v>83024200</x:v>
      </x:c>
      <x:c r="D416" s="20">
        <x:v>88</x:v>
      </x:c>
      <x:c r="E416" s="18" t="s">
        <x:v>227</x:v>
      </x:c>
      <x:c r="F416" s="19" t="s">
        <x:v>82</x:v>
      </x:c>
      <x:c r="G416" s="20">
        <x:v>0</x:v>
      </x:c>
      <x:c r="H416" s="20">
        <x:v>122.5</x:v>
      </x:c>
      <x:c r="I416" s="21"/>
      <x:c r="J416" s="22">
        <x:v>0</x:v>
      </x:c>
      <x:c r="K416" s="22">
        <x:v>0</x:v>
      </x:c>
      <x:c r="L416" s="23">
        <x:v>0</x:v>
      </x:c>
    </x:row>
    <x:row r="417">
      <x:c r="A417" s="18" t="s">
        <x:v>1072</x:v>
      </x:c>
      <x:c r="B417" s="19" t="s">
        <x:v>1073</x:v>
      </x:c>
      <x:c r="C417" s="20">
        <x:v>83024200</x:v>
      </x:c>
      <x:c r="D417" s="20">
        <x:v>467.5</x:v>
      </x:c>
      <x:c r="E417" s="18" t="s">
        <x:v>227</x:v>
      </x:c>
      <x:c r="F417" s="19" t="s">
        <x:v>82</x:v>
      </x:c>
      <x:c r="G417" s="20">
        <x:v>0</x:v>
      </x:c>
      <x:c r="H417" s="20">
        <x:v>22.75</x:v>
      </x:c>
      <x:c r="I417" s="21"/>
      <x:c r="J417" s="23">
        <x:v>19</x:v>
      </x:c>
      <x:c r="K417" s="23">
        <x:v>38405.65</x:v>
      </x:c>
      <x:c r="L417" s="23">
        <x:v>19</x:v>
      </x:c>
    </x:row>
    <x:row r="418">
      <x:c r="A418" s="18" t="s">
        <x:v>1074</x:v>
      </x:c>
      <x:c r="B418" s="19" t="s">
        <x:v>1075</x:v>
      </x:c>
      <x:c r="C418" s="20">
        <x:v>83024200</x:v>
      </x:c>
      <x:c r="D418" s="20">
        <x:v>59</x:v>
      </x:c>
      <x:c r="E418" s="18" t="s">
        <x:v>227</x:v>
      </x:c>
      <x:c r="F418" s="19" t="s">
        <x:v>82</x:v>
      </x:c>
      <x:c r="G418" s="20">
        <x:v>0</x:v>
      </x:c>
      <x:c r="H418" s="21"/>
      <x:c r="I418" s="21"/>
      <x:c r="J418" s="23">
        <x:v>16</x:v>
      </x:c>
      <x:c r="K418" s="23">
        <x:v>25567.68</x:v>
      </x:c>
      <x:c r="L418" s="23">
        <x:v>16</x:v>
      </x:c>
    </x:row>
    <x:row r="419">
      <x:c r="A419" s="18" t="s">
        <x:v>1076</x:v>
      </x:c>
      <x:c r="B419" s="19" t="s">
        <x:v>1077</x:v>
      </x:c>
      <x:c r="C419" s="20">
        <x:v>83024200</x:v>
      </x:c>
      <x:c r="D419" s="20">
        <x:v>937.86</x:v>
      </x:c>
      <x:c r="E419" s="18" t="s">
        <x:v>227</x:v>
      </x:c>
      <x:c r="F419" s="19" t="s">
        <x:v>82</x:v>
      </x:c>
      <x:c r="G419" s="20">
        <x:v>0</x:v>
      </x:c>
      <x:c r="H419" s="20">
        <x:v>11</x:v>
      </x:c>
      <x:c r="I419" s="21"/>
      <x:c r="J419" s="23">
        <x:v>20</x:v>
      </x:c>
      <x:c r="K419" s="23">
        <x:v>39558.080000000002</x:v>
      </x:c>
      <x:c r="L419" s="23">
        <x:v>20</x:v>
      </x:c>
    </x:row>
    <x:row r="420">
      <x:c r="A420" s="18" t="s">
        <x:v>1078</x:v>
      </x:c>
      <x:c r="B420" s="19" t="s">
        <x:v>1079</x:v>
      </x:c>
      <x:c r="C420" s="20">
        <x:v>83024200</x:v>
      </x:c>
      <x:c r="D420" s="20">
        <x:v>5.5</x:v>
      </x:c>
      <x:c r="E420" s="18" t="s">
        <x:v>227</x:v>
      </x:c>
      <x:c r="F420" s="19" t="s">
        <x:v>82</x:v>
      </x:c>
      <x:c r="G420" s="20">
        <x:v>0</x:v>
      </x:c>
      <x:c r="H420" s="20">
        <x:v>1847.5</x:v>
      </x:c>
      <x:c r="I420" s="21"/>
      <x:c r="J420" s="23">
        <x:v>4</x:v>
      </x:c>
      <x:c r="K420" s="23">
        <x:v>9985.6</x:v>
      </x:c>
      <x:c r="L420" s="23">
        <x:v>4</x:v>
      </x:c>
    </x:row>
    <x:row r="421">
      <x:c r="A421" s="18" t="s">
        <x:v>1080</x:v>
      </x:c>
      <x:c r="B421" s="19" t="s">
        <x:v>1081</x:v>
      </x:c>
      <x:c r="C421" s="20">
        <x:v>39203090</x:v>
      </x:c>
      <x:c r="D421" s="20">
        <x:v>11</x:v>
      </x:c>
      <x:c r="E421" s="18" t="s">
        <x:v>227</x:v>
      </x:c>
      <x:c r="F421" s="19" t="s">
        <x:v>41</x:v>
      </x:c>
      <x:c r="G421" s="20">
        <x:v>6.11</x:v>
      </x:c>
      <x:c r="H421" s="20">
        <x:v>902</x:v>
      </x:c>
      <x:c r="I421" s="26" t="s">
        <x:v>1082</x:v>
      </x:c>
      <x:c r="J421" s="23">
        <x:v>7933</x:v>
      </x:c>
      <x:c r="K421" s="23">
        <x:v>43631.5</x:v>
      </x:c>
      <x:c r="L421" s="23">
        <x:v>16518</x:v>
      </x:c>
    </x:row>
    <x:row r="422">
      <x:c r="A422" s="18" t="s">
        <x:v>1083</x:v>
      </x:c>
      <x:c r="B422" s="19" t="s">
        <x:v>1084</x:v>
      </x:c>
      <x:c r="C422" s="20">
        <x:v>39203090</x:v>
      </x:c>
      <x:c r="D422" s="20">
        <x:v>155</x:v>
      </x:c>
      <x:c r="E422" s="18" t="s">
        <x:v>227</x:v>
      </x:c>
      <x:c r="F422" s="19" t="s">
        <x:v>41</x:v>
      </x:c>
      <x:c r="G422" s="20">
        <x:v>6.11</x:v>
      </x:c>
      <x:c r="H422" s="20">
        <x:v>63.5</x:v>
      </x:c>
      <x:c r="I422" s="26" t="s">
        <x:v>1082</x:v>
      </x:c>
      <x:c r="J422" s="23">
        <x:v>39266</x:v>
      </x:c>
      <x:c r="K422" s="23">
        <x:v>215963</x:v>
      </x:c>
      <x:c r="L422" s="23">
        <x:v>18288</x:v>
      </x:c>
    </x:row>
    <x:row r="423">
      <x:c r="A423" s="18" t="s">
        <x:v>1085</x:v>
      </x:c>
      <x:c r="B423" s="19" t="s">
        <x:v>1086</x:v>
      </x:c>
      <x:c r="C423" s="20">
        <x:v>39203090</x:v>
      </x:c>
      <x:c r="D423" s="20">
        <x:v>155</x:v>
      </x:c>
      <x:c r="E423" s="18" t="s">
        <x:v>227</x:v>
      </x:c>
      <x:c r="F423" s="19" t="s">
        <x:v>41</x:v>
      </x:c>
      <x:c r="G423" s="20">
        <x:v>6.11</x:v>
      </x:c>
      <x:c r="H423" s="20">
        <x:v>63.25</x:v>
      </x:c>
      <x:c r="I423" s="26" t="s">
        <x:v>1082</x:v>
      </x:c>
      <x:c r="J423" s="23">
        <x:v>34186</x:v>
      </x:c>
      <x:c r="K423" s="23">
        <x:v>188023</x:v>
      </x:c>
      <x:c r="L423" s="23">
        <x:v>8300</x:v>
      </x:c>
    </x:row>
    <x:row r="424">
      <x:c r="A424" s="18" t="s">
        <x:v>1087</x:v>
      </x:c>
      <x:c r="B424" s="19" t="s">
        <x:v>1088</x:v>
      </x:c>
      <x:c r="C424" s="20">
        <x:v>39203090</x:v>
      </x:c>
      <x:c r="D424" s="20">
        <x:v>12500</x:v>
      </x:c>
      <x:c r="E424" s="18" t="s">
        <x:v>227</x:v>
      </x:c>
      <x:c r="F424" s="19" t="s">
        <x:v>41</x:v>
      </x:c>
      <x:c r="G424" s="20">
        <x:v>0</x:v>
      </x:c>
      <x:c r="H424" s="20">
        <x:v>0.75</x:v>
      </x:c>
      <x:c r="I424" s="21"/>
      <x:c r="J424" s="22">
        <x:v>0</x:v>
      </x:c>
      <x:c r="K424" s="22">
        <x:v>0</x:v>
      </x:c>
      <x:c r="L424" s="23">
        <x:v>4200</x:v>
      </x:c>
    </x:row>
    <x:row r="425">
      <x:c r="A425" s="18" t="s">
        <x:v>1089</x:v>
      </x:c>
      <x:c r="B425" s="19" t="s">
        <x:v>1090</x:v>
      </x:c>
      <x:c r="C425" s="20">
        <x:v>84642010</x:v>
      </x:c>
      <x:c r="D425" s="20">
        <x:v>77</x:v>
      </x:c>
      <x:c r="E425" s="18" t="s">
        <x:v>227</x:v>
      </x:c>
      <x:c r="F425" s="19" t="s">
        <x:v>87</x:v>
      </x:c>
      <x:c r="G425" s="20">
        <x:v>0</x:v>
      </x:c>
      <x:c r="H425" s="20">
        <x:v>118.75</x:v>
      </x:c>
      <x:c r="I425" s="21"/>
      <x:c r="J425" s="22">
        <x:v>0</x:v>
      </x:c>
      <x:c r="K425" s="22">
        <x:v>0</x:v>
      </x:c>
      <x:c r="L425" s="23">
        <x:v>0</x:v>
      </x:c>
    </x:row>
    <x:row r="426">
      <x:c r="A426" s="18" t="s">
        <x:v>1091</x:v>
      </x:c>
      <x:c r="B426" s="19" t="s">
        <x:v>1092</x:v>
      </x:c>
      <x:c r="C426" s="20">
        <x:v>39199090</x:v>
      </x:c>
      <x:c r="D426" s="20">
        <x:v>43.36</x:v>
      </x:c>
      <x:c r="E426" s="18" t="s">
        <x:v>227</x:v>
      </x:c>
      <x:c r="F426" s="19" t="s">
        <x:v>11</x:v>
      </x:c>
      <x:c r="G426" s="20">
        <x:v>10</x:v>
      </x:c>
      <x:c r="H426" s="20">
        <x:v>208.5</x:v>
      </x:c>
      <x:c r="I426" s="26" t="s">
        <x:v>1093</x:v>
      </x:c>
      <x:c r="J426" s="23">
        <x:v>132</x:v>
      </x:c>
      <x:c r="K426" s="23">
        <x:v>1188</x:v>
      </x:c>
      <x:c r="L426" s="23">
        <x:v>131</x:v>
      </x:c>
    </x:row>
    <x:row r="427">
      <x:c r="A427" s="18" t="s">
        <x:v>1094</x:v>
      </x:c>
      <x:c r="B427" s="19" t="s">
        <x:v>1095</x:v>
      </x:c>
      <x:c r="C427" s="20">
        <x:v>39269099</x:v>
      </x:c>
      <x:c r="D427" s="20">
        <x:v>0.5</x:v>
      </x:c>
      <x:c r="E427" s="18" t="s">
        <x:v>227</x:v>
      </x:c>
      <x:c r="F427" s="19" t="s">
        <x:v>11</x:v>
      </x:c>
      <x:c r="G427" s="20">
        <x:v>0</x:v>
      </x:c>
      <x:c r="H427" s="20">
        <x:v>17965</x:v>
      </x:c>
      <x:c r="I427" s="21"/>
      <x:c r="J427" s="22">
        <x:v>0</x:v>
      </x:c>
      <x:c r="K427" s="22">
        <x:v>0</x:v>
      </x:c>
      <x:c r="L427" s="23">
        <x:v>0</x:v>
      </x:c>
    </x:row>
    <x:row r="428">
      <x:c r="A428" s="18" t="s">
        <x:v>1096</x:v>
      </x:c>
      <x:c r="B428" s="19" t="s">
        <x:v>1097</x:v>
      </x:c>
      <x:c r="C428" s="20">
        <x:v>39269099</x:v>
      </x:c>
      <x:c r="D428" s="20">
        <x:v>54.95</x:v>
      </x:c>
      <x:c r="E428" s="18" t="s">
        <x:v>227</x:v>
      </x:c>
      <x:c r="F428" s="19" t="s">
        <x:v>11</x:v>
      </x:c>
      <x:c r="G428" s="20">
        <x:v>0</x:v>
      </x:c>
      <x:c r="H428" s="20">
        <x:v>158</x:v>
      </x:c>
      <x:c r="I428" s="21"/>
      <x:c r="J428" s="23">
        <x:v>468</x:v>
      </x:c>
      <x:c r="K428" s="23">
        <x:v>3744</x:v>
      </x:c>
      <x:c r="L428" s="23">
        <x:v>187</x:v>
      </x:c>
    </x:row>
    <x:row r="429">
      <x:c r="A429" s="18" t="s">
        <x:v>1098</x:v>
      </x:c>
      <x:c r="B429" s="19" t="s">
        <x:v>1099</x:v>
      </x:c>
      <x:c r="C429" s="20">
        <x:v>39269099</x:v>
      </x:c>
      <x:c r="D429" s="20">
        <x:v>50.85</x:v>
      </x:c>
      <x:c r="E429" s="18" t="s">
        <x:v>227</x:v>
      </x:c>
      <x:c r="F429" s="19" t="s">
        <x:v>11</x:v>
      </x:c>
      <x:c r="G429" s="20">
        <x:v>0</x:v>
      </x:c>
      <x:c r="H429" s="20">
        <x:v>162.5</x:v>
      </x:c>
      <x:c r="I429" s="21"/>
      <x:c r="J429" s="23">
        <x:v>754</x:v>
      </x:c>
      <x:c r="K429" s="23">
        <x:v>6032</x:v>
      </x:c>
      <x:c r="L429" s="23">
        <x:v>473</x:v>
      </x:c>
    </x:row>
    <x:row r="430">
      <x:c r="A430" s="18" t="s">
        <x:v>1100</x:v>
      </x:c>
      <x:c r="B430" s="19" t="s">
        <x:v>1101</x:v>
      </x:c>
      <x:c r="C430" s="20">
        <x:v>39269099</x:v>
      </x:c>
      <x:c r="D430" s="20">
        <x:v>1493.94</x:v>
      </x:c>
      <x:c r="E430" s="18" t="s">
        <x:v>227</x:v>
      </x:c>
      <x:c r="F430" s="19" t="s">
        <x:v>11</x:v>
      </x:c>
      <x:c r="G430" s="20">
        <x:v>0</x:v>
      </x:c>
      <x:c r="H430" s="20">
        <x:v>5.5</x:v>
      </x:c>
      <x:c r="I430" s="21"/>
      <x:c r="J430" s="23">
        <x:v>4</x:v>
      </x:c>
      <x:c r="K430" s="23">
        <x:v>1727.44</x:v>
      </x:c>
      <x:c r="L430" s="23">
        <x:v>4</x:v>
      </x:c>
    </x:row>
    <x:row r="431">
      <x:c r="A431" s="18" t="s">
        <x:v>1102</x:v>
      </x:c>
      <x:c r="B431" s="19" t="s">
        <x:v>1103</x:v>
      </x:c>
      <x:c r="C431" s="20">
        <x:v>39269099</x:v>
      </x:c>
      <x:c r="D431" s="20">
        <x:v>13.97</x:v>
      </x:c>
      <x:c r="E431" s="18" t="s">
        <x:v>227</x:v>
      </x:c>
      <x:c r="F431" s="19" t="s">
        <x:v>11</x:v>
      </x:c>
      <x:c r="G431" s="20">
        <x:v>0</x:v>
      </x:c>
      <x:c r="H431" s="20">
        <x:v>579.25</x:v>
      </x:c>
      <x:c r="I431" s="21"/>
      <x:c r="J431" s="23">
        <x:v>9038</x:v>
      </x:c>
      <x:c r="K431" s="23">
        <x:v>339361.64</x:v>
      </x:c>
      <x:c r="L431" s="23">
        <x:v>8882</x:v>
      </x:c>
    </x:row>
    <x:row r="432">
      <x:c r="A432" s="18" t="s">
        <x:v>1104</x:v>
      </x:c>
      <x:c r="B432" s="19" t="s">
        <x:v>1105</x:v>
      </x:c>
      <x:c r="C432" s="20">
        <x:v>39269099</x:v>
      </x:c>
      <x:c r="D432" s="20">
        <x:v>363</x:v>
      </x:c>
      <x:c r="E432" s="18" t="s">
        <x:v>227</x:v>
      </x:c>
      <x:c r="F432" s="19" t="s">
        <x:v>82</x:v>
      </x:c>
      <x:c r="G432" s="20">
        <x:v>6.5</x:v>
      </x:c>
      <x:c r="H432" s="20">
        <x:v>21</x:v>
      </x:c>
      <x:c r="I432" s="26" t="s">
        <x:v>228</x:v>
      </x:c>
      <x:c r="J432" s="23">
        <x:v>1330</x:v>
      </x:c>
      <x:c r="K432" s="23">
        <x:v>8645</x:v>
      </x:c>
      <x:c r="L432" s="23">
        <x:v>1600</x:v>
      </x:c>
    </x:row>
    <x:row r="433">
      <x:c r="A433" s="18" t="s">
        <x:v>1106</x:v>
      </x:c>
      <x:c r="B433" s="19" t="s">
        <x:v>1107</x:v>
      </x:c>
      <x:c r="C433" s="20">
        <x:v>39269099</x:v>
      </x:c>
      <x:c r="D433" s="20">
        <x:v>267.58</x:v>
      </x:c>
      <x:c r="E433" s="18" t="s">
        <x:v>227</x:v>
      </x:c>
      <x:c r="F433" s="19" t="s">
        <x:v>11</x:v>
      </x:c>
      <x:c r="G433" s="20">
        <x:v>8</x:v>
      </x:c>
      <x:c r="H433" s="20">
        <x:v>27.75</x:v>
      </x:c>
      <x:c r="I433" s="26" t="s">
        <x:v>272</x:v>
      </x:c>
      <x:c r="J433" s="23">
        <x:v>568</x:v>
      </x:c>
      <x:c r="K433" s="23">
        <x:v>4544</x:v>
      </x:c>
      <x:c r="L433" s="23">
        <x:v>873</x:v>
      </x:c>
    </x:row>
    <x:row r="434">
      <x:c r="A434" s="18" t="s">
        <x:v>1108</x:v>
      </x:c>
      <x:c r="B434" s="19" t="s">
        <x:v>1109</x:v>
      </x:c>
      <x:c r="C434" s="20">
        <x:v>39269099</x:v>
      </x:c>
      <x:c r="D434" s="20">
        <x:v>1.65</x:v>
      </x:c>
      <x:c r="E434" s="18" t="s">
        <x:v>227</x:v>
      </x:c>
      <x:c r="F434" s="19" t="s">
        <x:v>11</x:v>
      </x:c>
      <x:c r="G434" s="20">
        <x:v>8</x:v>
      </x:c>
      <x:c r="H434" s="20">
        <x:v>4326.8</x:v>
      </x:c>
      <x:c r="I434" s="26" t="s">
        <x:v>272</x:v>
      </x:c>
      <x:c r="J434" s="23">
        <x:v>1018</x:v>
      </x:c>
      <x:c r="K434" s="23">
        <x:v>8144</x:v>
      </x:c>
      <x:c r="L434" s="23">
        <x:v>1336</x:v>
      </x:c>
    </x:row>
    <x:row r="435">
      <x:c r="A435" s="18" t="s">
        <x:v>1110</x:v>
      </x:c>
      <x:c r="B435" s="19" t="s">
        <x:v>1111</x:v>
      </x:c>
      <x:c r="C435" s="20">
        <x:v>39269099</x:v>
      </x:c>
      <x:c r="D435" s="20">
        <x:v>300</x:v>
      </x:c>
      <x:c r="E435" s="18" t="s">
        <x:v>227</x:v>
      </x:c>
      <x:c r="F435" s="19" t="s">
        <x:v>11</x:v>
      </x:c>
      <x:c r="G435" s="20">
        <x:v>0</x:v>
      </x:c>
      <x:c r="H435" s="20">
        <x:v>23</x:v>
      </x:c>
      <x:c r="I435" s="21"/>
      <x:c r="J435" s="23">
        <x:v>500</x:v>
      </x:c>
      <x:c r="K435" s="23">
        <x:v>375</x:v>
      </x:c>
      <x:c r="L435" s="23">
        <x:v>446</x:v>
      </x:c>
    </x:row>
    <x:row r="436">
      <x:c r="A436" s="18" t="s">
        <x:v>1112</x:v>
      </x:c>
      <x:c r="B436" s="19" t="s">
        <x:v>1113</x:v>
      </x:c>
      <x:c r="C436" s="20">
        <x:v>39269099</x:v>
      </x:c>
      <x:c r="D436" s="20">
        <x:v>0.44</x:v>
      </x:c>
      <x:c r="E436" s="18" t="s">
        <x:v>227</x:v>
      </x:c>
      <x:c r="F436" s="19" t="s">
        <x:v>11</x:v>
      </x:c>
      <x:c r="G436" s="20">
        <x:v>0</x:v>
      </x:c>
      <x:c r="H436" s="21"/>
      <x:c r="I436" s="21"/>
      <x:c r="J436" s="23">
        <x:v>189</x:v>
      </x:c>
      <x:c r="K436" s="23">
        <x:v>1039.5</x:v>
      </x:c>
      <x:c r="L436" s="23">
        <x:v>189</x:v>
      </x:c>
    </x:row>
    <x:row r="437">
      <x:c r="A437" s="18" t="s">
        <x:v>1114</x:v>
      </x:c>
      <x:c r="B437" s="19" t="s">
        <x:v>1115</x:v>
      </x:c>
      <x:c r="C437" s="20">
        <x:v>39269099</x:v>
      </x:c>
      <x:c r="D437" s="20">
        <x:v>66.88</x:v>
      </x:c>
      <x:c r="E437" s="18" t="s">
        <x:v>227</x:v>
      </x:c>
      <x:c r="F437" s="19" t="s">
        <x:v>82</x:v>
      </x:c>
      <x:c r="G437" s="20">
        <x:v>0</x:v>
      </x:c>
      <x:c r="H437" s="20">
        <x:v>100.75</x:v>
      </x:c>
      <x:c r="I437" s="21"/>
      <x:c r="J437" s="23">
        <x:v>473</x:v>
      </x:c>
      <x:c r="K437" s="23">
        <x:v>21994.5</x:v>
      </x:c>
      <x:c r="L437" s="23">
        <x:v>473</x:v>
      </x:c>
    </x:row>
    <x:row r="438">
      <x:c r="A438" s="18" t="s">
        <x:v>1116</x:v>
      </x:c>
      <x:c r="B438" s="19" t="s">
        <x:v>1117</x:v>
      </x:c>
      <x:c r="C438" s="20">
        <x:v>39269099</x:v>
      </x:c>
      <x:c r="D438" s="20">
        <x:v>1.4</x:v>
      </x:c>
      <x:c r="E438" s="18" t="s">
        <x:v>227</x:v>
      </x:c>
      <x:c r="F438" s="19" t="s">
        <x:v>82</x:v>
      </x:c>
      <x:c r="G438" s="20">
        <x:v>0</x:v>
      </x:c>
      <x:c r="H438" s="21"/>
      <x:c r="I438" s="21"/>
      <x:c r="J438" s="23">
        <x:v>390</x:v>
      </x:c>
      <x:c r="K438" s="23">
        <x:v>25361.7</x:v>
      </x:c>
      <x:c r="L438" s="23">
        <x:v>390</x:v>
      </x:c>
    </x:row>
    <x:row r="439">
      <x:c r="A439" s="18" t="s">
        <x:v>1118</x:v>
      </x:c>
      <x:c r="B439" s="19" t="s">
        <x:v>1119</x:v>
      </x:c>
      <x:c r="C439" s="20">
        <x:v>39269099</x:v>
      </x:c>
      <x:c r="D439" s="20">
        <x:v>350</x:v>
      </x:c>
      <x:c r="E439" s="18" t="s">
        <x:v>227</x:v>
      </x:c>
      <x:c r="F439" s="19" t="s">
        <x:v>11</x:v>
      </x:c>
      <x:c r="G439" s="20">
        <x:v>0</x:v>
      </x:c>
      <x:c r="H439" s="20">
        <x:v>18.75</x:v>
      </x:c>
      <x:c r="I439" s="21"/>
      <x:c r="J439" s="23">
        <x:v>49</x:v>
      </x:c>
      <x:c r="K439" s="23">
        <x:v>2768.99</x:v>
      </x:c>
      <x:c r="L439" s="23">
        <x:v>41</x:v>
      </x:c>
    </x:row>
    <x:row r="440">
      <x:c r="A440" s="18" t="s">
        <x:v>1120</x:v>
      </x:c>
      <x:c r="B440" s="19" t="s">
        <x:v>102</x:v>
      </x:c>
      <x:c r="C440" s="20">
        <x:v>39269099</x:v>
      </x:c>
      <x:c r="D440" s="20">
        <x:v>605</x:v>
      </x:c>
      <x:c r="E440" s="18" t="s">
        <x:v>227</x:v>
      </x:c>
      <x:c r="F440" s="19" t="s">
        <x:v>11</x:v>
      </x:c>
      <x:c r="G440" s="20">
        <x:v>3.5</x:v>
      </x:c>
      <x:c r="H440" s="20">
        <x:v>10.75</x:v>
      </x:c>
      <x:c r="I440" s="26" t="s">
        <x:v>228</x:v>
      </x:c>
      <x:c r="J440" s="23">
        <x:v>3118</x:v>
      </x:c>
      <x:c r="K440" s="23">
        <x:v>11125</x:v>
      </x:c>
      <x:c r="L440" s="23">
        <x:v>2270</x:v>
      </x:c>
    </x:row>
    <x:row r="441">
      <x:c r="A441" s="18" t="s">
        <x:v>1121</x:v>
      </x:c>
      <x:c r="B441" s="19" t="s">
        <x:v>1122</x:v>
      </x:c>
      <x:c r="C441" s="20">
        <x:v>39269099</x:v>
      </x:c>
      <x:c r="D441" s="20">
        <x:v>160</x:v>
      </x:c>
      <x:c r="E441" s="18" t="s">
        <x:v>227</x:v>
      </x:c>
      <x:c r="F441" s="19" t="s">
        <x:v>11</x:v>
      </x:c>
      <x:c r="G441" s="20">
        <x:v>0</x:v>
      </x:c>
      <x:c r="H441" s="20">
        <x:v>39.5</x:v>
      </x:c>
      <x:c r="I441" s="21"/>
      <x:c r="J441" s="22">
        <x:v>0</x:v>
      </x:c>
      <x:c r="K441" s="22">
        <x:v>0</x:v>
      </x:c>
      <x:c r="L441" s="23">
        <x:v>0</x:v>
      </x:c>
    </x:row>
    <x:row r="442">
      <x:c r="A442" s="18" t="s">
        <x:v>1123</x:v>
      </x:c>
      <x:c r="B442" s="19" t="s">
        <x:v>1124</x:v>
      </x:c>
      <x:c r="C442" s="20">
        <x:v>39269099</x:v>
      </x:c>
      <x:c r="D442" s="20">
        <x:v>6.5</x:v>
      </x:c>
      <x:c r="E442" s="18" t="s">
        <x:v>227</x:v>
      </x:c>
      <x:c r="F442" s="19" t="s">
        <x:v>82</x:v>
      </x:c>
      <x:c r="G442" s="20">
        <x:v>0</x:v>
      </x:c>
      <x:c r="H442" s="20">
        <x:v>950</x:v>
      </x:c>
      <x:c r="I442" s="21"/>
      <x:c r="J442" s="22">
        <x:v>0</x:v>
      </x:c>
      <x:c r="K442" s="22">
        <x:v>0</x:v>
      </x:c>
      <x:c r="L442" s="23">
        <x:v>0</x:v>
      </x:c>
    </x:row>
    <x:row r="443">
      <x:c r="A443" s="18" t="s">
        <x:v>1125</x:v>
      </x:c>
      <x:c r="B443" s="19" t="s">
        <x:v>1126</x:v>
      </x:c>
      <x:c r="C443" s="20">
        <x:v>84242000</x:v>
      </x:c>
      <x:c r="D443" s="20">
        <x:v>90</x:v>
      </x:c>
      <x:c r="E443" s="18" t="s">
        <x:v>227</x:v>
      </x:c>
      <x:c r="F443" s="19" t="s">
        <x:v>11</x:v>
      </x:c>
      <x:c r="G443" s="20">
        <x:v>0</x:v>
      </x:c>
      <x:c r="H443" s="21"/>
      <x:c r="I443" s="21"/>
      <x:c r="J443" s="22">
        <x:v>0</x:v>
      </x:c>
      <x:c r="K443" s="22">
        <x:v>0</x:v>
      </x:c>
      <x:c r="L443" s="23">
        <x:v>0</x:v>
      </x:c>
    </x:row>
    <x:row r="444">
      <x:c r="A444" s="18" t="s">
        <x:v>1127</x:v>
      </x:c>
      <x:c r="B444" s="19" t="s">
        <x:v>1128</x:v>
      </x:c>
      <x:c r="C444" s="20">
        <x:v>39269099</x:v>
      </x:c>
      <x:c r="D444" s="20">
        <x:v>566</x:v>
      </x:c>
      <x:c r="E444" s="18" t="s">
        <x:v>227</x:v>
      </x:c>
      <x:c r="F444" s="19" t="s">
        <x:v>11</x:v>
      </x:c>
      <x:c r="G444" s="20">
        <x:v>2707.5</x:v>
      </x:c>
      <x:c r="H444" s="20">
        <x:v>10.5</x:v>
      </x:c>
      <x:c r="I444" s="26" t="s">
        <x:v>272</x:v>
      </x:c>
      <x:c r="J444" s="22">
        <x:v>0</x:v>
      </x:c>
      <x:c r="K444" s="22">
        <x:v>0</x:v>
      </x:c>
      <x:c r="L444" s="23">
        <x:v>4</x:v>
      </x:c>
    </x:row>
    <x:row r="445">
      <x:c r="A445" s="18" t="s">
        <x:v>1129</x:v>
      </x:c>
      <x:c r="B445" s="19" t="s">
        <x:v>1130</x:v>
      </x:c>
      <x:c r="C445" s="20">
        <x:v>441879</x:v>
      </x:c>
      <x:c r="D445" s="20">
        <x:v>46.5</x:v>
      </x:c>
      <x:c r="E445" s="18" t="s">
        <x:v>227</x:v>
      </x:c>
      <x:c r="F445" s="19" t="s">
        <x:v>41</x:v>
      </x:c>
      <x:c r="G445" s="20">
        <x:v>633.5</x:v>
      </x:c>
      <x:c r="H445" s="20">
        <x:v>125</x:v>
      </x:c>
      <x:c r="I445" s="26" t="s">
        <x:v>1131</x:v>
      </x:c>
      <x:c r="J445" s="22">
        <x:v>0</x:v>
      </x:c>
      <x:c r="K445" s="22">
        <x:v>0</x:v>
      </x:c>
      <x:c r="L445" s="23">
        <x:v>3</x:v>
      </x:c>
    </x:row>
    <x:row r="446">
      <x:c r="A446" s="18" t="s">
        <x:v>1132</x:v>
      </x:c>
      <x:c r="B446" s="19" t="s">
        <x:v>1133</x:v>
      </x:c>
      <x:c r="C446" s="20">
        <x:v>441879</x:v>
      </x:c>
      <x:c r="D446" s="20">
        <x:v>561</x:v>
      </x:c>
      <x:c r="E446" s="18" t="s">
        <x:v>227</x:v>
      </x:c>
      <x:c r="F446" s="19" t="s">
        <x:v>41</x:v>
      </x:c>
      <x:c r="G446" s="20">
        <x:v>0</x:v>
      </x:c>
      <x:c r="H446" s="20">
        <x:v>10.25</x:v>
      </x:c>
      <x:c r="I446" s="21"/>
      <x:c r="J446" s="22">
        <x:v>0</x:v>
      </x:c>
      <x:c r="K446" s="22">
        <x:v>0</x:v>
      </x:c>
      <x:c r="L446" s="23">
        <x:v>0</x:v>
      </x:c>
    </x:row>
    <x:row r="447">
      <x:c r="A447" s="18" t="s">
        <x:v>1134</x:v>
      </x:c>
      <x:c r="B447" s="19" t="s">
        <x:v>1135</x:v>
      </x:c>
      <x:c r="C447" s="20">
        <x:v>441879</x:v>
      </x:c>
      <x:c r="D447" s="20">
        <x:v>128</x:v>
      </x:c>
      <x:c r="E447" s="18" t="s">
        <x:v>227</x:v>
      </x:c>
      <x:c r="F447" s="19" t="s">
        <x:v>41</x:v>
      </x:c>
      <x:c r="G447" s="20">
        <x:v>633.20000000000005</x:v>
      </x:c>
      <x:c r="H447" s="20">
        <x:v>44.25</x:v>
      </x:c>
      <x:c r="I447" s="26" t="s">
        <x:v>1131</x:v>
      </x:c>
      <x:c r="J447" s="22">
        <x:v>0</x:v>
      </x:c>
      <x:c r="K447" s="22">
        <x:v>0</x:v>
      </x:c>
      <x:c r="L447" s="23">
        <x:v>6</x:v>
      </x:c>
    </x:row>
    <x:row r="448">
      <x:c r="A448" s="18" t="s">
        <x:v>1136</x:v>
      </x:c>
      <x:c r="B448" s="19" t="s">
        <x:v>1137</x:v>
      </x:c>
      <x:c r="C448" s="20">
        <x:v>441879</x:v>
      </x:c>
      <x:c r="D448" s="20">
        <x:v>326.33999999999997</x:v>
      </x:c>
      <x:c r="E448" s="18" t="s">
        <x:v>227</x:v>
      </x:c>
      <x:c r="F448" s="19" t="s">
        <x:v>41</x:v>
      </x:c>
      <x:c r="G448" s="20">
        <x:v>904.76</x:v>
      </x:c>
      <x:c r="H448" s="20">
        <x:v>17.25</x:v>
      </x:c>
      <x:c r="I448" s="26" t="s">
        <x:v>1131</x:v>
      </x:c>
      <x:c r="J448" s="22">
        <x:v>0</x:v>
      </x:c>
      <x:c r="K448" s="22">
        <x:v>0</x:v>
      </x:c>
      <x:c r="L448" s="23">
        <x:v>0</x:v>
      </x:c>
    </x:row>
    <x:row r="449">
      <x:c r="A449" s="18" t="s">
        <x:v>1138</x:v>
      </x:c>
      <x:c r="B449" s="19" t="s">
        <x:v>1139</x:v>
      </x:c>
      <x:c r="C449" s="20">
        <x:v>441879</x:v>
      </x:c>
      <x:c r="D449" s="20">
        <x:v>895</x:v>
      </x:c>
      <x:c r="E449" s="18" t="s">
        <x:v>227</x:v>
      </x:c>
      <x:c r="F449" s="19" t="s">
        <x:v>41</x:v>
      </x:c>
      <x:c r="G449" s="20">
        <x:v>0</x:v>
      </x:c>
      <x:c r="H449" s="20">
        <x:v>6.25</x:v>
      </x:c>
      <x:c r="I449" s="21"/>
      <x:c r="J449" s="23">
        <x:v>12</x:v>
      </x:c>
      <x:c r="K449" s="23">
        <x:v>7600.07</x:v>
      </x:c>
      <x:c r="L449" s="23">
        <x:v>0</x:v>
      </x:c>
    </x:row>
    <x:row r="450">
      <x:c r="A450" s="18" t="s">
        <x:v>1140</x:v>
      </x:c>
      <x:c r="B450" s="19" t="s">
        <x:v>1141</x:v>
      </x:c>
      <x:c r="C450" s="20">
        <x:v>441879</x:v>
      </x:c>
      <x:c r="D450" s="20">
        <x:v>165</x:v>
      </x:c>
      <x:c r="E450" s="18" t="s">
        <x:v>227</x:v>
      </x:c>
      <x:c r="F450" s="19" t="s">
        <x:v>41</x:v>
      </x:c>
      <x:c r="G450" s="20">
        <x:v>0</x:v>
      </x:c>
      <x:c r="H450" s="20">
        <x:v>33.75</x:v>
      </x:c>
      <x:c r="I450" s="21"/>
      <x:c r="J450" s="22">
        <x:v>0</x:v>
      </x:c>
      <x:c r="K450" s="22">
        <x:v>0</x:v>
      </x:c>
      <x:c r="L450" s="23">
        <x:v>0</x:v>
      </x:c>
    </x:row>
    <x:row r="451">
      <x:c r="A451" s="18" t="s">
        <x:v>1142</x:v>
      </x:c>
      <x:c r="B451" s="19" t="s">
        <x:v>1143</x:v>
      </x:c>
      <x:c r="C451" s="20">
        <x:v>441879</x:v>
      </x:c>
      <x:c r="D451" s="20">
        <x:v>528</x:v>
      </x:c>
      <x:c r="E451" s="18" t="s">
        <x:v>227</x:v>
      </x:c>
      <x:c r="F451" s="19" t="s">
        <x:v>11</x:v>
      </x:c>
      <x:c r="G451" s="20">
        <x:v>0</x:v>
      </x:c>
      <x:c r="H451" s="20">
        <x:v>10.5</x:v>
      </x:c>
      <x:c r="I451" s="21"/>
      <x:c r="J451" s="22">
        <x:v>0</x:v>
      </x:c>
      <x:c r="K451" s="22">
        <x:v>0</x:v>
      </x:c>
      <x:c r="L451" s="23">
        <x:v>0</x:v>
      </x:c>
    </x:row>
    <x:row r="452">
      <x:c r="A452" s="18" t="s">
        <x:v>1144</x:v>
      </x:c>
      <x:c r="B452" s="19" t="s">
        <x:v>1145</x:v>
      </x:c>
      <x:c r="C452" s="20">
        <x:v>441879</x:v>
      </x:c>
      <x:c r="D452" s="20">
        <x:v>2.46</x:v>
      </x:c>
      <x:c r="E452" s="18" t="s">
        <x:v>227</x:v>
      </x:c>
      <x:c r="F452" s="19" t="s">
        <x:v>41</x:v>
      </x:c>
      <x:c r="G452" s="20">
        <x:v>0</x:v>
      </x:c>
      <x:c r="H452" s="21"/>
      <x:c r="I452" s="21"/>
      <x:c r="J452" s="23">
        <x:v>65</x:v>
      </x:c>
      <x:c r="K452" s="23">
        <x:v>75075</x:v>
      </x:c>
      <x:c r="L452" s="23">
        <x:v>65</x:v>
      </x:c>
    </x:row>
    <x:row r="453">
      <x:c r="A453" s="18" t="s">
        <x:v>1146</x:v>
      </x:c>
      <x:c r="B453" s="19" t="s">
        <x:v>1147</x:v>
      </x:c>
      <x:c r="C453" s="20">
        <x:v>441879</x:v>
      </x:c>
      <x:c r="D453" s="20">
        <x:v>0.52</x:v>
      </x:c>
      <x:c r="E453" s="18" t="s">
        <x:v>227</x:v>
      </x:c>
      <x:c r="F453" s="19" t="s">
        <x:v>41</x:v>
      </x:c>
      <x:c r="G453" s="20">
        <x:v>0</x:v>
      </x:c>
      <x:c r="H453" s="20">
        <x:v>9953.5</x:v>
      </x:c>
      <x:c r="I453" s="21"/>
      <x:c r="J453" s="23">
        <x:v>10</x:v>
      </x:c>
      <x:c r="K453" s="23">
        <x:v>6006</x:v>
      </x:c>
      <x:c r="L453" s="23">
        <x:v>10</x:v>
      </x:c>
    </x:row>
    <x:row r="454">
      <x:c r="A454" s="18" t="s">
        <x:v>1148</x:v>
      </x:c>
      <x:c r="B454" s="39" t="s">
        <x:v>1149</x:v>
      </x:c>
      <x:c r="C454" s="40">
        <x:v>441879</x:v>
      </x:c>
      <x:c r="D454" s="20">
        <x:v>550</x:v>
      </x:c>
      <x:c r="E454" s="18" t="s">
        <x:v>227</x:v>
      </x:c>
      <x:c r="F454" s="19" t="s">
        <x:v>41</x:v>
      </x:c>
      <x:c r="G454" s="20">
        <x:v>0</x:v>
      </x:c>
      <x:c r="H454" s="20">
        <x:v>3.25</x:v>
      </x:c>
      <x:c r="I454" s="21"/>
      <x:c r="J454" s="23">
        <x:v>35</x:v>
      </x:c>
      <x:c r="K454" s="23">
        <x:v>19250</x:v>
      </x:c>
      <x:c r="L454" s="23">
        <x:v>35</x:v>
      </x:c>
    </x:row>
    <x:row r="455">
      <x:c r="A455" s="18" t="s">
        <x:v>1150</x:v>
      </x:c>
      <x:c r="B455" s="19" t="s">
        <x:v>1151</x:v>
      </x:c>
      <x:c r="C455" s="20">
        <x:v>441879</x:v>
      </x:c>
      <x:c r="D455" s="20">
        <x:v>330</x:v>
      </x:c>
      <x:c r="E455" s="18" t="s">
        <x:v>227</x:v>
      </x:c>
      <x:c r="F455" s="19" t="s">
        <x:v>41</x:v>
      </x:c>
      <x:c r="G455" s="20">
        <x:v>0</x:v>
      </x:c>
      <x:c r="H455" s="20">
        <x:v>15.25</x:v>
      </x:c>
      <x:c r="I455" s="21"/>
      <x:c r="J455" s="22">
        <x:v>0</x:v>
      </x:c>
      <x:c r="K455" s="22">
        <x:v>0</x:v>
      </x:c>
      <x:c r="L455" s="23">
        <x:v>0</x:v>
      </x:c>
    </x:row>
    <x:row r="456">
      <x:c r="A456" s="18" t="s">
        <x:v>1152</x:v>
      </x:c>
      <x:c r="B456" s="19" t="s">
        <x:v>1153</x:v>
      </x:c>
      <x:c r="C456" s="20">
        <x:v>441879</x:v>
      </x:c>
      <x:c r="D456" s="20">
        <x:v>64</x:v>
      </x:c>
      <x:c r="E456" s="18" t="s">
        <x:v>227</x:v>
      </x:c>
      <x:c r="F456" s="19" t="s">
        <x:v>41</x:v>
      </x:c>
      <x:c r="G456" s="20">
        <x:v>0</x:v>
      </x:c>
      <x:c r="H456" s="21"/>
      <x:c r="I456" s="21"/>
      <x:c r="J456" s="22">
        <x:v>0</x:v>
      </x:c>
      <x:c r="K456" s="22">
        <x:v>0</x:v>
      </x:c>
      <x:c r="L456" s="23">
        <x:v>0</x:v>
      </x:c>
    </x:row>
    <x:row r="457">
      <x:c r="A457" s="18" t="s">
        <x:v>1154</x:v>
      </x:c>
      <x:c r="B457" s="19" t="s">
        <x:v>1155</x:v>
      </x:c>
      <x:c r="C457" s="20">
        <x:v>441879</x:v>
      </x:c>
      <x:c r="D457" s="20">
        <x:v>317.19</x:v>
      </x:c>
      <x:c r="E457" s="18" t="s">
        <x:v>227</x:v>
      </x:c>
      <x:c r="F457" s="19" t="s">
        <x:v>11</x:v>
      </x:c>
      <x:c r="G457" s="20">
        <x:v>0</x:v>
      </x:c>
      <x:c r="H457" s="20">
        <x:v>15.75</x:v>
      </x:c>
      <x:c r="I457" s="21"/>
      <x:c r="J457" s="22">
        <x:v>0</x:v>
      </x:c>
      <x:c r="K457" s="22">
        <x:v>0</x:v>
      </x:c>
      <x:c r="L457" s="23">
        <x:v>0</x:v>
      </x:c>
    </x:row>
    <x:row r="458">
      <x:c r="A458" s="18" t="s">
        <x:v>1156</x:v>
      </x:c>
      <x:c r="B458" s="19" t="s">
        <x:v>1157</x:v>
      </x:c>
      <x:c r="C458" s="20">
        <x:v>441879</x:v>
      </x:c>
      <x:c r="D458" s="20">
        <x:v>98</x:v>
      </x:c>
      <x:c r="E458" s="18" t="s">
        <x:v>227</x:v>
      </x:c>
      <x:c r="F458" s="19" t="s">
        <x:v>41</x:v>
      </x:c>
      <x:c r="G458" s="20">
        <x:v>904.76</x:v>
      </x:c>
      <x:c r="H458" s="20">
        <x:v>47.588000000000001</x:v>
      </x:c>
      <x:c r="I458" s="26" t="s">
        <x:v>1131</x:v>
      </x:c>
      <x:c r="J458" s="23">
        <x:v>9</x:v>
      </x:c>
      <x:c r="K458" s="23">
        <x:v>5310</x:v>
      </x:c>
      <x:c r="L458" s="23">
        <x:v>43</x:v>
      </x:c>
    </x:row>
    <x:row r="459">
      <x:c r="A459" s="18" t="s">
        <x:v>1158</x:v>
      </x:c>
      <x:c r="B459" s="19" t="s">
        <x:v>1159</x:v>
      </x:c>
      <x:c r="C459" s="20">
        <x:v>441879</x:v>
      </x:c>
      <x:c r="D459" s="20">
        <x:v>293</x:v>
      </x:c>
      <x:c r="E459" s="18" t="s">
        <x:v>227</x:v>
      </x:c>
      <x:c r="F459" s="19" t="s">
        <x:v>41</x:v>
      </x:c>
      <x:c r="G459" s="20">
        <x:v>0</x:v>
      </x:c>
      <x:c r="H459" s="20">
        <x:v>15.88</x:v>
      </x:c>
      <x:c r="I459" s="21"/>
      <x:c r="J459" s="23">
        <x:v>25</x:v>
      </x:c>
      <x:c r="K459" s="23">
        <x:v>14025</x:v>
      </x:c>
      <x:c r="L459" s="23">
        <x:v>25</x:v>
      </x:c>
    </x:row>
    <x:row r="460">
      <x:c r="A460" s="18" t="s">
        <x:v>1160</x:v>
      </x:c>
      <x:c r="B460" s="19" t="s">
        <x:v>1161</x:v>
      </x:c>
      <x:c r="C460" s="20">
        <x:v>441879</x:v>
      </x:c>
      <x:c r="D460" s="20">
        <x:v>0.39</x:v>
      </x:c>
      <x:c r="E460" s="18" t="s">
        <x:v>227</x:v>
      </x:c>
      <x:c r="F460" s="19" t="s">
        <x:v>41</x:v>
      </x:c>
      <x:c r="G460" s="20">
        <x:v>0</x:v>
      </x:c>
      <x:c r="H460" s="21"/>
      <x:c r="I460" s="21"/>
      <x:c r="J460" s="23">
        <x:v>14</x:v>
      </x:c>
      <x:c r="K460" s="23">
        <x:v>8260</x:v>
      </x:c>
      <x:c r="L460" s="23">
        <x:v>9</x:v>
      </x:c>
    </x:row>
    <x:row r="461">
      <x:c r="A461" s="18" t="s">
        <x:v>1162</x:v>
      </x:c>
      <x:c r="B461" s="19" t="s">
        <x:v>1163</x:v>
      </x:c>
      <x:c r="C461" s="20">
        <x:v>441879</x:v>
      </x:c>
      <x:c r="D461" s="20">
        <x:v>450</x:v>
      </x:c>
      <x:c r="E461" s="18" t="s">
        <x:v>227</x:v>
      </x:c>
      <x:c r="F461" s="19" t="s">
        <x:v>41</x:v>
      </x:c>
      <x:c r="G461" s="20">
        <x:v>904.76</x:v>
      </x:c>
      <x:c r="H461" s="20">
        <x:v>9.75</x:v>
      </x:c>
      <x:c r="I461" s="26" t="s">
        <x:v>1131</x:v>
      </x:c>
      <x:c r="J461" s="22">
        <x:v>0</x:v>
      </x:c>
      <x:c r="K461" s="22">
        <x:v>0</x:v>
      </x:c>
      <x:c r="L461" s="23">
        <x:v>15</x:v>
      </x:c>
    </x:row>
    <x:row r="462">
      <x:c r="A462" s="18" t="s">
        <x:v>1164</x:v>
      </x:c>
      <x:c r="B462" s="19" t="s">
        <x:v>1165</x:v>
      </x:c>
      <x:c r="C462" s="20">
        <x:v>441879</x:v>
      </x:c>
      <x:c r="D462" s="20">
        <x:v>39</x:v>
      </x:c>
      <x:c r="E462" s="18" t="s">
        <x:v>227</x:v>
      </x:c>
      <x:c r="F462" s="19" t="s">
        <x:v>41</x:v>
      </x:c>
      <x:c r="G462" s="20">
        <x:v>0</x:v>
      </x:c>
      <x:c r="H462" s="21"/>
      <x:c r="I462" s="21"/>
      <x:c r="J462" s="23">
        <x:v>12</x:v>
      </x:c>
      <x:c r="K462" s="23">
        <x:v>8580</x:v>
      </x:c>
      <x:c r="L462" s="23">
        <x:v>12</x:v>
      </x:c>
    </x:row>
    <x:row r="463">
      <x:c r="A463" s="18" t="s">
        <x:v>1166</x:v>
      </x:c>
      <x:c r="B463" s="19" t="s">
        <x:v>1167</x:v>
      </x:c>
      <x:c r="C463" s="20">
        <x:v>441879</x:v>
      </x:c>
      <x:c r="D463" s="20">
        <x:v>330</x:v>
      </x:c>
      <x:c r="E463" s="18" t="s">
        <x:v>227</x:v>
      </x:c>
      <x:c r="F463" s="19" t="s">
        <x:v>41</x:v>
      </x:c>
      <x:c r="G463" s="20">
        <x:v>0</x:v>
      </x:c>
      <x:c r="H463" s="20">
        <x:v>13.25</x:v>
      </x:c>
      <x:c r="I463" s="21"/>
      <x:c r="J463" s="23">
        <x:v>12</x:v>
      </x:c>
      <x:c r="K463" s="23">
        <x:v>8580</x:v>
      </x:c>
      <x:c r="L463" s="23">
        <x:v>12</x:v>
      </x:c>
    </x:row>
    <x:row r="464">
      <x:c r="A464" s="18" t="s">
        <x:v>1168</x:v>
      </x:c>
      <x:c r="B464" s="19" t="s">
        <x:v>1169</x:v>
      </x:c>
      <x:c r="C464" s="20">
        <x:v>441879</x:v>
      </x:c>
      <x:c r="D464" s="20">
        <x:v>1.65</x:v>
      </x:c>
      <x:c r="E464" s="18" t="s">
        <x:v>227</x:v>
      </x:c>
      <x:c r="F464" s="19" t="s">
        <x:v>41</x:v>
      </x:c>
      <x:c r="G464" s="20">
        <x:v>904.76</x:v>
      </x:c>
      <x:c r="H464" s="20">
        <x:v>2628.5</x:v>
      </x:c>
      <x:c r="I464" s="26" t="s">
        <x:v>1131</x:v>
      </x:c>
      <x:c r="J464" s="23">
        <x:v>9</x:v>
      </x:c>
      <x:c r="K464" s="23">
        <x:v>4906.08</x:v>
      </x:c>
      <x:c r="L464" s="23">
        <x:v>9</x:v>
      </x:c>
    </x:row>
    <x:row r="465">
      <x:c r="A465" s="18" t="s">
        <x:v>1170</x:v>
      </x:c>
      <x:c r="B465" s="19" t="s">
        <x:v>1171</x:v>
      </x:c>
      <x:c r="C465" s="20">
        <x:v>441879</x:v>
      </x:c>
      <x:c r="D465" s="20">
        <x:v>24</x:v>
      </x:c>
      <x:c r="E465" s="18" t="s">
        <x:v>227</x:v>
      </x:c>
      <x:c r="F465" s="19" t="s">
        <x:v>41</x:v>
      </x:c>
      <x:c r="G465" s="20">
        <x:v>0</x:v>
      </x:c>
      <x:c r="H465" s="21"/>
      <x:c r="I465" s="21"/>
      <x:c r="J465" s="23">
        <x:v>9</x:v>
      </x:c>
      <x:c r="K465" s="23">
        <x:v>4950</x:v>
      </x:c>
      <x:c r="L465" s="23">
        <x:v>9</x:v>
      </x:c>
    </x:row>
    <x:row r="466">
      <x:c r="A466" s="18" t="s">
        <x:v>1172</x:v>
      </x:c>
      <x:c r="B466" s="19" t="s">
        <x:v>1173</x:v>
      </x:c>
      <x:c r="C466" s="20">
        <x:v>441879</x:v>
      </x:c>
      <x:c r="D466" s="20">
        <x:v>55</x:v>
      </x:c>
      <x:c r="E466" s="18" t="s">
        <x:v>227</x:v>
      </x:c>
      <x:c r="F466" s="19" t="s">
        <x:v>41</x:v>
      </x:c>
      <x:c r="G466" s="20">
        <x:v>0</x:v>
      </x:c>
      <x:c r="H466" s="21"/>
      <x:c r="I466" s="21"/>
      <x:c r="J466" s="23">
        <x:v>11</x:v>
      </x:c>
      <x:c r="K466" s="23">
        <x:v>5929</x:v>
      </x:c>
      <x:c r="L466" s="23">
        <x:v>0</x:v>
      </x:c>
    </x:row>
    <x:row r="467">
      <x:c r="A467" s="18" t="s">
        <x:v>1174</x:v>
      </x:c>
      <x:c r="B467" s="19" t="s">
        <x:v>1175</x:v>
      </x:c>
      <x:c r="C467" s="20">
        <x:v>441879</x:v>
      </x:c>
      <x:c r="D467" s="20">
        <x:v>5.61</x:v>
      </x:c>
      <x:c r="E467" s="18" t="s">
        <x:v>227</x:v>
      </x:c>
      <x:c r="F467" s="19" t="s">
        <x:v>41</x:v>
      </x:c>
      <x:c r="G467" s="20">
        <x:v>0</x:v>
      </x:c>
      <x:c r="H467" s="20">
        <x:v>736.25</x:v>
      </x:c>
      <x:c r="I467" s="21"/>
      <x:c r="J467" s="23">
        <x:v>6</x:v>
      </x:c>
      <x:c r="K467" s="23">
        <x:v>3199.56</x:v>
      </x:c>
      <x:c r="L467" s="23">
        <x:v>6</x:v>
      </x:c>
    </x:row>
    <x:row r="468">
      <x:c r="A468" s="18" t="s">
        <x:v>1176</x:v>
      </x:c>
      <x:c r="B468" s="19" t="s">
        <x:v>1177</x:v>
      </x:c>
      <x:c r="C468" s="20">
        <x:v>441879</x:v>
      </x:c>
      <x:c r="D468" s="20">
        <x:v>75.33</x:v>
      </x:c>
      <x:c r="E468" s="18" t="s">
        <x:v>227</x:v>
      </x:c>
      <x:c r="F468" s="19" t="s">
        <x:v>41</x:v>
      </x:c>
      <x:c r="G468" s="20">
        <x:v>0</x:v>
      </x:c>
      <x:c r="H468" s="20">
        <x:v>51</x:v>
      </x:c>
      <x:c r="I468" s="21"/>
      <x:c r="J468" s="23">
        <x:v>5</x:v>
      </x:c>
      <x:c r="K468" s="23">
        <x:v>2750</x:v>
      </x:c>
      <x:c r="L468" s="23">
        <x:v>5</x:v>
      </x:c>
    </x:row>
    <x:row r="469">
      <x:c r="A469" s="18" t="s">
        <x:v>1178</x:v>
      </x:c>
      <x:c r="B469" s="19" t="s">
        <x:v>1179</x:v>
      </x:c>
      <x:c r="C469" s="20">
        <x:v>441879</x:v>
      </x:c>
      <x:c r="D469" s="20">
        <x:v>48</x:v>
      </x:c>
      <x:c r="E469" s="18" t="s">
        <x:v>227</x:v>
      </x:c>
      <x:c r="F469" s="19" t="s">
        <x:v>41</x:v>
      </x:c>
      <x:c r="G469" s="20">
        <x:v>0</x:v>
      </x:c>
      <x:c r="H469" s="21"/>
      <x:c r="I469" s="21"/>
      <x:c r="J469" s="23">
        <x:v>8</x:v>
      </x:c>
      <x:c r="K469" s="23">
        <x:v>3960</x:v>
      </x:c>
      <x:c r="L469" s="23">
        <x:v>8</x:v>
      </x:c>
    </x:row>
    <x:row r="470">
      <x:c r="A470" s="18" t="s">
        <x:v>1180</x:v>
      </x:c>
      <x:c r="B470" s="19" t="s">
        <x:v>1181</x:v>
      </x:c>
      <x:c r="C470" s="20">
        <x:v>441879</x:v>
      </x:c>
      <x:c r="D470" s="20">
        <x:v>25.71</x:v>
      </x:c>
      <x:c r="E470" s="18" t="s">
        <x:v>227</x:v>
      </x:c>
      <x:c r="F470" s="19" t="s">
        <x:v>41</x:v>
      </x:c>
      <x:c r="G470" s="20">
        <x:v>0</x:v>
      </x:c>
      <x:c r="H470" s="20">
        <x:v>143</x:v>
      </x:c>
      <x:c r="I470" s="21"/>
      <x:c r="J470" s="23">
        <x:v>10</x:v>
      </x:c>
      <x:c r="K470" s="23">
        <x:v>5445</x:v>
      </x:c>
      <x:c r="L470" s="23">
        <x:v>10</x:v>
      </x:c>
    </x:row>
    <x:row r="471">
      <x:c r="A471" s="18" t="s">
        <x:v>1182</x:v>
      </x:c>
      <x:c r="B471" s="19" t="s">
        <x:v>1183</x:v>
      </x:c>
      <x:c r="C471" s="20">
        <x:v>441879</x:v>
      </x:c>
      <x:c r="D471" s="20">
        <x:v>6.36</x:v>
      </x:c>
      <x:c r="E471" s="18" t="s">
        <x:v>227</x:v>
      </x:c>
      <x:c r="F471" s="19" t="s">
        <x:v>41</x:v>
      </x:c>
      <x:c r="G471" s="20">
        <x:v>0</x:v>
      </x:c>
      <x:c r="H471" s="20">
        <x:v>577.75</x:v>
      </x:c>
      <x:c r="I471" s="21"/>
      <x:c r="J471" s="23">
        <x:v>23</x:v>
      </x:c>
      <x:c r="K471" s="23">
        <x:v>11963.06</x:v>
      </x:c>
      <x:c r="L471" s="23">
        <x:v>23</x:v>
      </x:c>
    </x:row>
    <x:row r="472">
      <x:c r="A472" s="18" t="s">
        <x:v>1184</x:v>
      </x:c>
      <x:c r="B472" s="19" t="s">
        <x:v>1185</x:v>
      </x:c>
      <x:c r="C472" s="20">
        <x:v>441879</x:v>
      </x:c>
      <x:c r="D472" s="20">
        <x:v>98</x:v>
      </x:c>
      <x:c r="E472" s="18" t="s">
        <x:v>227</x:v>
      </x:c>
      <x:c r="F472" s="19" t="s">
        <x:v>41</x:v>
      </x:c>
      <x:c r="G472" s="20">
        <x:v>0</x:v>
      </x:c>
      <x:c r="H472" s="20">
        <x:v>34.75</x:v>
      </x:c>
      <x:c r="I472" s="21"/>
      <x:c r="J472" s="23">
        <x:v>7</x:v>
      </x:c>
      <x:c r="K472" s="23">
        <x:v>4504.5</x:v>
      </x:c>
      <x:c r="L472" s="23">
        <x:v>7</x:v>
      </x:c>
    </x:row>
    <x:row r="473">
      <x:c r="A473" s="18" t="s">
        <x:v>1186</x:v>
      </x:c>
      <x:c r="B473" s="19" t="s">
        <x:v>1187</x:v>
      </x:c>
      <x:c r="C473" s="20">
        <x:v>441879</x:v>
      </x:c>
      <x:c r="D473" s="20">
        <x:v>3.38</x:v>
      </x:c>
      <x:c r="E473" s="18" t="s">
        <x:v>227</x:v>
      </x:c>
      <x:c r="F473" s="19" t="s">
        <x:v>41</x:v>
      </x:c>
      <x:c r="G473" s="20">
        <x:v>0</x:v>
      </x:c>
      <x:c r="H473" s="21"/>
      <x:c r="I473" s="21"/>
      <x:c r="J473" s="23">
        <x:v>30</x:v>
      </x:c>
      <x:c r="K473" s="23">
        <x:v>16830</x:v>
      </x:c>
      <x:c r="L473" s="23">
        <x:v>30</x:v>
      </x:c>
    </x:row>
    <x:row r="474">
      <x:c r="A474" s="18" t="s">
        <x:v>1188</x:v>
      </x:c>
      <x:c r="B474" s="19" t="s">
        <x:v>1189</x:v>
      </x:c>
      <x:c r="C474" s="20">
        <x:v>441879</x:v>
      </x:c>
      <x:c r="D474" s="20">
        <x:v>153.62</x:v>
      </x:c>
      <x:c r="E474" s="18" t="s">
        <x:v>227</x:v>
      </x:c>
      <x:c r="F474" s="19" t="s">
        <x:v>41</x:v>
      </x:c>
      <x:c r="G474" s="20">
        <x:v>0</x:v>
      </x:c>
      <x:c r="H474" s="20">
        <x:v>22</x:v>
      </x:c>
      <x:c r="I474" s="21"/>
      <x:c r="J474" s="23">
        <x:v>8</x:v>
      </x:c>
      <x:c r="K474" s="23">
        <x:v>15004</x:v>
      </x:c>
      <x:c r="L474" s="23">
        <x:v>8</x:v>
      </x:c>
    </x:row>
    <x:row r="475">
      <x:c r="A475" s="18" t="s">
        <x:v>1190</x:v>
      </x:c>
      <x:c r="B475" s="19" t="s">
        <x:v>1191</x:v>
      </x:c>
      <x:c r="C475" s="20">
        <x:v>441879</x:v>
      </x:c>
      <x:c r="D475" s="20">
        <x:v>1.05</x:v>
      </x:c>
      <x:c r="E475" s="18" t="s">
        <x:v>227</x:v>
      </x:c>
      <x:c r="F475" s="19" t="s">
        <x:v>41</x:v>
      </x:c>
      <x:c r="G475" s="20">
        <x:v>0</x:v>
      </x:c>
      <x:c r="H475" s="21"/>
      <x:c r="I475" s="21"/>
      <x:c r="J475" s="23">
        <x:v>4</x:v>
      </x:c>
      <x:c r="K475" s="23">
        <x:v>7065.12</x:v>
      </x:c>
      <x:c r="L475" s="23">
        <x:v>4</x:v>
      </x:c>
    </x:row>
    <x:row r="476">
      <x:c r="A476" s="18" t="s">
        <x:v>1192</x:v>
      </x:c>
      <x:c r="B476" s="19" t="s">
        <x:v>1193</x:v>
      </x:c>
      <x:c r="C476" s="20">
        <x:v>441879</x:v>
      </x:c>
      <x:c r="D476" s="20">
        <x:v>3.5</x:v>
      </x:c>
      <x:c r="E476" s="18" t="s">
        <x:v>227</x:v>
      </x:c>
      <x:c r="F476" s="19" t="s">
        <x:v>41</x:v>
      </x:c>
      <x:c r="G476" s="20">
        <x:v>0</x:v>
      </x:c>
      <x:c r="H476" s="21"/>
      <x:c r="I476" s="21"/>
      <x:c r="J476" s="22">
        <x:v>0</x:v>
      </x:c>
      <x:c r="K476" s="22">
        <x:v>0</x:v>
      </x:c>
      <x:c r="L476" s="23">
        <x:v>0</x:v>
      </x:c>
    </x:row>
    <x:row r="477">
      <x:c r="A477" s="18" t="s">
        <x:v>1194</x:v>
      </x:c>
      <x:c r="B477" s="19" t="s">
        <x:v>1195</x:v>
      </x:c>
      <x:c r="C477" s="20">
        <x:v>84818020</x:v>
      </x:c>
      <x:c r="D477" s="20">
        <x:v>12.5</x:v>
      </x:c>
      <x:c r="E477" s="18" t="s">
        <x:v>227</x:v>
      </x:c>
      <x:c r="F477" s="19" t="s">
        <x:v>11</x:v>
      </x:c>
      <x:c r="G477" s="20">
        <x:v>7089</x:v>
      </x:c>
      <x:c r="H477" s="20">
        <x:v>249.75</x:v>
      </x:c>
      <x:c r="I477" s="26" t="s">
        <x:v>866</x:v>
      </x:c>
      <x:c r="J477" s="22">
        <x:v>0</x:v>
      </x:c>
      <x:c r="K477" s="22">
        <x:v>0</x:v>
      </x:c>
      <x:c r="L477" s="23">
        <x:v>0</x:v>
      </x:c>
    </x:row>
    <x:row r="478">
      <x:c r="A478" s="18" t="s">
        <x:v>1196</x:v>
      </x:c>
      <x:c r="B478" s="19" t="s">
        <x:v>1197</x:v>
      </x:c>
      <x:c r="C478" s="20">
        <x:v>84818020</x:v>
      </x:c>
      <x:c r="D478" s="20">
        <x:v>6170</x:v>
      </x:c>
      <x:c r="E478" s="18" t="s">
        <x:v>227</x:v>
      </x:c>
      <x:c r="F478" s="19" t="s">
        <x:v>11</x:v>
      </x:c>
      <x:c r="G478" s="20">
        <x:v>5721.6</x:v>
      </x:c>
      <x:c r="H478" s="20">
        <x:v>0.5</x:v>
      </x:c>
      <x:c r="I478" s="26" t="s">
        <x:v>866</x:v>
      </x:c>
      <x:c r="J478" s="22">
        <x:v>0</x:v>
      </x:c>
      <x:c r="K478" s="22">
        <x:v>0</x:v>
      </x:c>
      <x:c r="L478" s="23">
        <x:v>0</x:v>
      </x:c>
    </x:row>
    <x:row r="479">
      <x:c r="A479" s="18" t="s">
        <x:v>1198</x:v>
      </x:c>
      <x:c r="B479" s="19" t="s">
        <x:v>1199</x:v>
      </x:c>
      <x:c r="C479" s="20">
        <x:v>84818020</x:v>
      </x:c>
      <x:c r="D479" s="20">
        <x:v>76.28</x:v>
      </x:c>
      <x:c r="E479" s="18" t="s">
        <x:v>227</x:v>
      </x:c>
      <x:c r="F479" s="19" t="s">
        <x:v>11</x:v>
      </x:c>
      <x:c r="G479" s="20">
        <x:v>5276.7</x:v>
      </x:c>
      <x:c r="H479" s="20">
        <x:v>40</x:v>
      </x:c>
      <x:c r="I479" s="26" t="s">
        <x:v>866</x:v>
      </x:c>
      <x:c r="J479" s="22">
        <x:v>0</x:v>
      </x:c>
      <x:c r="K479" s="22">
        <x:v>0</x:v>
      </x:c>
      <x:c r="L479" s="23">
        <x:v>0</x:v>
      </x:c>
    </x:row>
    <x:row r="480">
      <x:c r="A480" s="18" t="s">
        <x:v>1200</x:v>
      </x:c>
      <x:c r="B480" s="19" t="s">
        <x:v>1201</x:v>
      </x:c>
      <x:c r="C480" s="20">
        <x:v>73269099</x:v>
      </x:c>
      <x:c r="D480" s="20">
        <x:v>12.5</x:v>
      </x:c>
      <x:c r="E480" s="18" t="s">
        <x:v>227</x:v>
      </x:c>
      <x:c r="F480" s="19" t="s">
        <x:v>11</x:v>
      </x:c>
      <x:c r="G480" s="20">
        <x:v>0</x:v>
      </x:c>
      <x:c r="H480" s="20">
        <x:v>242</x:v>
      </x:c>
      <x:c r="I480" s="21"/>
      <x:c r="J480" s="23">
        <x:v>2915</x:v>
      </x:c>
      <x:c r="K480" s="23">
        <x:v>17490</x:v>
      </x:c>
      <x:c r="L480" s="23">
        <x:v>300</x:v>
      </x:c>
    </x:row>
    <x:row r="481">
      <x:c r="A481" s="18" t="s">
        <x:v>1202</x:v>
      </x:c>
      <x:c r="B481" s="19" t="s">
        <x:v>1203</x:v>
      </x:c>
      <x:c r="C481" s="20">
        <x:v>94054900</x:v>
      </x:c>
      <x:c r="D481" s="20">
        <x:v>2.34</x:v>
      </x:c>
      <x:c r="E481" s="18" t="s">
        <x:v>227</x:v>
      </x:c>
      <x:c r="F481" s="19" t="s">
        <x:v>41</x:v>
      </x:c>
      <x:c r="G481" s="20">
        <x:v>0</x:v>
      </x:c>
      <x:c r="H481" s="20">
        <x:v>1127.8</x:v>
      </x:c>
      <x:c r="I481" s="21"/>
      <x:c r="J481" s="22">
        <x:v>0</x:v>
      </x:c>
      <x:c r="K481" s="22">
        <x:v>0</x:v>
      </x:c>
      <x:c r="L481" s="23">
        <x:v>0</x:v>
      </x:c>
    </x:row>
    <x:row r="482">
      <x:c r="A482" s="18" t="s">
        <x:v>1204</x:v>
      </x:c>
      <x:c r="B482" s="19" t="s">
        <x:v>1205</x:v>
      </x:c>
      <x:c r="C482" s="20">
        <x:v>83024200</x:v>
      </x:c>
      <x:c r="D482" s="20">
        <x:v>0.62</x:v>
      </x:c>
      <x:c r="E482" s="18" t="s">
        <x:v>227</x:v>
      </x:c>
      <x:c r="F482" s="19" t="s">
        <x:v>82</x:v>
      </x:c>
      <x:c r="G482" s="20">
        <x:v>1.8</x:v>
      </x:c>
      <x:c r="H482" s="21"/>
      <x:c r="I482" s="26" t="s">
        <x:v>272</x:v>
      </x:c>
      <x:c r="J482" s="23">
        <x:v>35459</x:v>
      </x:c>
      <x:c r="K482" s="23">
        <x:v>66792.600000000006</x:v>
      </x:c>
      <x:c r="L482" s="23">
        <x:v>463</x:v>
      </x:c>
    </x:row>
    <x:row r="483">
      <x:c r="A483" s="18" t="s">
        <x:v>1206</x:v>
      </x:c>
      <x:c r="B483" s="19" t="s">
        <x:v>101</x:v>
      </x:c>
      <x:c r="C483" s="20">
        <x:v>73181500</x:v>
      </x:c>
      <x:c r="D483" s="20">
        <x:v>0.72</x:v>
      </x:c>
      <x:c r="E483" s="18" t="s">
        <x:v>227</x:v>
      </x:c>
      <x:c r="F483" s="19" t="s">
        <x:v>11</x:v>
      </x:c>
      <x:c r="G483" s="20">
        <x:v>1.8</x:v>
      </x:c>
      <x:c r="H483" s="21"/>
      <x:c r="I483" s="26" t="s">
        <x:v>272</x:v>
      </x:c>
      <x:c r="J483" s="23">
        <x:v>29712</x:v>
      </x:c>
      <x:c r="K483" s="23">
        <x:v>52917.85</x:v>
      </x:c>
      <x:c r="L483" s="23">
        <x:v>-7234</x:v>
      </x:c>
    </x:row>
    <x:row r="484">
      <x:c r="A484" s="18" t="s">
        <x:v>1207</x:v>
      </x:c>
      <x:c r="B484" s="19" t="s">
        <x:v>1208</x:v>
      </x:c>
      <x:c r="C484" s="20">
        <x:v>83024200</x:v>
      </x:c>
      <x:c r="D484" s="20">
        <x:v>11.01</x:v>
      </x:c>
      <x:c r="E484" s="18" t="s">
        <x:v>227</x:v>
      </x:c>
      <x:c r="F484" s="19" t="s">
        <x:v>11</x:v>
      </x:c>
      <x:c r="G484" s="20">
        <x:v>2.44</x:v>
      </x:c>
      <x:c r="H484" s="20">
        <x:v>226.45</x:v>
      </x:c>
      <x:c r="I484" s="26" t="s">
        <x:v>1209</x:v>
      </x:c>
      <x:c r="J484" s="23">
        <x:v>21744</x:v>
      </x:c>
      <x:c r="K484" s="23">
        <x:v>51385.440000000002</x:v>
      </x:c>
      <x:c r="L484" s="23">
        <x:v>3842</x:v>
      </x:c>
    </x:row>
    <x:row r="485">
      <x:c r="A485" s="18" t="s">
        <x:v>1210</x:v>
      </x:c>
      <x:c r="B485" s="19" t="s">
        <x:v>100</x:v>
      </x:c>
      <x:c r="C485" s="20">
        <x:v>83024200</x:v>
      </x:c>
      <x:c r="D485" s="20">
        <x:v>300</x:v>
      </x:c>
      <x:c r="E485" s="18" t="s">
        <x:v>227</x:v>
      </x:c>
      <x:c r="F485" s="19" t="s">
        <x:v>82</x:v>
      </x:c>
      <x:c r="G485" s="20">
        <x:v>0</x:v>
      </x:c>
      <x:c r="H485" s="20">
        <x:v>8</x:v>
      </x:c>
      <x:c r="I485" s="21"/>
      <x:c r="J485" s="23">
        <x:v>1058</x:v>
      </x:c>
      <x:c r="K485" s="23">
        <x:v>1322.5</x:v>
      </x:c>
      <x:c r="L485" s="23">
        <x:v>1018</x:v>
      </x:c>
    </x:row>
    <x:row r="486">
      <x:c r="A486" s="18" t="s">
        <x:v>1211</x:v>
      </x:c>
      <x:c r="B486" s="19" t="s">
        <x:v>1212</x:v>
      </x:c>
      <x:c r="C486" s="20">
        <x:v>39211900</x:v>
      </x:c>
      <x:c r="D486" s="20">
        <x:v>152.55000000000001</x:v>
      </x:c>
      <x:c r="E486" s="18" t="s">
        <x:v>227</x:v>
      </x:c>
      <x:c r="F486" s="19" t="s">
        <x:v>11</x:v>
      </x:c>
      <x:c r="G486" s="20">
        <x:v>44</x:v>
      </x:c>
      <x:c r="H486" s="20">
        <x:v>15</x:v>
      </x:c>
      <x:c r="I486" s="26" t="s">
        <x:v>826</x:v>
      </x:c>
      <x:c r="J486" s="22">
        <x:v>0</x:v>
      </x:c>
      <x:c r="K486" s="22">
        <x:v>0</x:v>
      </x:c>
      <x:c r="L486" s="23">
        <x:v>600</x:v>
      </x:c>
    </x:row>
    <x:row r="487">
      <x:c r="A487" s="18" t="s">
        <x:v>1213</x:v>
      </x:c>
      <x:c r="B487" s="19" t="s">
        <x:v>1214</x:v>
      </x:c>
      <x:c r="C487" s="20">
        <x:v>39211900</x:v>
      </x:c>
      <x:c r="D487" s="20">
        <x:v>496.92</x:v>
      </x:c>
      <x:c r="E487" s="18" t="s">
        <x:v>227</x:v>
      </x:c>
      <x:c r="F487" s="19" t="s">
        <x:v>11</x:v>
      </x:c>
      <x:c r="G487" s="20">
        <x:v>47</x:v>
      </x:c>
      <x:c r="H487" s="20">
        <x:v>4.5</x:v>
      </x:c>
      <x:c r="I487" s="26" t="s">
        <x:v>1215</x:v>
      </x:c>
      <x:c r="J487" s="22">
        <x:v>0</x:v>
      </x:c>
      <x:c r="K487" s="22">
        <x:v>0</x:v>
      </x:c>
      <x:c r="L487" s="23">
        <x:v>300</x:v>
      </x:c>
    </x:row>
    <x:row r="488">
      <x:c r="A488" s="18" t="s">
        <x:v>1216</x:v>
      </x:c>
      <x:c r="B488" s="19" t="s">
        <x:v>1217</x:v>
      </x:c>
      <x:c r="C488" s="20">
        <x:v>39211900</x:v>
      </x:c>
      <x:c r="D488" s="20">
        <x:v>73</x:v>
      </x:c>
      <x:c r="E488" s="18" t="s">
        <x:v>227</x:v>
      </x:c>
      <x:c r="F488" s="19" t="s">
        <x:v>11</x:v>
      </x:c>
      <x:c r="G488" s="20">
        <x:v>440</x:v>
      </x:c>
      <x:c r="H488" s="21"/>
      <x:c r="I488" s="26" t="s">
        <x:v>826</x:v>
      </x:c>
      <x:c r="J488" s="22">
        <x:v>0</x:v>
      </x:c>
      <x:c r="K488" s="22">
        <x:v>0</x:v>
      </x:c>
      <x:c r="L488" s="23">
        <x:v>174</x:v>
      </x:c>
    </x:row>
    <x:row r="489">
      <x:c r="A489" s="18" t="s">
        <x:v>1218</x:v>
      </x:c>
      <x:c r="B489" s="19" t="s">
        <x:v>1219</x:v>
      </x:c>
      <x:c r="C489" s="20">
        <x:v>39211900</x:v>
      </x:c>
      <x:c r="D489" s="20">
        <x:v>1672</x:v>
      </x:c>
      <x:c r="E489" s="18" t="s">
        <x:v>227</x:v>
      </x:c>
      <x:c r="F489" s="19" t="s">
        <x:v>11</x:v>
      </x:c>
      <x:c r="G489" s="20">
        <x:v>380</x:v>
      </x:c>
      <x:c r="H489" s="20">
        <x:v>1.25</x:v>
      </x:c>
      <x:c r="I489" s="26" t="s">
        <x:v>1215</x:v>
      </x:c>
      <x:c r="J489" s="23">
        <x:v>3</x:v>
      </x:c>
      <x:c r="K489" s="23">
        <x:v>1080</x:v>
      </x:c>
      <x:c r="L489" s="23">
        <x:v>5</x:v>
      </x:c>
    </x:row>
    <x:row r="490">
      <x:c r="A490" s="18" t="s">
        <x:v>1220</x:v>
      </x:c>
      <x:c r="B490" s="19" t="s">
        <x:v>1221</x:v>
      </x:c>
      <x:c r="C490" s="20">
        <x:v>84289090</x:v>
      </x:c>
      <x:c r="D490" s="20">
        <x:v>5.62</x:v>
      </x:c>
      <x:c r="E490" s="18" t="s">
        <x:v>227</x:v>
      </x:c>
      <x:c r="F490" s="19" t="s">
        <x:v>87</x:v>
      </x:c>
      <x:c r="G490" s="20">
        <x:v>0</x:v>
      </x:c>
      <x:c r="H490" s="20">
        <x:v>369</x:v>
      </x:c>
      <x:c r="I490" s="21"/>
      <x:c r="J490" s="22">
        <x:v>0</x:v>
      </x:c>
      <x:c r="K490" s="22">
        <x:v>0</x:v>
      </x:c>
      <x:c r="L490" s="23">
        <x:v>0</x:v>
      </x:c>
    </x:row>
    <x:row r="491">
      <x:c r="A491" s="18" t="s">
        <x:v>1222</x:v>
      </x:c>
      <x:c r="B491" s="19" t="s">
        <x:v>1223</x:v>
      </x:c>
      <x:c r="C491" s="20">
        <x:v>996511</x:v>
      </x:c>
      <x:c r="D491" s="20">
        <x:v>1636.04</x:v>
      </x:c>
      <x:c r="E491" s="18" t="s">
        <x:v>227</x:v>
      </x:c>
      <x:c r="F491" s="19" t="s">
        <x:v>1224</x:v>
      </x:c>
      <x:c r="G491" s="20">
        <x:v>0</x:v>
      </x:c>
      <x:c r="H491" s="20">
        <x:v>1.25</x:v>
      </x:c>
      <x:c r="I491" s="21"/>
      <x:c r="J491" s="22">
        <x:v>0</x:v>
      </x:c>
      <x:c r="K491" s="22">
        <x:v>0</x:v>
      </x:c>
      <x:c r="L491" s="23">
        <x:v>0</x:v>
      </x:c>
    </x:row>
    <x:row r="492">
      <x:c r="A492" s="18" t="s">
        <x:v>1225</x:v>
      </x:c>
      <x:c r="B492" s="19" t="s">
        <x:v>1226</x:v>
      </x:c>
      <x:c r="C492" s="20">
        <x:v>940340</x:v>
      </x:c>
      <x:c r="D492" s="20">
        <x:v>1620.2</x:v>
      </x:c>
      <x:c r="E492" s="18" t="s">
        <x:v>227</x:v>
      </x:c>
      <x:c r="F492" s="19" t="s">
        <x:v>82</x:v>
      </x:c>
      <x:c r="G492" s="20">
        <x:v>0</x:v>
      </x:c>
      <x:c r="H492" s="20">
        <x:v>1.25</x:v>
      </x:c>
      <x:c r="I492" s="21"/>
      <x:c r="J492" s="22">
        <x:v>0</x:v>
      </x:c>
      <x:c r="K492" s="22">
        <x:v>0</x:v>
      </x:c>
      <x:c r="L492" s="23">
        <x:v>0</x:v>
      </x:c>
    </x:row>
    <x:row r="493">
      <x:c r="A493" s="18" t="s">
        <x:v>1227</x:v>
      </x:c>
      <x:c r="B493" s="19" t="s">
        <x:v>1228</x:v>
      </x:c>
      <x:c r="C493" s="20">
        <x:v>70071900</x:v>
      </x:c>
      <x:c r="D493" s="20">
        <x:v>705</x:v>
      </x:c>
      <x:c r="E493" s="18" t="s">
        <x:v>227</x:v>
      </x:c>
      <x:c r="F493" s="19" t="s">
        <x:v>11</x:v>
      </x:c>
      <x:c r="G493" s="20">
        <x:v>500.49</x:v>
      </x:c>
      <x:c r="H493" s="21"/>
      <x:c r="I493" s="26" t="s">
        <x:v>1229</x:v>
      </x:c>
      <x:c r="J493" s="22">
        <x:v>0</x:v>
      </x:c>
      <x:c r="K493" s="22">
        <x:v>0</x:v>
      </x:c>
      <x:c r="L493" s="23">
        <x:v>0</x:v>
      </x:c>
    </x:row>
    <x:row r="494">
      <x:c r="A494" s="18" t="s">
        <x:v>1230</x:v>
      </x:c>
      <x:c r="B494" s="19" t="s">
        <x:v>1231</x:v>
      </x:c>
      <x:c r="C494" s="20">
        <x:v>70071900</x:v>
      </x:c>
      <x:c r="D494" s="20">
        <x:v>108</x:v>
      </x:c>
      <x:c r="E494" s="18"/>
      <x:c r="F494" s="19" t="s">
        <x:v>11</x:v>
      </x:c>
      <x:c r="G494" s="20">
        <x:v>0</x:v>
      </x:c>
      <x:c r="H494" s="20">
        <x:v>0</x:v>
      </x:c>
      <x:c r="I494" s="21" t="s">
        <x:v>1229</x:v>
      </x:c>
      <x:c r="J494" s="22">
        <x:v>0</x:v>
      </x:c>
      <x:c r="K494" s="22">
        <x:v>0</x:v>
      </x:c>
      <x:c r="L494" s="23">
        <x:v>0</x:v>
      </x:c>
    </x:row>
    <x:row r="495">
      <x:c r="A495" s="18" t="s">
        <x:v>1232</x:v>
      </x:c>
      <x:c r="B495" s="19" t="s">
        <x:v>1233</x:v>
      </x:c>
      <x:c r="C495" s="20">
        <x:v>70071900</x:v>
      </x:c>
      <x:c r="D495" s="20">
        <x:v>1716.67</x:v>
      </x:c>
      <x:c r="E495" s="18" t="s">
        <x:v>227</x:v>
      </x:c>
      <x:c r="F495" s="19" t="s">
        <x:v>11</x:v>
      </x:c>
      <x:c r="G495" s="20">
        <x:v>1586.2</x:v>
      </x:c>
      <x:c r="H495" s="21"/>
      <x:c r="I495" s="26" t="s">
        <x:v>1234</x:v>
      </x:c>
      <x:c r="J495" s="22">
        <x:v>0</x:v>
      </x:c>
      <x:c r="K495" s="22">
        <x:v>0</x:v>
      </x:c>
      <x:c r="L495" s="23">
        <x:v>0</x:v>
      </x:c>
    </x:row>
    <x:row r="496">
      <x:c r="A496" s="18" t="s">
        <x:v>1235</x:v>
      </x:c>
      <x:c r="B496" s="19" t="s">
        <x:v>1236</x:v>
      </x:c>
      <x:c r="C496" s="20">
        <x:v>70071900</x:v>
      </x:c>
      <x:c r="D496" s="20">
        <x:v>916.41</x:v>
      </x:c>
      <x:c r="E496" s="18" t="s">
        <x:v>227</x:v>
      </x:c>
      <x:c r="F496" s="19" t="s">
        <x:v>11</x:v>
      </x:c>
      <x:c r="G496" s="20">
        <x:v>1784.5</x:v>
      </x:c>
      <x:c r="H496" s="21"/>
      <x:c r="I496" s="26" t="s">
        <x:v>1234</x:v>
      </x:c>
      <x:c r="J496" s="22">
        <x:v>0</x:v>
      </x:c>
      <x:c r="K496" s="22">
        <x:v>0</x:v>
      </x:c>
      <x:c r="L496" s="23">
        <x:v>0</x:v>
      </x:c>
    </x:row>
    <x:row r="497">
      <x:c r="A497" s="18" t="s">
        <x:v>1237</x:v>
      </x:c>
      <x:c r="B497" s="19" t="s">
        <x:v>1238</x:v>
      </x:c>
      <x:c r="C497" s="20">
        <x:v>70071900</x:v>
      </x:c>
      <x:c r="D497" s="20">
        <x:v>2234.48</x:v>
      </x:c>
      <x:c r="E497" s="18" t="s">
        <x:v>227</x:v>
      </x:c>
      <x:c r="F497" s="19" t="s">
        <x:v>11</x:v>
      </x:c>
      <x:c r="G497" s="20">
        <x:v>3620.4</x:v>
      </x:c>
      <x:c r="H497" s="21"/>
      <x:c r="I497" s="26" t="s">
        <x:v>1234</x:v>
      </x:c>
      <x:c r="J497" s="22">
        <x:v>0</x:v>
      </x:c>
      <x:c r="K497" s="22">
        <x:v>0</x:v>
      </x:c>
      <x:c r="L497" s="23">
        <x:v>0</x:v>
      </x:c>
    </x:row>
    <x:row r="498">
      <x:c r="A498" s="18" t="s">
        <x:v>1239</x:v>
      </x:c>
      <x:c r="B498" s="19" t="s">
        <x:v>1240</x:v>
      </x:c>
      <x:c r="C498" s="20">
        <x:v>70071900</x:v>
      </x:c>
      <x:c r="D498" s="20">
        <x:v>545.46</x:v>
      </x:c>
      <x:c r="E498" s="18" t="s">
        <x:v>227</x:v>
      </x:c>
      <x:c r="F498" s="19" t="s">
        <x:v>11</x:v>
      </x:c>
      <x:c r="G498" s="20">
        <x:v>539.77</x:v>
      </x:c>
      <x:c r="H498" s="21"/>
      <x:c r="I498" s="26" t="s">
        <x:v>1234</x:v>
      </x:c>
      <x:c r="J498" s="22">
        <x:v>0</x:v>
      </x:c>
      <x:c r="K498" s="22">
        <x:v>0</x:v>
      </x:c>
      <x:c r="L498" s="23">
        <x:v>0</x:v>
      </x:c>
    </x:row>
    <x:row r="499">
      <x:c r="A499" s="18" t="s">
        <x:v>1241</x:v>
      </x:c>
      <x:c r="B499" s="19" t="s">
        <x:v>1242</x:v>
      </x:c>
      <x:c r="C499" s="20">
        <x:v>70071900</x:v>
      </x:c>
      <x:c r="D499" s="20">
        <x:v>5550</x:v>
      </x:c>
      <x:c r="E499" s="18" t="s">
        <x:v>227</x:v>
      </x:c>
      <x:c r="F499" s="19" t="s">
        <x:v>11</x:v>
      </x:c>
      <x:c r="G499" s="20">
        <x:v>1359.6</x:v>
      </x:c>
      <x:c r="H499" s="21"/>
      <x:c r="I499" s="26" t="s">
        <x:v>1229</x:v>
      </x:c>
      <x:c r="J499" s="22">
        <x:v>0</x:v>
      </x:c>
      <x:c r="K499" s="22">
        <x:v>0</x:v>
      </x:c>
      <x:c r="L499" s="23">
        <x:v>0</x:v>
      </x:c>
    </x:row>
    <x:row r="500">
      <x:c r="A500" s="18" t="s">
        <x:v>1243</x:v>
      </x:c>
      <x:c r="B500" s="19" t="s">
        <x:v>1244</x:v>
      </x:c>
      <x:c r="C500" s="20">
        <x:v>70071900</x:v>
      </x:c>
      <x:c r="D500" s="20">
        <x:v>4770</x:v>
      </x:c>
      <x:c r="E500" s="18" t="s">
        <x:v>227</x:v>
      </x:c>
      <x:c r="F500" s="19" t="s">
        <x:v>11</x:v>
      </x:c>
      <x:c r="G500" s="20">
        <x:v>793.12</x:v>
      </x:c>
      <x:c r="H500" s="21"/>
      <x:c r="I500" s="26" t="s">
        <x:v>1229</x:v>
      </x:c>
      <x:c r="J500" s="22">
        <x:v>0</x:v>
      </x:c>
      <x:c r="K500" s="22">
        <x:v>0</x:v>
      </x:c>
      <x:c r="L500" s="23">
        <x:v>0</x:v>
      </x:c>
    </x:row>
    <x:row r="501">
      <x:c r="A501" s="18" t="s">
        <x:v>1245</x:v>
      </x:c>
      <x:c r="B501" s="19" t="s">
        <x:v>1246</x:v>
      </x:c>
      <x:c r="C501" s="20">
        <x:v>70071900</x:v>
      </x:c>
      <x:c r="D501" s="20">
        <x:v>490</x:v>
      </x:c>
      <x:c r="E501" s="18" t="s">
        <x:v>227</x:v>
      </x:c>
      <x:c r="F501" s="19" t="s">
        <x:v>11</x:v>
      </x:c>
      <x:c r="G501" s="20">
        <x:v>5813.8</x:v>
      </x:c>
      <x:c r="H501" s="21"/>
      <x:c r="I501" s="26" t="s">
        <x:v>1234</x:v>
      </x:c>
      <x:c r="J501" s="22">
        <x:v>0</x:v>
      </x:c>
      <x:c r="K501" s="22">
        <x:v>0</x:v>
      </x:c>
      <x:c r="L501" s="23">
        <x:v>0</x:v>
      </x:c>
    </x:row>
    <x:row r="502">
      <x:c r="A502" s="18" t="s">
        <x:v>1247</x:v>
      </x:c>
      <x:c r="B502" s="19" t="s">
        <x:v>1248</x:v>
      </x:c>
      <x:c r="C502" s="20">
        <x:v>70071900</x:v>
      </x:c>
      <x:c r="D502" s="20">
        <x:v>6.57</x:v>
      </x:c>
      <x:c r="E502" s="18" t="s">
        <x:v>227</x:v>
      </x:c>
      <x:c r="F502" s="19" t="s">
        <x:v>11</x:v>
      </x:c>
      <x:c r="G502" s="20">
        <x:v>1090.3</x:v>
      </x:c>
      <x:c r="H502" s="20">
        <x:v>0</x:v>
      </x:c>
      <x:c r="I502" s="26" t="s">
        <x:v>1234</x:v>
      </x:c>
      <x:c r="J502" s="22">
        <x:v>0</x:v>
      </x:c>
      <x:c r="K502" s="22">
        <x:v>0</x:v>
      </x:c>
      <x:c r="L502" s="23">
        <x:v>0</x:v>
      </x:c>
    </x:row>
    <x:row r="503">
      <x:c r="A503" s="18" t="s">
        <x:v>1249</x:v>
      </x:c>
      <x:c r="B503" s="19" t="s">
        <x:v>1250</x:v>
      </x:c>
      <x:c r="C503" s="20">
        <x:v>70071900</x:v>
      </x:c>
      <x:c r="D503" s="20">
        <x:v>919.29</x:v>
      </x:c>
      <x:c r="E503" s="18" t="s">
        <x:v>227</x:v>
      </x:c>
      <x:c r="F503" s="19" t="s">
        <x:v>11</x:v>
      </x:c>
      <x:c r="G503" s="20">
        <x:v>1775.2</x:v>
      </x:c>
      <x:c r="H503" s="21"/>
      <x:c r="I503" s="26" t="s">
        <x:v>1229</x:v>
      </x:c>
      <x:c r="J503" s="22">
        <x:v>0</x:v>
      </x:c>
      <x:c r="K503" s="22">
        <x:v>0</x:v>
      </x:c>
      <x:c r="L503" s="23">
        <x:v>0</x:v>
      </x:c>
    </x:row>
    <x:row r="504">
      <x:c r="A504" s="18" t="s">
        <x:v>1251</x:v>
      </x:c>
      <x:c r="B504" s="19" t="s">
        <x:v>1252</x:v>
      </x:c>
      <x:c r="C504" s="20">
        <x:v>70071900</x:v>
      </x:c>
      <x:c r="D504" s="20">
        <x:v>710.87</x:v>
      </x:c>
      <x:c r="E504" s="18" t="s">
        <x:v>227</x:v>
      </x:c>
      <x:c r="F504" s="19" t="s">
        <x:v>11</x:v>
      </x:c>
      <x:c r="G504" s="20">
        <x:v>4639.3999999999996</x:v>
      </x:c>
      <x:c r="H504" s="21"/>
      <x:c r="I504" s="26" t="s">
        <x:v>1229</x:v>
      </x:c>
      <x:c r="J504" s="22">
        <x:v>0</x:v>
      </x:c>
      <x:c r="K504" s="22">
        <x:v>0</x:v>
      </x:c>
      <x:c r="L504" s="23">
        <x:v>0</x:v>
      </x:c>
    </x:row>
    <x:row r="505">
      <x:c r="A505" s="18" t="s">
        <x:v>1253</x:v>
      </x:c>
      <x:c r="B505" s="19" t="s">
        <x:v>1254</x:v>
      </x:c>
      <x:c r="C505" s="20">
        <x:v>70071900</x:v>
      </x:c>
      <x:c r="D505" s="20">
        <x:v>544.78</x:v>
      </x:c>
      <x:c r="E505" s="18" t="s">
        <x:v>227</x:v>
      </x:c>
      <x:c r="F505" s="19" t="s">
        <x:v>11</x:v>
      </x:c>
      <x:c r="G505" s="20">
        <x:v>1788.3</x:v>
      </x:c>
      <x:c r="H505" s="21"/>
      <x:c r="I505" s="26" t="s">
        <x:v>1234</x:v>
      </x:c>
      <x:c r="J505" s="22">
        <x:v>0</x:v>
      </x:c>
      <x:c r="K505" s="22">
        <x:v>0</x:v>
      </x:c>
      <x:c r="L505" s="23">
        <x:v>0</x:v>
      </x:c>
    </x:row>
    <x:row r="506">
      <x:c r="A506" s="18" t="s">
        <x:v>1255</x:v>
      </x:c>
      <x:c r="B506" s="19" t="s">
        <x:v>1256</x:v>
      </x:c>
      <x:c r="C506" s="20">
        <x:v>70071900</x:v>
      </x:c>
      <x:c r="D506" s="20">
        <x:v>750</x:v>
      </x:c>
      <x:c r="E506" s="18" t="s">
        <x:v>227</x:v>
      </x:c>
      <x:c r="F506" s="19" t="s">
        <x:v>11</x:v>
      </x:c>
      <x:c r="G506" s="20">
        <x:v>1681.2</x:v>
      </x:c>
      <x:c r="H506" s="21"/>
      <x:c r="I506" s="26" t="s">
        <x:v>1234</x:v>
      </x:c>
      <x:c r="J506" s="22">
        <x:v>0</x:v>
      </x:c>
      <x:c r="K506" s="22">
        <x:v>0</x:v>
      </x:c>
      <x:c r="L506" s="23">
        <x:v>0</x:v>
      </x:c>
    </x:row>
    <x:row r="507">
      <x:c r="A507" s="18" t="s">
        <x:v>1257</x:v>
      </x:c>
      <x:c r="B507" s="19" t="s">
        <x:v>1258</x:v>
      </x:c>
      <x:c r="C507" s="20">
        <x:v>70071900</x:v>
      </x:c>
      <x:c r="D507" s="20">
        <x:v>500.66</x:v>
      </x:c>
      <x:c r="E507" s="18"/>
      <x:c r="F507" s="19" t="s">
        <x:v>11</x:v>
      </x:c>
      <x:c r="G507" s="20">
        <x:v>0</x:v>
      </x:c>
      <x:c r="H507" s="21"/>
      <x:c r="I507" s="21" t="s">
        <x:v>1229</x:v>
      </x:c>
      <x:c r="J507" s="23">
        <x:v>1</x:v>
      </x:c>
      <x:c r="K507" s="23">
        <x:v>7410</x:v>
      </x:c>
      <x:c r="L507" s="23">
        <x:v>1</x:v>
      </x:c>
    </x:row>
    <x:row r="508">
      <x:c r="A508" s="18" t="s">
        <x:v>1259</x:v>
      </x:c>
      <x:c r="B508" s="19" t="s">
        <x:v>1260</x:v>
      </x:c>
      <x:c r="C508" s="20">
        <x:v>70071900</x:v>
      </x:c>
      <x:c r="D508" s="20">
        <x:v>532.16</x:v>
      </x:c>
      <x:c r="E508" s="18" t="s">
        <x:v>227</x:v>
      </x:c>
      <x:c r="F508" s="19" t="s">
        <x:v>11</x:v>
      </x:c>
      <x:c r="G508" s="20">
        <x:v>565</x:v>
      </x:c>
      <x:c r="H508" s="21"/>
      <x:c r="I508" s="26" t="s">
        <x:v>1229</x:v>
      </x:c>
      <x:c r="J508" s="22">
        <x:v>0</x:v>
      </x:c>
      <x:c r="K508" s="22">
        <x:v>0</x:v>
      </x:c>
      <x:c r="L508" s="23">
        <x:v>0</x:v>
      </x:c>
    </x:row>
    <x:row r="509">
      <x:c r="A509" s="18" t="s">
        <x:v>1261</x:v>
      </x:c>
      <x:c r="B509" s="19" t="s">
        <x:v>1262</x:v>
      </x:c>
      <x:c r="C509" s="20">
        <x:v>70071900</x:v>
      </x:c>
      <x:c r="D509" s="20">
        <x:v>0.34</x:v>
      </x:c>
      <x:c r="E509" s="18" t="s">
        <x:v>227</x:v>
      </x:c>
      <x:c r="F509" s="19" t="s">
        <x:v>11</x:v>
      </x:c>
      <x:c r="G509" s="20">
        <x:v>715.54</x:v>
      </x:c>
      <x:c r="H509" s="21"/>
      <x:c r="I509" s="26" t="s">
        <x:v>1229</x:v>
      </x:c>
      <x:c r="J509" s="22">
        <x:v>0</x:v>
      </x:c>
      <x:c r="K509" s="22">
        <x:v>0</x:v>
      </x:c>
      <x:c r="L509" s="23">
        <x:v>0</x:v>
      </x:c>
    </x:row>
    <x:row r="510">
      <x:c r="A510" s="18" t="s">
        <x:v>1263</x:v>
      </x:c>
      <x:c r="B510" s="19" t="s">
        <x:v>1264</x:v>
      </x:c>
      <x:c r="C510" s="20">
        <x:v>70071900</x:v>
      </x:c>
      <x:c r="D510" s="20">
        <x:v>820.75</x:v>
      </x:c>
      <x:c r="E510" s="18" t="s">
        <x:v>227</x:v>
      </x:c>
      <x:c r="F510" s="19" t="s">
        <x:v>11</x:v>
      </x:c>
      <x:c r="G510" s="20">
        <x:v>1501.3</x:v>
      </x:c>
      <x:c r="H510" s="21"/>
      <x:c r="I510" s="26" t="s">
        <x:v>1234</x:v>
      </x:c>
      <x:c r="J510" s="22">
        <x:v>0</x:v>
      </x:c>
      <x:c r="K510" s="22">
        <x:v>0</x:v>
      </x:c>
      <x:c r="L510" s="23">
        <x:v>0</x:v>
      </x:c>
    </x:row>
    <x:row r="511">
      <x:c r="A511" s="18" t="s">
        <x:v>1265</x:v>
      </x:c>
      <x:c r="B511" s="19" t="s">
        <x:v>1266</x:v>
      </x:c>
      <x:c r="C511" s="20">
        <x:v>70071900</x:v>
      </x:c>
      <x:c r="D511" s="20">
        <x:v>565.77</x:v>
      </x:c>
      <x:c r="E511" s="18" t="s">
        <x:v>227</x:v>
      </x:c>
      <x:c r="F511" s="19" t="s">
        <x:v>11</x:v>
      </x:c>
      <x:c r="G511" s="20">
        <x:v>1359.6</x:v>
      </x:c>
      <x:c r="H511" s="21"/>
      <x:c r="I511" s="26" t="s">
        <x:v>1234</x:v>
      </x:c>
      <x:c r="J511" s="22">
        <x:v>0</x:v>
      </x:c>
      <x:c r="K511" s="22">
        <x:v>0</x:v>
      </x:c>
      <x:c r="L511" s="23">
        <x:v>0</x:v>
      </x:c>
    </x:row>
    <x:row r="512">
      <x:c r="A512" s="18" t="s">
        <x:v>1267</x:v>
      </x:c>
      <x:c r="B512" s="19" t="s">
        <x:v>1268</x:v>
      </x:c>
      <x:c r="C512" s="20">
        <x:v>70071900</x:v>
      </x:c>
      <x:c r="D512" s="20">
        <x:v>557.45000000000005</x:v>
      </x:c>
      <x:c r="E512" s="18" t="s">
        <x:v>227</x:v>
      </x:c>
      <x:c r="F512" s="19" t="s">
        <x:v>11</x:v>
      </x:c>
      <x:c r="G512" s="20">
        <x:v>1947</x:v>
      </x:c>
      <x:c r="H512" s="21"/>
      <x:c r="I512" s="26" t="s">
        <x:v>1234</x:v>
      </x:c>
      <x:c r="J512" s="22">
        <x:v>0</x:v>
      </x:c>
      <x:c r="K512" s="22">
        <x:v>0</x:v>
      </x:c>
      <x:c r="L512" s="23">
        <x:v>0</x:v>
      </x:c>
    </x:row>
    <x:row r="513">
      <x:c r="A513" s="18" t="s">
        <x:v>1269</x:v>
      </x:c>
      <x:c r="B513" s="19" t="s">
        <x:v>1270</x:v>
      </x:c>
      <x:c r="C513" s="20">
        <x:v>70071900</x:v>
      </x:c>
      <x:c r="D513" s="20">
        <x:v>1938.91</x:v>
      </x:c>
      <x:c r="E513" s="18" t="s">
        <x:v>227</x:v>
      </x:c>
      <x:c r="F513" s="19" t="s">
        <x:v>11</x:v>
      </x:c>
      <x:c r="G513" s="20">
        <x:v>1316.4</x:v>
      </x:c>
      <x:c r="H513" s="21"/>
      <x:c r="I513" s="26" t="s">
        <x:v>1234</x:v>
      </x:c>
      <x:c r="J513" s="22">
        <x:v>0</x:v>
      </x:c>
      <x:c r="K513" s="22">
        <x:v>0</x:v>
      </x:c>
      <x:c r="L513" s="23">
        <x:v>0</x:v>
      </x:c>
    </x:row>
    <x:row r="514">
      <x:c r="A514" s="18" t="s">
        <x:v>1271</x:v>
      </x:c>
      <x:c r="B514" s="19" t="s">
        <x:v>1272</x:v>
      </x:c>
      <x:c r="C514" s="20">
        <x:v>70071900</x:v>
      </x:c>
      <x:c r="D514" s="20">
        <x:v>250</x:v>
      </x:c>
      <x:c r="E514" s="18" t="s">
        <x:v>227</x:v>
      </x:c>
      <x:c r="F514" s="19" t="s">
        <x:v>11</x:v>
      </x:c>
      <x:c r="G514" s="20">
        <x:v>4483.8</x:v>
      </x:c>
      <x:c r="H514" s="21"/>
      <x:c r="I514" s="26" t="s">
        <x:v>1234</x:v>
      </x:c>
      <x:c r="J514" s="22">
        <x:v>0</x:v>
      </x:c>
      <x:c r="K514" s="22">
        <x:v>0</x:v>
      </x:c>
      <x:c r="L514" s="23">
        <x:v>0</x:v>
      </x:c>
    </x:row>
    <x:row r="515">
      <x:c r="A515" s="18" t="s">
        <x:v>1273</x:v>
      </x:c>
      <x:c r="B515" s="19" t="s">
        <x:v>1274</x:v>
      </x:c>
      <x:c r="C515" s="20">
        <x:v>70071900</x:v>
      </x:c>
      <x:c r="D515" s="20">
        <x:v>8129.81</x:v>
      </x:c>
      <x:c r="E515" s="18" t="s">
        <x:v>227</x:v>
      </x:c>
      <x:c r="F515" s="19" t="s">
        <x:v>11</x:v>
      </x:c>
      <x:c r="G515" s="20">
        <x:v>2097.8000000000002</x:v>
      </x:c>
      <x:c r="H515" s="21"/>
      <x:c r="I515" s="26" t="s">
        <x:v>1234</x:v>
      </x:c>
      <x:c r="J515" s="22">
        <x:v>0</x:v>
      </x:c>
      <x:c r="K515" s="22">
        <x:v>0</x:v>
      </x:c>
      <x:c r="L515" s="23">
        <x:v>0</x:v>
      </x:c>
    </x:row>
    <x:row r="516">
      <x:c r="A516" s="18" t="s">
        <x:v>1275</x:v>
      </x:c>
      <x:c r="B516" s="19" t="s">
        <x:v>1276</x:v>
      </x:c>
      <x:c r="C516" s="20">
        <x:v>70071900</x:v>
      </x:c>
      <x:c r="D516" s="20">
        <x:v>43963.49</x:v>
      </x:c>
      <x:c r="E516" s="18" t="s">
        <x:v>227</x:v>
      </x:c>
      <x:c r="F516" s="19" t="s">
        <x:v>11</x:v>
      </x:c>
      <x:c r="G516" s="20">
        <x:v>762.7</x:v>
      </x:c>
      <x:c r="H516" s="21"/>
      <x:c r="I516" s="26" t="s">
        <x:v>1229</x:v>
      </x:c>
      <x:c r="J516" s="22">
        <x:v>0</x:v>
      </x:c>
      <x:c r="K516" s="22">
        <x:v>0</x:v>
      </x:c>
      <x:c r="L516" s="23">
        <x:v>0</x:v>
      </x:c>
    </x:row>
    <x:row r="517">
      <x:c r="A517" s="18" t="s">
        <x:v>1277</x:v>
      </x:c>
      <x:c r="B517" s="19" t="s">
        <x:v>1278</x:v>
      </x:c>
      <x:c r="C517" s="20">
        <x:v>70071900</x:v>
      </x:c>
      <x:c r="D517" s="20">
        <x:v>364.29</x:v>
      </x:c>
      <x:c r="E517" s="18" t="s">
        <x:v>227</x:v>
      </x:c>
      <x:c r="F517" s="19" t="s">
        <x:v>11</x:v>
      </x:c>
      <x:c r="G517" s="20">
        <x:v>1460.2</x:v>
      </x:c>
      <x:c r="H517" s="21"/>
      <x:c r="I517" s="26" t="s">
        <x:v>1229</x:v>
      </x:c>
      <x:c r="J517" s="22">
        <x:v>0</x:v>
      </x:c>
      <x:c r="K517" s="22">
        <x:v>0</x:v>
      </x:c>
      <x:c r="L517" s="23">
        <x:v>0</x:v>
      </x:c>
    </x:row>
    <x:row r="518">
      <x:c r="A518" s="18" t="s">
        <x:v>1279</x:v>
      </x:c>
      <x:c r="B518" s="19" t="s">
        <x:v>1280</x:v>
      </x:c>
      <x:c r="C518" s="20">
        <x:v>70071900</x:v>
      </x:c>
      <x:c r="D518" s="20">
        <x:v>54884.24</x:v>
      </x:c>
      <x:c r="E518" s="18" t="s">
        <x:v>227</x:v>
      </x:c>
      <x:c r="F518" s="19" t="s">
        <x:v>11</x:v>
      </x:c>
      <x:c r="G518" s="20">
        <x:v>306.88</x:v>
      </x:c>
      <x:c r="H518" s="20">
        <x:v>0</x:v>
      </x:c>
      <x:c r="I518" s="26" t="s">
        <x:v>1234</x:v>
      </x:c>
      <x:c r="J518" s="22">
        <x:v>0</x:v>
      </x:c>
      <x:c r="K518" s="22">
        <x:v>0</x:v>
      </x:c>
      <x:c r="L518" s="23">
        <x:v>0</x:v>
      </x:c>
    </x:row>
    <x:row r="519">
      <x:c r="A519" s="18" t="s">
        <x:v>1281</x:v>
      </x:c>
      <x:c r="B519" s="19" t="s">
        <x:v>1282</x:v>
      </x:c>
      <x:c r="C519" s="20">
        <x:v>70071900</x:v>
      </x:c>
      <x:c r="D519" s="20">
        <x:v>3411.54</x:v>
      </x:c>
      <x:c r="E519" s="18" t="s">
        <x:v>227</x:v>
      </x:c>
      <x:c r="F519" s="19" t="s">
        <x:v>11</x:v>
      </x:c>
      <x:c r="G519" s="20">
        <x:v>388.26</x:v>
      </x:c>
      <x:c r="H519" s="21"/>
      <x:c r="I519" s="26" t="s">
        <x:v>1234</x:v>
      </x:c>
      <x:c r="J519" s="22">
        <x:v>0</x:v>
      </x:c>
      <x:c r="K519" s="22">
        <x:v>0</x:v>
      </x:c>
      <x:c r="L519" s="23">
        <x:v>0</x:v>
      </x:c>
    </x:row>
    <x:row r="520">
      <x:c r="A520" s="18" t="s">
        <x:v>1283</x:v>
      </x:c>
      <x:c r="B520" s="19" t="s">
        <x:v>1284</x:v>
      </x:c>
      <x:c r="C520" s="20">
        <x:v>70071900</x:v>
      </x:c>
      <x:c r="D520" s="20">
        <x:v>358.79</x:v>
      </x:c>
      <x:c r="E520" s="18" t="s">
        <x:v>227</x:v>
      </x:c>
      <x:c r="F520" s="19" t="s">
        <x:v>11</x:v>
      </x:c>
      <x:c r="G520" s="20">
        <x:v>343.01</x:v>
      </x:c>
      <x:c r="H520" s="21"/>
      <x:c r="I520" s="26" t="s">
        <x:v>1229</x:v>
      </x:c>
      <x:c r="J520" s="22">
        <x:v>0</x:v>
      </x:c>
      <x:c r="K520" s="22">
        <x:v>0</x:v>
      </x:c>
      <x:c r="L520" s="23">
        <x:v>0</x:v>
      </x:c>
    </x:row>
    <x:row r="521">
      <x:c r="A521" s="18" t="s">
        <x:v>1285</x:v>
      </x:c>
      <x:c r="B521" s="19" t="s">
        <x:v>1286</x:v>
      </x:c>
      <x:c r="C521" s="20">
        <x:v>70071900</x:v>
      </x:c>
      <x:c r="D521" s="20">
        <x:v>1648</x:v>
      </x:c>
      <x:c r="E521" s="18" t="s">
        <x:v>227</x:v>
      </x:c>
      <x:c r="F521" s="19" t="s">
        <x:v>11</x:v>
      </x:c>
      <x:c r="G521" s="20">
        <x:v>346.25</x:v>
      </x:c>
      <x:c r="H521" s="21"/>
      <x:c r="I521" s="26" t="s">
        <x:v>1229</x:v>
      </x:c>
      <x:c r="J521" s="22">
        <x:v>0</x:v>
      </x:c>
      <x:c r="K521" s="22">
        <x:v>0</x:v>
      </x:c>
      <x:c r="L521" s="23">
        <x:v>0</x:v>
      </x:c>
    </x:row>
    <x:row r="522">
      <x:c r="A522" s="18" t="s">
        <x:v>1287</x:v>
      </x:c>
      <x:c r="B522" s="19" t="s">
        <x:v>1288</x:v>
      </x:c>
      <x:c r="C522" s="20">
        <x:v>70071900</x:v>
      </x:c>
      <x:c r="D522" s="20">
        <x:v>1800.03</x:v>
      </x:c>
      <x:c r="E522" s="18" t="s">
        <x:v>227</x:v>
      </x:c>
      <x:c r="F522" s="19" t="s">
        <x:v>11</x:v>
      </x:c>
      <x:c r="G522" s="20">
        <x:v>541.28</x:v>
      </x:c>
      <x:c r="H522" s="21"/>
      <x:c r="I522" s="26" t="s">
        <x:v>1229</x:v>
      </x:c>
      <x:c r="J522" s="22">
        <x:v>0</x:v>
      </x:c>
      <x:c r="K522" s="22">
        <x:v>0</x:v>
      </x:c>
      <x:c r="L522" s="23">
        <x:v>0</x:v>
      </x:c>
    </x:row>
    <x:row r="523">
      <x:c r="A523" s="18" t="s">
        <x:v>1289</x:v>
      </x:c>
      <x:c r="B523" s="19" t="s">
        <x:v>1290</x:v>
      </x:c>
      <x:c r="C523" s="20">
        <x:v>70071900</x:v>
      </x:c>
      <x:c r="D523" s="20">
        <x:v>130800</x:v>
      </x:c>
      <x:c r="E523" s="18" t="s">
        <x:v>227</x:v>
      </x:c>
      <x:c r="F523" s="19" t="s">
        <x:v>11</x:v>
      </x:c>
      <x:c r="G523" s="20">
        <x:v>552.58000000000004</x:v>
      </x:c>
      <x:c r="H523" s="21"/>
      <x:c r="I523" s="26" t="s">
        <x:v>1234</x:v>
      </x:c>
      <x:c r="J523" s="22">
        <x:v>0</x:v>
      </x:c>
      <x:c r="K523" s="22">
        <x:v>0</x:v>
      </x:c>
      <x:c r="L523" s="23">
        <x:v>0</x:v>
      </x:c>
    </x:row>
    <x:row r="524">
      <x:c r="A524" s="18" t="s">
        <x:v>1291</x:v>
      </x:c>
      <x:c r="B524" s="19" t="s">
        <x:v>1292</x:v>
      </x:c>
      <x:c r="C524" s="20">
        <x:v>70071900</x:v>
      </x:c>
      <x:c r="D524" s="20">
        <x:v>155.52000000000001</x:v>
      </x:c>
      <x:c r="E524" s="18" t="s">
        <x:v>227</x:v>
      </x:c>
      <x:c r="F524" s="19" t="s">
        <x:v>11</x:v>
      </x:c>
      <x:c r="G524" s="20">
        <x:v>470.12</x:v>
      </x:c>
      <x:c r="H524" s="21"/>
      <x:c r="I524" s="26" t="s">
        <x:v>1234</x:v>
      </x:c>
      <x:c r="J524" s="22">
        <x:v>0</x:v>
      </x:c>
      <x:c r="K524" s="22">
        <x:v>0</x:v>
      </x:c>
      <x:c r="L524" s="23">
        <x:v>0</x:v>
      </x:c>
    </x:row>
    <x:row r="525">
      <x:c r="A525" s="18" t="s">
        <x:v>1293</x:v>
      </x:c>
      <x:c r="B525" s="19" t="s">
        <x:v>1294</x:v>
      </x:c>
      <x:c r="C525" s="20">
        <x:v>70071900</x:v>
      </x:c>
      <x:c r="D525" s="20">
        <x:v>1671.16</x:v>
      </x:c>
      <x:c r="E525" s="18" t="s">
        <x:v>227</x:v>
      </x:c>
      <x:c r="F525" s="19" t="s">
        <x:v>11</x:v>
      </x:c>
      <x:c r="G525" s="20">
        <x:v>508</x:v>
      </x:c>
      <x:c r="H525" s="21"/>
      <x:c r="I525" s="26" t="s">
        <x:v>1234</x:v>
      </x:c>
      <x:c r="J525" s="22">
        <x:v>0</x:v>
      </x:c>
      <x:c r="K525" s="22">
        <x:v>0</x:v>
      </x:c>
      <x:c r="L525" s="23">
        <x:v>0</x:v>
      </x:c>
    </x:row>
    <x:row r="526">
      <x:c r="A526" s="18" t="s">
        <x:v>1295</x:v>
      </x:c>
      <x:c r="B526" s="19" t="s">
        <x:v>1296</x:v>
      </x:c>
      <x:c r="C526" s="20">
        <x:v>70071900</x:v>
      </x:c>
      <x:c r="D526" s="20">
        <x:v>3913.07</x:v>
      </x:c>
      <x:c r="E526" s="18" t="s">
        <x:v>227</x:v>
      </x:c>
      <x:c r="F526" s="19" t="s">
        <x:v>11</x:v>
      </x:c>
      <x:c r="G526" s="20">
        <x:v>4818.8</x:v>
      </x:c>
      <x:c r="H526" s="21"/>
      <x:c r="I526" s="26" t="s">
        <x:v>1234</x:v>
      </x:c>
      <x:c r="J526" s="22">
        <x:v>0</x:v>
      </x:c>
      <x:c r="K526" s="22">
        <x:v>0</x:v>
      </x:c>
      <x:c r="L526" s="23">
        <x:v>0</x:v>
      </x:c>
    </x:row>
    <x:row r="527">
      <x:c r="A527" s="18" t="s">
        <x:v>1297</x:v>
      </x:c>
      <x:c r="B527" s="19" t="s">
        <x:v>1298</x:v>
      </x:c>
      <x:c r="C527" s="20">
        <x:v>70071900</x:v>
      </x:c>
      <x:c r="D527" s="20">
        <x:v>3576.6</x:v>
      </x:c>
      <x:c r="E527" s="18" t="s">
        <x:v>227</x:v>
      </x:c>
      <x:c r="F527" s="19" t="s">
        <x:v>11</x:v>
      </x:c>
      <x:c r="G527" s="20">
        <x:v>6867.6</x:v>
      </x:c>
      <x:c r="H527" s="21"/>
      <x:c r="I527" s="26" t="s">
        <x:v>1229</x:v>
      </x:c>
      <x:c r="J527" s="22">
        <x:v>0</x:v>
      </x:c>
      <x:c r="K527" s="22">
        <x:v>0</x:v>
      </x:c>
      <x:c r="L527" s="23">
        <x:v>0</x:v>
      </x:c>
    </x:row>
    <x:row r="528">
      <x:c r="A528" s="18" t="s">
        <x:v>1299</x:v>
      </x:c>
      <x:c r="B528" s="19" t="s">
        <x:v>1300</x:v>
      </x:c>
      <x:c r="C528" s="20">
        <x:v>70071900</x:v>
      </x:c>
      <x:c r="D528" s="20">
        <x:v>497.32</x:v>
      </x:c>
      <x:c r="E528" s="18" t="s">
        <x:v>227</x:v>
      </x:c>
      <x:c r="F528" s="19" t="s">
        <x:v>11</x:v>
      </x:c>
      <x:c r="G528" s="20">
        <x:v>14352</x:v>
      </x:c>
      <x:c r="H528" s="21"/>
      <x:c r="I528" s="26" t="s">
        <x:v>1229</x:v>
      </x:c>
      <x:c r="J528" s="22">
        <x:v>0</x:v>
      </x:c>
      <x:c r="K528" s="22">
        <x:v>0</x:v>
      </x:c>
      <x:c r="L528" s="23">
        <x:v>0</x:v>
      </x:c>
    </x:row>
    <x:row r="529">
      <x:c r="A529" s="18" t="s">
        <x:v>1301</x:v>
      </x:c>
      <x:c r="B529" s="19" t="s">
        <x:v>1302</x:v>
      </x:c>
      <x:c r="C529" s="20">
        <x:v>70071900</x:v>
      </x:c>
      <x:c r="D529" s="20">
        <x:v>659.82</x:v>
      </x:c>
      <x:c r="E529" s="18"/>
      <x:c r="F529" s="19" t="s">
        <x:v>11</x:v>
      </x:c>
      <x:c r="G529" s="20">
        <x:v>0</x:v>
      </x:c>
      <x:c r="H529" s="21"/>
      <x:c r="I529" s="21" t="s">
        <x:v>1229</x:v>
      </x:c>
      <x:c r="J529" s="22">
        <x:v>0</x:v>
      </x:c>
      <x:c r="K529" s="22">
        <x:v>0</x:v>
      </x:c>
      <x:c r="L529" s="23">
        <x:v>0</x:v>
      </x:c>
    </x:row>
    <x:row r="530">
      <x:c r="A530" s="18" t="s">
        <x:v>1303</x:v>
      </x:c>
      <x:c r="B530" s="19" t="s">
        <x:v>1304</x:v>
      </x:c>
      <x:c r="C530" s="20">
        <x:v>70071900</x:v>
      </x:c>
      <x:c r="D530" s="20">
        <x:v>2184.87</x:v>
      </x:c>
      <x:c r="E530" s="18" t="s">
        <x:v>227</x:v>
      </x:c>
      <x:c r="F530" s="19" t="s">
        <x:v>11</x:v>
      </x:c>
      <x:c r="G530" s="20">
        <x:v>0</x:v>
      </x:c>
      <x:c r="H530" s="21"/>
      <x:c r="I530" s="21" t="s">
        <x:v>1229</x:v>
      </x:c>
      <x:c r="J530" s="22">
        <x:v>0</x:v>
      </x:c>
      <x:c r="K530" s="22">
        <x:v>0</x:v>
      </x:c>
      <x:c r="L530" s="23">
        <x:v>0</x:v>
      </x:c>
    </x:row>
    <x:row r="531">
      <x:c r="A531" s="18" t="s">
        <x:v>1305</x:v>
      </x:c>
      <x:c r="B531" s="19" t="s">
        <x:v>1306</x:v>
      </x:c>
      <x:c r="C531" s="20">
        <x:v>70071900</x:v>
      </x:c>
      <x:c r="D531" s="20">
        <x:v>356.73</x:v>
      </x:c>
      <x:c r="E531" s="18" t="s">
        <x:v>227</x:v>
      </x:c>
      <x:c r="F531" s="19" t="s">
        <x:v>11</x:v>
      </x:c>
      <x:c r="G531" s="20">
        <x:v>0</x:v>
      </x:c>
      <x:c r="H531" s="21"/>
      <x:c r="I531" s="21" t="s">
        <x:v>1229</x:v>
      </x:c>
      <x:c r="J531" s="22">
        <x:v>0</x:v>
      </x:c>
      <x:c r="K531" s="22">
        <x:v>0</x:v>
      </x:c>
      <x:c r="L531" s="23">
        <x:v>0</x:v>
      </x:c>
    </x:row>
    <x:row r="532">
      <x:c r="A532" s="18" t="s">
        <x:v>1307</x:v>
      </x:c>
      <x:c r="B532" s="19" t="s">
        <x:v>1308</x:v>
      </x:c>
      <x:c r="C532" s="20">
        <x:v>70071900</x:v>
      </x:c>
      <x:c r="D532" s="20">
        <x:v>578.4</x:v>
      </x:c>
      <x:c r="E532" s="18" t="s">
        <x:v>227</x:v>
      </x:c>
      <x:c r="F532" s="19" t="s">
        <x:v>11</x:v>
      </x:c>
      <x:c r="G532" s="20">
        <x:v>0</x:v>
      </x:c>
      <x:c r="H532" s="21"/>
      <x:c r="I532" s="21" t="s">
        <x:v>1229</x:v>
      </x:c>
      <x:c r="J532" s="22">
        <x:v>0</x:v>
      </x:c>
      <x:c r="K532" s="22">
        <x:v>0</x:v>
      </x:c>
      <x:c r="L532" s="23">
        <x:v>0</x:v>
      </x:c>
    </x:row>
    <x:row r="533">
      <x:c r="A533" s="18" t="s">
        <x:v>1309</x:v>
      </x:c>
      <x:c r="B533" s="19" t="s">
        <x:v>1310</x:v>
      </x:c>
      <x:c r="C533" s="20">
        <x:v>70071900</x:v>
      </x:c>
      <x:c r="D533" s="20">
        <x:v>1015.46</x:v>
      </x:c>
      <x:c r="E533" s="18" t="s">
        <x:v>227</x:v>
      </x:c>
      <x:c r="F533" s="19" t="s">
        <x:v>11</x:v>
      </x:c>
      <x:c r="G533" s="20">
        <x:v>7425.1</x:v>
      </x:c>
      <x:c r="H533" s="21"/>
      <x:c r="I533" s="26" t="s">
        <x:v>1234</x:v>
      </x:c>
      <x:c r="J533" s="22">
        <x:v>0</x:v>
      </x:c>
      <x:c r="K533" s="22">
        <x:v>0</x:v>
      </x:c>
      <x:c r="L533" s="23">
        <x:v>0</x:v>
      </x:c>
    </x:row>
    <x:row r="534">
      <x:c r="A534" s="18" t="s">
        <x:v>1311</x:v>
      </x:c>
      <x:c r="B534" s="19" t="s">
        <x:v>1312</x:v>
      </x:c>
      <x:c r="C534" s="20">
        <x:v>70071900</x:v>
      </x:c>
      <x:c r="D534" s="20">
        <x:v>163.22999999999999</x:v>
      </x:c>
      <x:c r="E534" s="18" t="s">
        <x:v>227</x:v>
      </x:c>
      <x:c r="F534" s="19" t="s">
        <x:v>11</x:v>
      </x:c>
      <x:c r="G534" s="20">
        <x:v>0</x:v>
      </x:c>
      <x:c r="H534" s="21"/>
      <x:c r="I534" s="21" t="s">
        <x:v>1229</x:v>
      </x:c>
      <x:c r="J534" s="22">
        <x:v>0</x:v>
      </x:c>
      <x:c r="K534" s="22">
        <x:v>0</x:v>
      </x:c>
      <x:c r="L534" s="23">
        <x:v>0</x:v>
      </x:c>
    </x:row>
    <x:row r="535">
      <x:c r="A535" s="18" t="s">
        <x:v>1313</x:v>
      </x:c>
      <x:c r="B535" s="19" t="s">
        <x:v>1314</x:v>
      </x:c>
      <x:c r="C535" s="20">
        <x:v>70071900</x:v>
      </x:c>
      <x:c r="D535" s="20">
        <x:v>170.85</x:v>
      </x:c>
      <x:c r="E535" s="18" t="s">
        <x:v>227</x:v>
      </x:c>
      <x:c r="F535" s="19" t="s">
        <x:v>11</x:v>
      </x:c>
      <x:c r="G535" s="20">
        <x:v>0</x:v>
      </x:c>
      <x:c r="H535" s="21"/>
      <x:c r="I535" s="21" t="s">
        <x:v>1229</x:v>
      </x:c>
      <x:c r="J535" s="22">
        <x:v>0</x:v>
      </x:c>
      <x:c r="K535" s="22">
        <x:v>0</x:v>
      </x:c>
      <x:c r="L535" s="23">
        <x:v>0</x:v>
      </x:c>
    </x:row>
    <x:row r="536">
      <x:c r="A536" s="18" t="s">
        <x:v>1315</x:v>
      </x:c>
      <x:c r="B536" s="19" t="s">
        <x:v>1316</x:v>
      </x:c>
      <x:c r="C536" s="20">
        <x:v>70071900</x:v>
      </x:c>
      <x:c r="D536" s="20">
        <x:v>600.66</x:v>
      </x:c>
      <x:c r="E536" s="18" t="s">
        <x:v>227</x:v>
      </x:c>
      <x:c r="F536" s="19" t="s">
        <x:v>11</x:v>
      </x:c>
      <x:c r="G536" s="20">
        <x:v>0</x:v>
      </x:c>
      <x:c r="H536" s="21"/>
      <x:c r="I536" s="21" t="s">
        <x:v>1229</x:v>
      </x:c>
      <x:c r="J536" s="22">
        <x:v>0</x:v>
      </x:c>
      <x:c r="K536" s="22">
        <x:v>0</x:v>
      </x:c>
      <x:c r="L536" s="23">
        <x:v>0</x:v>
      </x:c>
    </x:row>
    <x:row r="537">
      <x:c r="A537" s="18" t="s">
        <x:v>1317</x:v>
      </x:c>
      <x:c r="B537" s="19" t="s">
        <x:v>1318</x:v>
      </x:c>
      <x:c r="C537" s="20">
        <x:v>70071900</x:v>
      </x:c>
      <x:c r="D537" s="20">
        <x:v>1585.54</x:v>
      </x:c>
      <x:c r="E537" s="18" t="s">
        <x:v>227</x:v>
      </x:c>
      <x:c r="F537" s="19" t="s">
        <x:v>11</x:v>
      </x:c>
      <x:c r="G537" s="20">
        <x:v>0</x:v>
      </x:c>
      <x:c r="H537" s="21"/>
      <x:c r="I537" s="21" t="s">
        <x:v>1229</x:v>
      </x:c>
      <x:c r="J537" s="22">
        <x:v>0</x:v>
      </x:c>
      <x:c r="K537" s="22">
        <x:v>0</x:v>
      </x:c>
      <x:c r="L537" s="23">
        <x:v>0</x:v>
      </x:c>
    </x:row>
    <x:row r="538">
      <x:c r="A538" s="18" t="s">
        <x:v>1319</x:v>
      </x:c>
      <x:c r="B538" s="19" t="s">
        <x:v>1320</x:v>
      </x:c>
      <x:c r="C538" s="20">
        <x:v>70071900</x:v>
      </x:c>
      <x:c r="D538" s="20">
        <x:v>705.45</x:v>
      </x:c>
      <x:c r="E538" s="18" t="s">
        <x:v>227</x:v>
      </x:c>
      <x:c r="F538" s="19" t="s">
        <x:v>11</x:v>
      </x:c>
      <x:c r="G538" s="20">
        <x:v>0</x:v>
      </x:c>
      <x:c r="H538" s="21"/>
      <x:c r="I538" s="21" t="s">
        <x:v>1229</x:v>
      </x:c>
      <x:c r="J538" s="22">
        <x:v>0</x:v>
      </x:c>
      <x:c r="K538" s="22">
        <x:v>0</x:v>
      </x:c>
      <x:c r="L538" s="23">
        <x:v>0</x:v>
      </x:c>
    </x:row>
    <x:row r="539">
      <x:c r="A539" s="18" t="s">
        <x:v>1321</x:v>
      </x:c>
      <x:c r="B539" s="19" t="s">
        <x:v>1322</x:v>
      </x:c>
      <x:c r="C539" s="20">
        <x:v>70071900</x:v>
      </x:c>
      <x:c r="D539" s="20">
        <x:v>300</x:v>
      </x:c>
      <x:c r="E539" s="18" t="s">
        <x:v>227</x:v>
      </x:c>
      <x:c r="F539" s="19" t="s">
        <x:v>11</x:v>
      </x:c>
      <x:c r="G539" s="20">
        <x:v>0</x:v>
      </x:c>
      <x:c r="H539" s="21"/>
      <x:c r="I539" s="21" t="s">
        <x:v>1229</x:v>
      </x:c>
      <x:c r="J539" s="22">
        <x:v>0</x:v>
      </x:c>
      <x:c r="K539" s="22">
        <x:v>0</x:v>
      </x:c>
      <x:c r="L539" s="23">
        <x:v>0</x:v>
      </x:c>
    </x:row>
    <x:row r="540">
      <x:c r="A540" s="18" t="s">
        <x:v>1323</x:v>
      </x:c>
      <x:c r="B540" s="19" t="s">
        <x:v>91</x:v>
      </x:c>
      <x:c r="C540" s="20">
        <x:v>70071900</x:v>
      </x:c>
      <x:c r="D540" s="20">
        <x:v>34</x:v>
      </x:c>
      <x:c r="E540" s="18" t="s">
        <x:v>227</x:v>
      </x:c>
      <x:c r="F540" s="19" t="s">
        <x:v>11</x:v>
      </x:c>
      <x:c r="G540" s="20">
        <x:v>5.64</x:v>
      </x:c>
      <x:c r="H540" s="20">
        <x:v>0</x:v>
      </x:c>
      <x:c r="I540" s="26" t="s">
        <x:v>272</x:v>
      </x:c>
      <x:c r="J540" s="23">
        <x:v>92</x:v>
      </x:c>
      <x:c r="K540" s="23">
        <x:v>492.94</x:v>
      </x:c>
      <x:c r="L540" s="23">
        <x:v>44</x:v>
      </x:c>
    </x:row>
    <x:row r="541">
      <x:c r="A541" s="18" t="s">
        <x:v>1324</x:v>
      </x:c>
      <x:c r="B541" s="19" t="s">
        <x:v>1325</x:v>
      </x:c>
      <x:c r="C541" s="20">
        <x:v>70071900</x:v>
      </x:c>
      <x:c r="D541" s="20">
        <x:v>739.09</x:v>
      </x:c>
      <x:c r="E541" s="18" t="s">
        <x:v>227</x:v>
      </x:c>
      <x:c r="F541" s="19" t="s">
        <x:v>11</x:v>
      </x:c>
      <x:c r="G541" s="20">
        <x:v>2924.7</x:v>
      </x:c>
      <x:c r="H541" s="21"/>
      <x:c r="I541" s="26" t="s">
        <x:v>1326</x:v>
      </x:c>
      <x:c r="J541" s="22">
        <x:v>0</x:v>
      </x:c>
      <x:c r="K541" s="22">
        <x:v>0</x:v>
      </x:c>
      <x:c r="L541" s="23">
        <x:v>0</x:v>
      </x:c>
    </x:row>
    <x:row r="542">
      <x:c r="A542" s="18" t="s">
        <x:v>1327</x:v>
      </x:c>
      <x:c r="B542" s="19" t="s">
        <x:v>1328</x:v>
      </x:c>
      <x:c r="C542" s="20">
        <x:v>70071900</x:v>
      </x:c>
      <x:c r="D542" s="20">
        <x:v>963.75</x:v>
      </x:c>
      <x:c r="E542" s="18" t="s">
        <x:v>227</x:v>
      </x:c>
      <x:c r="F542" s="19" t="s">
        <x:v>11</x:v>
      </x:c>
      <x:c r="G542" s="20">
        <x:v>2693.4</x:v>
      </x:c>
      <x:c r="H542" s="21"/>
      <x:c r="I542" s="26" t="s">
        <x:v>1234</x:v>
      </x:c>
      <x:c r="J542" s="22">
        <x:v>0</x:v>
      </x:c>
      <x:c r="K542" s="22">
        <x:v>0</x:v>
      </x:c>
      <x:c r="L542" s="23">
        <x:v>0</x:v>
      </x:c>
    </x:row>
    <x:row r="543">
      <x:c r="A543" s="18" t="s">
        <x:v>1329</x:v>
      </x:c>
      <x:c r="B543" s="19" t="s">
        <x:v>1330</x:v>
      </x:c>
      <x:c r="C543" s="20">
        <x:v>70071900</x:v>
      </x:c>
      <x:c r="D543" s="20">
        <x:v>470.12</x:v>
      </x:c>
      <x:c r="E543" s="18" t="s">
        <x:v>227</x:v>
      </x:c>
      <x:c r="F543" s="19" t="s">
        <x:v>11</x:v>
      </x:c>
      <x:c r="G543" s="20">
        <x:v>3809.6</x:v>
      </x:c>
      <x:c r="H543" s="21"/>
      <x:c r="I543" s="26" t="s">
        <x:v>1234</x:v>
      </x:c>
      <x:c r="J543" s="22">
        <x:v>0</x:v>
      </x:c>
      <x:c r="K543" s="22">
        <x:v>0</x:v>
      </x:c>
      <x:c r="L543" s="23">
        <x:v>0</x:v>
      </x:c>
    </x:row>
    <x:row r="544">
      <x:c r="A544" s="18" t="s">
        <x:v>1331</x:v>
      </x:c>
      <x:c r="B544" s="19" t="s">
        <x:v>1332</x:v>
      </x:c>
      <x:c r="C544" s="20">
        <x:v>70071900</x:v>
      </x:c>
      <x:c r="D544" s="20">
        <x:v>541.28</x:v>
      </x:c>
      <x:c r="E544" s="18" t="s">
        <x:v>227</x:v>
      </x:c>
      <x:c r="F544" s="19" t="s">
        <x:v>11</x:v>
      </x:c>
      <x:c r="G544" s="20">
        <x:v>0</x:v>
      </x:c>
      <x:c r="H544" s="21"/>
      <x:c r="I544" s="21" t="s">
        <x:v>1229</x:v>
      </x:c>
      <x:c r="J544" s="22">
        <x:v>0</x:v>
      </x:c>
      <x:c r="K544" s="22">
        <x:v>0</x:v>
      </x:c>
      <x:c r="L544" s="23">
        <x:v>4</x:v>
      </x:c>
    </x:row>
    <x:row r="545">
      <x:c r="A545" s="18" t="s">
        <x:v>1333</x:v>
      </x:c>
      <x:c r="B545" s="19" t="s">
        <x:v>1334</x:v>
      </x:c>
      <x:c r="C545" s="20">
        <x:v>70071900</x:v>
      </x:c>
      <x:c r="D545" s="20">
        <x:v>510.6</x:v>
      </x:c>
      <x:c r="E545" s="18" t="s">
        <x:v>227</x:v>
      </x:c>
      <x:c r="F545" s="19" t="s">
        <x:v>11</x:v>
      </x:c>
      <x:c r="G545" s="20">
        <x:v>1137.3</x:v>
      </x:c>
      <x:c r="H545" s="21"/>
      <x:c r="I545" s="26" t="s">
        <x:v>1234</x:v>
      </x:c>
      <x:c r="J545" s="22">
        <x:v>0</x:v>
      </x:c>
      <x:c r="K545" s="22">
        <x:v>0</x:v>
      </x:c>
      <x:c r="L545" s="23">
        <x:v>0</x:v>
      </x:c>
    </x:row>
    <x:row r="546">
      <x:c r="A546" s="18" t="s">
        <x:v>1335</x:v>
      </x:c>
      <x:c r="B546" s="19" t="s">
        <x:v>1336</x:v>
      </x:c>
      <x:c r="C546" s="20">
        <x:v>70071900</x:v>
      </x:c>
      <x:c r="D546" s="20">
        <x:v>1786.33</x:v>
      </x:c>
      <x:c r="E546" s="18" t="s">
        <x:v>227</x:v>
      </x:c>
      <x:c r="F546" s="19" t="s">
        <x:v>11</x:v>
      </x:c>
      <x:c r="G546" s="20">
        <x:v>0</x:v>
      </x:c>
      <x:c r="H546" s="21"/>
      <x:c r="I546" s="21" t="s">
        <x:v>1229</x:v>
      </x:c>
      <x:c r="J546" s="22">
        <x:v>0</x:v>
      </x:c>
      <x:c r="K546" s="22">
        <x:v>0</x:v>
      </x:c>
      <x:c r="L546" s="23">
        <x:v>0</x:v>
      </x:c>
    </x:row>
    <x:row r="547">
      <x:c r="A547" s="18" t="s">
        <x:v>1337</x:v>
      </x:c>
      <x:c r="B547" s="19" t="s">
        <x:v>1338</x:v>
      </x:c>
      <x:c r="C547" s="20">
        <x:v>70071900</x:v>
      </x:c>
      <x:c r="D547" s="20">
        <x:v>1785</x:v>
      </x:c>
      <x:c r="E547" s="18" t="s">
        <x:v>227</x:v>
      </x:c>
      <x:c r="F547" s="19" t="s">
        <x:v>11</x:v>
      </x:c>
      <x:c r="G547" s="20">
        <x:v>1368.5</x:v>
      </x:c>
      <x:c r="H547" s="21"/>
      <x:c r="I547" s="26" t="s">
        <x:v>1234</x:v>
      </x:c>
      <x:c r="J547" s="22">
        <x:v>0</x:v>
      </x:c>
      <x:c r="K547" s="22">
        <x:v>0</x:v>
      </x:c>
      <x:c r="L547" s="23">
        <x:v>0</x:v>
      </x:c>
    </x:row>
    <x:row r="548">
      <x:c r="A548" s="18" t="s">
        <x:v>1339</x:v>
      </x:c>
      <x:c r="B548" s="19" t="s">
        <x:v>1340</x:v>
      </x:c>
      <x:c r="C548" s="20">
        <x:v>70071900</x:v>
      </x:c>
      <x:c r="D548" s="20">
        <x:v>825.03</x:v>
      </x:c>
      <x:c r="E548" s="18" t="s">
        <x:v>227</x:v>
      </x:c>
      <x:c r="F548" s="19" t="s">
        <x:v>11</x:v>
      </x:c>
      <x:c r="G548" s="20">
        <x:v>0</x:v>
      </x:c>
      <x:c r="H548" s="21"/>
      <x:c r="I548" s="21" t="s">
        <x:v>1229</x:v>
      </x:c>
      <x:c r="J548" s="22">
        <x:v>0</x:v>
      </x:c>
      <x:c r="K548" s="22">
        <x:v>0</x:v>
      </x:c>
      <x:c r="L548" s="23">
        <x:v>4</x:v>
      </x:c>
    </x:row>
    <x:row r="549">
      <x:c r="A549" s="18" t="s">
        <x:v>1341</x:v>
      </x:c>
      <x:c r="B549" s="19" t="s">
        <x:v>1342</x:v>
      </x:c>
      <x:c r="C549" s="20">
        <x:v>70071900</x:v>
      </x:c>
      <x:c r="D549" s="20">
        <x:v>825.03</x:v>
      </x:c>
      <x:c r="E549" s="18" t="s">
        <x:v>227</x:v>
      </x:c>
      <x:c r="F549" s="19" t="s">
        <x:v>11</x:v>
      </x:c>
      <x:c r="G549" s="20">
        <x:v>1484.1</x:v>
      </x:c>
      <x:c r="H549" s="21"/>
      <x:c r="I549" s="26" t="s">
        <x:v>1234</x:v>
      </x:c>
      <x:c r="J549" s="22">
        <x:v>0</x:v>
      </x:c>
      <x:c r="K549" s="22">
        <x:v>0</x:v>
      </x:c>
      <x:c r="L549" s="23">
        <x:v>0</x:v>
      </x:c>
    </x:row>
    <x:row r="550">
      <x:c r="A550" s="18" t="s">
        <x:v>1343</x:v>
      </x:c>
      <x:c r="B550" s="19" t="s">
        <x:v>1344</x:v>
      </x:c>
      <x:c r="C550" s="20">
        <x:v>70071900</x:v>
      </x:c>
      <x:c r="D550" s="20">
        <x:v>1153.44</x:v>
      </x:c>
      <x:c r="E550" s="18" t="s">
        <x:v>227</x:v>
      </x:c>
      <x:c r="F550" s="19" t="s">
        <x:v>11</x:v>
      </x:c>
      <x:c r="G550" s="20">
        <x:v>1005.4</x:v>
      </x:c>
      <x:c r="H550" s="21"/>
      <x:c r="I550" s="26" t="s">
        <x:v>1229</x:v>
      </x:c>
      <x:c r="J550" s="22">
        <x:v>0</x:v>
      </x:c>
      <x:c r="K550" s="22">
        <x:v>0</x:v>
      </x:c>
      <x:c r="L550" s="23">
        <x:v>0</x:v>
      </x:c>
    </x:row>
    <x:row r="551">
      <x:c r="A551" s="18" t="s">
        <x:v>1345</x:v>
      </x:c>
      <x:c r="B551" s="19" t="s">
        <x:v>1346</x:v>
      </x:c>
      <x:c r="C551" s="20">
        <x:v>70071900</x:v>
      </x:c>
      <x:c r="D551" s="20">
        <x:v>1153.44</x:v>
      </x:c>
      <x:c r="E551" s="18" t="s">
        <x:v>227</x:v>
      </x:c>
      <x:c r="F551" s="19" t="s">
        <x:v>11</x:v>
      </x:c>
      <x:c r="G551" s="20">
        <x:v>1747.3</x:v>
      </x:c>
      <x:c r="H551" s="21"/>
      <x:c r="I551" s="26" t="s">
        <x:v>1229</x:v>
      </x:c>
      <x:c r="J551" s="22">
        <x:v>0</x:v>
      </x:c>
      <x:c r="K551" s="22">
        <x:v>0</x:v>
      </x:c>
      <x:c r="L551" s="23">
        <x:v>0</x:v>
      </x:c>
    </x:row>
    <x:row r="552">
      <x:c r="A552" s="18" t="s">
        <x:v>1347</x:v>
      </x:c>
      <x:c r="B552" s="19" t="s">
        <x:v>1348</x:v>
      </x:c>
      <x:c r="C552" s="20">
        <x:v>70071900</x:v>
      </x:c>
      <x:c r="D552" s="20">
        <x:v>3233.13</x:v>
      </x:c>
      <x:c r="E552" s="18" t="s">
        <x:v>227</x:v>
      </x:c>
      <x:c r="F552" s="19" t="s">
        <x:v>11</x:v>
      </x:c>
      <x:c r="G552" s="20">
        <x:v>1749.4</x:v>
      </x:c>
      <x:c r="H552" s="21"/>
      <x:c r="I552" s="26" t="s">
        <x:v>1229</x:v>
      </x:c>
      <x:c r="J552" s="22">
        <x:v>0</x:v>
      </x:c>
      <x:c r="K552" s="22">
        <x:v>0</x:v>
      </x:c>
      <x:c r="L552" s="23">
        <x:v>0</x:v>
      </x:c>
    </x:row>
    <x:row r="553">
      <x:c r="A553" s="18" t="s">
        <x:v>1349</x:v>
      </x:c>
      <x:c r="B553" s="19" t="s">
        <x:v>1350</x:v>
      </x:c>
      <x:c r="C553" s="20">
        <x:v>70071900</x:v>
      </x:c>
      <x:c r="D553" s="20">
        <x:v>321.2</x:v>
      </x:c>
      <x:c r="E553" s="18" t="s">
        <x:v>227</x:v>
      </x:c>
      <x:c r="F553" s="19" t="s">
        <x:v>11</x:v>
      </x:c>
      <x:c r="G553" s="20">
        <x:v>1868.2</x:v>
      </x:c>
      <x:c r="H553" s="21"/>
      <x:c r="I553" s="26" t="s">
        <x:v>1229</x:v>
      </x:c>
      <x:c r="J553" s="22">
        <x:v>0</x:v>
      </x:c>
      <x:c r="K553" s="22">
        <x:v>0</x:v>
      </x:c>
      <x:c r="L553" s="23">
        <x:v>0</x:v>
      </x:c>
    </x:row>
    <x:row r="554">
      <x:c r="A554" s="18" t="s">
        <x:v>1351</x:v>
      </x:c>
      <x:c r="B554" s="19" t="s">
        <x:v>1352</x:v>
      </x:c>
      <x:c r="C554" s="20">
        <x:v>70071900</x:v>
      </x:c>
      <x:c r="D554" s="20">
        <x:v>480.11</x:v>
      </x:c>
      <x:c r="E554" s="18" t="s">
        <x:v>227</x:v>
      </x:c>
      <x:c r="F554" s="19" t="s">
        <x:v>11</x:v>
      </x:c>
      <x:c r="G554" s="20">
        <x:v>1876.6</x:v>
      </x:c>
      <x:c r="H554" s="21"/>
      <x:c r="I554" s="26" t="s">
        <x:v>1229</x:v>
      </x:c>
      <x:c r="J554" s="22">
        <x:v>0</x:v>
      </x:c>
      <x:c r="K554" s="22">
        <x:v>0</x:v>
      </x:c>
      <x:c r="L554" s="23">
        <x:v>0</x:v>
      </x:c>
    </x:row>
    <x:row r="555">
      <x:c r="A555" s="18" t="s">
        <x:v>1353</x:v>
      </x:c>
      <x:c r="B555" s="19" t="s">
        <x:v>1354</x:v>
      </x:c>
      <x:c r="C555" s="20">
        <x:v>70071900</x:v>
      </x:c>
      <x:c r="D555" s="20">
        <x:v>420.28</x:v>
      </x:c>
      <x:c r="E555" s="18" t="s">
        <x:v>227</x:v>
      </x:c>
      <x:c r="F555" s="19" t="s">
        <x:v>11</x:v>
      </x:c>
      <x:c r="G555" s="20">
        <x:v>1882.8</x:v>
      </x:c>
      <x:c r="H555" s="21"/>
      <x:c r="I555" s="26" t="s">
        <x:v>1229</x:v>
      </x:c>
      <x:c r="J555" s="22">
        <x:v>0</x:v>
      </x:c>
      <x:c r="K555" s="22">
        <x:v>0</x:v>
      </x:c>
      <x:c r="L555" s="23">
        <x:v>0</x:v>
      </x:c>
    </x:row>
    <x:row r="556">
      <x:c r="A556" s="18" t="s">
        <x:v>1355</x:v>
      </x:c>
      <x:c r="B556" s="19" t="s">
        <x:v>1356</x:v>
      </x:c>
      <x:c r="C556" s="20">
        <x:v>70071900</x:v>
      </x:c>
      <x:c r="D556" s="20">
        <x:v>904.76</x:v>
      </x:c>
      <x:c r="E556" s="18" t="s">
        <x:v>227</x:v>
      </x:c>
      <x:c r="F556" s="19" t="s">
        <x:v>11</x:v>
      </x:c>
      <x:c r="G556" s="20">
        <x:v>1891.2</x:v>
      </x:c>
      <x:c r="H556" s="21"/>
      <x:c r="I556" s="26" t="s">
        <x:v>1229</x:v>
      </x:c>
      <x:c r="J556" s="22">
        <x:v>0</x:v>
      </x:c>
      <x:c r="K556" s="22">
        <x:v>0</x:v>
      </x:c>
      <x:c r="L556" s="23">
        <x:v>0</x:v>
      </x:c>
    </x:row>
    <x:row r="557">
      <x:c r="A557" s="18" t="s">
        <x:v>1357</x:v>
      </x:c>
      <x:c r="B557" s="19" t="s">
        <x:v>1358</x:v>
      </x:c>
      <x:c r="C557" s="20">
        <x:v>70071900</x:v>
      </x:c>
      <x:c r="D557" s="20">
        <x:v>904.76</x:v>
      </x:c>
      <x:c r="E557" s="18" t="s">
        <x:v>227</x:v>
      </x:c>
      <x:c r="F557" s="19" t="s">
        <x:v>11</x:v>
      </x:c>
      <x:c r="G557" s="20">
        <x:v>1893.3</x:v>
      </x:c>
      <x:c r="H557" s="21"/>
      <x:c r="I557" s="26" t="s">
        <x:v>1229</x:v>
      </x:c>
      <x:c r="J557" s="22">
        <x:v>0</x:v>
      </x:c>
      <x:c r="K557" s="22">
        <x:v>0</x:v>
      </x:c>
      <x:c r="L557" s="23">
        <x:v>0</x:v>
      </x:c>
    </x:row>
    <x:row r="558">
      <x:c r="A558" s="18" t="s">
        <x:v>1359</x:v>
      </x:c>
      <x:c r="B558" s="19" t="s">
        <x:v>1360</x:v>
      </x:c>
      <x:c r="C558" s="20">
        <x:v>70071900</x:v>
      </x:c>
      <x:c r="D558" s="20">
        <x:v>938.1</x:v>
      </x:c>
      <x:c r="E558" s="18" t="s">
        <x:v>227</x:v>
      </x:c>
      <x:c r="F558" s="19" t="s">
        <x:v>11</x:v>
      </x:c>
      <x:c r="G558" s="20">
        <x:v>979.71</x:v>
      </x:c>
      <x:c r="H558" s="21"/>
      <x:c r="I558" s="26" t="s">
        <x:v>1229</x:v>
      </x:c>
      <x:c r="J558" s="22">
        <x:v>0</x:v>
      </x:c>
      <x:c r="K558" s="22">
        <x:v>0</x:v>
      </x:c>
      <x:c r="L558" s="23">
        <x:v>0</x:v>
      </x:c>
    </x:row>
    <x:row r="559">
      <x:c r="A559" s="18" t="s">
        <x:v>1361</x:v>
      </x:c>
      <x:c r="B559" s="19" t="s">
        <x:v>1362</x:v>
      </x:c>
      <x:c r="C559" s="20">
        <x:v>70071900</x:v>
      </x:c>
      <x:c r="D559" s="20">
        <x:v>938.1</x:v>
      </x:c>
      <x:c r="E559" s="18" t="s">
        <x:v>227</x:v>
      </x:c>
      <x:c r="F559" s="19" t="s">
        <x:v>11</x:v>
      </x:c>
      <x:c r="G559" s="20">
        <x:v>3182.7</x:v>
      </x:c>
      <x:c r="H559" s="21"/>
      <x:c r="I559" s="26" t="s">
        <x:v>1229</x:v>
      </x:c>
      <x:c r="J559" s="22">
        <x:v>0</x:v>
      </x:c>
      <x:c r="K559" s="22">
        <x:v>0</x:v>
      </x:c>
      <x:c r="L559" s="23">
        <x:v>0</x:v>
      </x:c>
    </x:row>
    <x:row r="560">
      <x:c r="A560" s="18" t="s">
        <x:v>1363</x:v>
      </x:c>
      <x:c r="B560" s="19" t="s">
        <x:v>1364</x:v>
      </x:c>
      <x:c r="C560" s="20">
        <x:v>70071900</x:v>
      </x:c>
      <x:c r="D560" s="20">
        <x:v>13368.12</x:v>
      </x:c>
      <x:c r="E560" s="18" t="s">
        <x:v>227</x:v>
      </x:c>
      <x:c r="F560" s="19" t="s">
        <x:v>11</x:v>
      </x:c>
      <x:c r="G560" s="20">
        <x:v>0</x:v>
      </x:c>
      <x:c r="H560" s="21"/>
      <x:c r="I560" s="21" t="s">
        <x:v>1229</x:v>
      </x:c>
      <x:c r="J560" s="22">
        <x:v>0</x:v>
      </x:c>
      <x:c r="K560" s="22">
        <x:v>0</x:v>
      </x:c>
      <x:c r="L560" s="23">
        <x:v>0</x:v>
      </x:c>
    </x:row>
    <x:row r="561">
      <x:c r="A561" s="18" t="s">
        <x:v>1365</x:v>
      </x:c>
      <x:c r="B561" s="19" t="s">
        <x:v>1366</x:v>
      </x:c>
      <x:c r="C561" s="20">
        <x:v>70071900</x:v>
      </x:c>
      <x:c r="D561" s="20">
        <x:v>12134.9</x:v>
      </x:c>
      <x:c r="E561" s="18" t="s">
        <x:v>227</x:v>
      </x:c>
      <x:c r="F561" s="19" t="s">
        <x:v>11</x:v>
      </x:c>
      <x:c r="G561" s="20">
        <x:v>958.6</x:v>
      </x:c>
      <x:c r="H561" s="21"/>
      <x:c r="I561" s="26" t="s">
        <x:v>1234</x:v>
      </x:c>
      <x:c r="J561" s="22">
        <x:v>0</x:v>
      </x:c>
      <x:c r="K561" s="22">
        <x:v>0</x:v>
      </x:c>
      <x:c r="L561" s="23">
        <x:v>0</x:v>
      </x:c>
    </x:row>
    <x:row r="562">
      <x:c r="A562" s="18" t="s">
        <x:v>1367</x:v>
      </x:c>
      <x:c r="B562" s="19" t="s">
        <x:v>1368</x:v>
      </x:c>
      <x:c r="C562" s="20">
        <x:v>70071900</x:v>
      </x:c>
      <x:c r="D562" s="20">
        <x:v>621.20000000000005</x:v>
      </x:c>
      <x:c r="E562" s="18" t="s">
        <x:v>227</x:v>
      </x:c>
      <x:c r="F562" s="19" t="s">
        <x:v>11</x:v>
      </x:c>
      <x:c r="G562" s="20">
        <x:v>963.75</x:v>
      </x:c>
      <x:c r="H562" s="21"/>
      <x:c r="I562" s="26" t="s">
        <x:v>1229</x:v>
      </x:c>
      <x:c r="J562" s="22">
        <x:v>0</x:v>
      </x:c>
      <x:c r="K562" s="22">
        <x:v>0</x:v>
      </x:c>
      <x:c r="L562" s="23">
        <x:v>0</x:v>
      </x:c>
    </x:row>
    <x:row r="563">
      <x:c r="A563" s="18" t="s">
        <x:v>1369</x:v>
      </x:c>
      <x:c r="B563" s="19" t="s">
        <x:v>1370</x:v>
      </x:c>
      <x:c r="C563" s="20">
        <x:v>70071900</x:v>
      </x:c>
      <x:c r="D563" s="20">
        <x:v>489.73</x:v>
      </x:c>
      <x:c r="E563" s="18" t="s">
        <x:v>227</x:v>
      </x:c>
      <x:c r="F563" s="19" t="s">
        <x:v>11</x:v>
      </x:c>
      <x:c r="G563" s="20">
        <x:v>964.66</x:v>
      </x:c>
      <x:c r="H563" s="21"/>
      <x:c r="I563" s="26" t="s">
        <x:v>1234</x:v>
      </x:c>
      <x:c r="J563" s="22">
        <x:v>0</x:v>
      </x:c>
      <x:c r="K563" s="22">
        <x:v>0</x:v>
      </x:c>
      <x:c r="L563" s="23">
        <x:v>0</x:v>
      </x:c>
    </x:row>
    <x:row r="564">
      <x:c r="A564" s="18" t="s">
        <x:v>1371</x:v>
      </x:c>
      <x:c r="B564" s="19" t="s">
        <x:v>1372</x:v>
      </x:c>
      <x:c r="C564" s="20">
        <x:v>70071900</x:v>
      </x:c>
      <x:c r="D564" s="20">
        <x:v>406.77</x:v>
      </x:c>
      <x:c r="E564" s="18" t="s">
        <x:v>227</x:v>
      </x:c>
      <x:c r="F564" s="19" t="s">
        <x:v>11</x:v>
      </x:c>
      <x:c r="G564" s="20">
        <x:v>2945.9</x:v>
      </x:c>
      <x:c r="H564" s="21"/>
      <x:c r="I564" s="26" t="s">
        <x:v>1234</x:v>
      </x:c>
      <x:c r="J564" s="22">
        <x:v>0</x:v>
      </x:c>
      <x:c r="K564" s="22">
        <x:v>0</x:v>
      </x:c>
      <x:c r="L564" s="23">
        <x:v>0</x:v>
      </x:c>
    </x:row>
    <x:row r="565">
      <x:c r="A565" s="18" t="s">
        <x:v>1373</x:v>
      </x:c>
      <x:c r="B565" s="19" t="s">
        <x:v>1374</x:v>
      </x:c>
      <x:c r="C565" s="20">
        <x:v>70071900</x:v>
      </x:c>
      <x:c r="D565" s="20">
        <x:v>1792.83</x:v>
      </x:c>
      <x:c r="E565" s="18" t="s">
        <x:v>227</x:v>
      </x:c>
      <x:c r="F565" s="19" t="s">
        <x:v>11</x:v>
      </x:c>
      <x:c r="G565" s="20">
        <x:v>1586.2</x:v>
      </x:c>
      <x:c r="H565" s="21"/>
      <x:c r="I565" s="26" t="s">
        <x:v>1229</x:v>
      </x:c>
      <x:c r="J565" s="22">
        <x:v>0</x:v>
      </x:c>
      <x:c r="K565" s="22">
        <x:v>0</x:v>
      </x:c>
      <x:c r="L565" s="23">
        <x:v>0</x:v>
      </x:c>
    </x:row>
    <x:row r="566">
      <x:c r="A566" s="18" t="s">
        <x:v>1375</x:v>
      </x:c>
      <x:c r="B566" s="19" t="s">
        <x:v>1376</x:v>
      </x:c>
      <x:c r="C566" s="20">
        <x:v>70071900</x:v>
      </x:c>
      <x:c r="D566" s="20">
        <x:v>1460.21</x:v>
      </x:c>
      <x:c r="E566" s="18" t="s">
        <x:v>227</x:v>
      </x:c>
      <x:c r="F566" s="19" t="s">
        <x:v>11</x:v>
      </x:c>
      <x:c r="G566" s="20">
        <x:v>793.12</x:v>
      </x:c>
      <x:c r="H566" s="21"/>
      <x:c r="I566" s="26" t="s">
        <x:v>1234</x:v>
      </x:c>
      <x:c r="J566" s="22">
        <x:v>0</x:v>
      </x:c>
      <x:c r="K566" s="22">
        <x:v>0</x:v>
      </x:c>
      <x:c r="L566" s="23">
        <x:v>0</x:v>
      </x:c>
    </x:row>
    <x:row r="567">
      <x:c r="A567" s="18" t="s">
        <x:v>1377</x:v>
      </x:c>
      <x:c r="B567" s="19" t="s">
        <x:v>1378</x:v>
      </x:c>
      <x:c r="C567" s="20">
        <x:v>70071900</x:v>
      </x:c>
      <x:c r="D567" s="20">
        <x:v>2175.2800000000002</x:v>
      </x:c>
      <x:c r="E567" s="18" t="s">
        <x:v>227</x:v>
      </x:c>
      <x:c r="F567" s="19" t="s">
        <x:v>11</x:v>
      </x:c>
      <x:c r="G567" s="20">
        <x:v>1416.3</x:v>
      </x:c>
      <x:c r="H567" s="21"/>
      <x:c r="I567" s="26" t="s">
        <x:v>1234</x:v>
      </x:c>
      <x:c r="J567" s="22">
        <x:v>0</x:v>
      </x:c>
      <x:c r="K567" s="22">
        <x:v>0</x:v>
      </x:c>
      <x:c r="L567" s="23">
        <x:v>0</x:v>
      </x:c>
    </x:row>
    <x:row r="568">
      <x:c r="A568" s="18" t="s">
        <x:v>1379</x:v>
      </x:c>
      <x:c r="B568" s="19" t="s">
        <x:v>1380</x:v>
      </x:c>
      <x:c r="C568" s="20">
        <x:v>70071900</x:v>
      </x:c>
      <x:c r="D568" s="20">
        <x:v>11226.55</x:v>
      </x:c>
      <x:c r="E568" s="18" t="s">
        <x:v>227</x:v>
      </x:c>
      <x:c r="F568" s="19" t="s">
        <x:v>11</x:v>
      </x:c>
      <x:c r="G568" s="20">
        <x:v>1586.2</x:v>
      </x:c>
      <x:c r="H568" s="21"/>
      <x:c r="I568" s="26" t="s">
        <x:v>1234</x:v>
      </x:c>
      <x:c r="J568" s="22">
        <x:v>0</x:v>
      </x:c>
      <x:c r="K568" s="22">
        <x:v>0</x:v>
      </x:c>
      <x:c r="L568" s="23">
        <x:v>0</x:v>
      </x:c>
    </x:row>
    <x:row r="569">
      <x:c r="A569" s="18" t="s">
        <x:v>1381</x:v>
      </x:c>
      <x:c r="B569" s="19" t="s">
        <x:v>1382</x:v>
      </x:c>
      <x:c r="C569" s="20">
        <x:v>70071900</x:v>
      </x:c>
      <x:c r="D569" s="20">
        <x:v>10718.35</x:v>
      </x:c>
      <x:c r="E569" s="18" t="s">
        <x:v>227</x:v>
      </x:c>
      <x:c r="F569" s="19" t="s">
        <x:v>11</x:v>
      </x:c>
      <x:c r="G569" s="20">
        <x:v>3103.6</x:v>
      </x:c>
      <x:c r="H569" s="21"/>
      <x:c r="I569" s="26" t="s">
        <x:v>1234</x:v>
      </x:c>
      <x:c r="J569" s="22">
        <x:v>0</x:v>
      </x:c>
      <x:c r="K569" s="22">
        <x:v>0</x:v>
      </x:c>
      <x:c r="L569" s="23">
        <x:v>0</x:v>
      </x:c>
    </x:row>
    <x:row r="570">
      <x:c r="A570" s="18" t="s">
        <x:v>1383</x:v>
      </x:c>
      <x:c r="B570" s="19" t="s">
        <x:v>1384</x:v>
      </x:c>
      <x:c r="C570" s="20">
        <x:v>70071900</x:v>
      </x:c>
      <x:c r="D570" s="20">
        <x:v>2110.2399999999998</x:v>
      </x:c>
      <x:c r="E570" s="18" t="s">
        <x:v>227</x:v>
      </x:c>
      <x:c r="F570" s="19" t="s">
        <x:v>11</x:v>
      </x:c>
      <x:c r="G570" s="20">
        <x:v>1671.2</x:v>
      </x:c>
      <x:c r="H570" s="21"/>
      <x:c r="I570" s="26" t="s">
        <x:v>1229</x:v>
      </x:c>
      <x:c r="J570" s="22">
        <x:v>0</x:v>
      </x:c>
      <x:c r="K570" s="22">
        <x:v>0</x:v>
      </x:c>
      <x:c r="L570" s="23">
        <x:v>0</x:v>
      </x:c>
    </x:row>
    <x:row r="571">
      <x:c r="A571" s="18" t="s">
        <x:v>1385</x:v>
      </x:c>
      <x:c r="B571" s="19" t="s">
        <x:v>1386</x:v>
      </x:c>
      <x:c r="C571" s="20">
        <x:v>70071900</x:v>
      </x:c>
      <x:c r="D571" s="20">
        <x:v>1781.54</x:v>
      </x:c>
      <x:c r="E571" s="18" t="s">
        <x:v>227</x:v>
      </x:c>
      <x:c r="F571" s="19" t="s">
        <x:v>11</x:v>
      </x:c>
      <x:c r="G571" s="20">
        <x:v>835.58</x:v>
      </x:c>
      <x:c r="H571" s="21"/>
      <x:c r="I571" s="26" t="s">
        <x:v>1229</x:v>
      </x:c>
      <x:c r="J571" s="22">
        <x:v>0</x:v>
      </x:c>
      <x:c r="K571" s="22">
        <x:v>0</x:v>
      </x:c>
      <x:c r="L571" s="23">
        <x:v>3</x:v>
      </x:c>
    </x:row>
    <x:row r="572">
      <x:c r="A572" s="18" t="s">
        <x:v>1387</x:v>
      </x:c>
      <x:c r="B572" s="19" t="s">
        <x:v>1388</x:v>
      </x:c>
      <x:c r="C572" s="20">
        <x:v>70071900</x:v>
      </x:c>
      <x:c r="D572" s="20">
        <x:v>1769.33</x:v>
      </x:c>
      <x:c r="E572" s="18" t="s">
        <x:v>227</x:v>
      </x:c>
      <x:c r="F572" s="19" t="s">
        <x:v>11</x:v>
      </x:c>
      <x:c r="G572" s="20">
        <x:v>1492.1</x:v>
      </x:c>
      <x:c r="H572" s="21"/>
      <x:c r="I572" s="26" t="s">
        <x:v>1234</x:v>
      </x:c>
      <x:c r="J572" s="22">
        <x:v>0</x:v>
      </x:c>
      <x:c r="K572" s="22">
        <x:v>0</x:v>
      </x:c>
      <x:c r="L572" s="23">
        <x:v>0</x:v>
      </x:c>
    </x:row>
    <x:row r="573">
      <x:c r="A573" s="18" t="s">
        <x:v>1389</x:v>
      </x:c>
      <x:c r="B573" s="19" t="s">
        <x:v>1390</x:v>
      </x:c>
      <x:c r="C573" s="20">
        <x:v>70071900</x:v>
      </x:c>
      <x:c r="D573" s="20">
        <x:v>2419.41</x:v>
      </x:c>
      <x:c r="E573" s="18" t="s">
        <x:v>227</x:v>
      </x:c>
      <x:c r="F573" s="19" t="s">
        <x:v>11</x:v>
      </x:c>
      <x:c r="G573" s="20">
        <x:v>3461.7</x:v>
      </x:c>
      <x:c r="H573" s="21"/>
      <x:c r="I573" s="26" t="s">
        <x:v>1234</x:v>
      </x:c>
      <x:c r="J573" s="22">
        <x:v>0</x:v>
      </x:c>
      <x:c r="K573" s="22">
        <x:v>0</x:v>
      </x:c>
      <x:c r="L573" s="23">
        <x:v>0</x:v>
      </x:c>
    </x:row>
    <x:row r="574">
      <x:c r="A574" s="18" t="s">
        <x:v>1391</x:v>
      </x:c>
      <x:c r="B574" s="19" t="s">
        <x:v>1392</x:v>
      </x:c>
      <x:c r="C574" s="20">
        <x:v>70071900</x:v>
      </x:c>
      <x:c r="D574" s="20">
        <x:v>2971.2</x:v>
      </x:c>
      <x:c r="E574" s="18" t="s">
        <x:v>227</x:v>
      </x:c>
      <x:c r="F574" s="19" t="s">
        <x:v>11</x:v>
      </x:c>
      <x:c r="G574" s="20">
        <x:v>2010.8</x:v>
      </x:c>
      <x:c r="H574" s="21"/>
      <x:c r="I574" s="26" t="s">
        <x:v>1234</x:v>
      </x:c>
      <x:c r="J574" s="22">
        <x:v>0</x:v>
      </x:c>
      <x:c r="K574" s="22">
        <x:v>0</x:v>
      </x:c>
      <x:c r="L574" s="23">
        <x:v>0</x:v>
      </x:c>
    </x:row>
    <x:row r="575">
      <x:c r="A575" s="18" t="s">
        <x:v>1393</x:v>
      </x:c>
      <x:c r="B575" s="19" t="s">
        <x:v>1394</x:v>
      </x:c>
      <x:c r="C575" s="20">
        <x:v>70071900</x:v>
      </x:c>
      <x:c r="D575" s="20">
        <x:v>331.99</x:v>
      </x:c>
      <x:c r="E575" s="18" t="s">
        <x:v>227</x:v>
      </x:c>
      <x:c r="F575" s="19" t="s">
        <x:v>11</x:v>
      </x:c>
      <x:c r="G575" s="20">
        <x:v>1795.4</x:v>
      </x:c>
      <x:c r="H575" s="21"/>
      <x:c r="I575" s="26" t="s">
        <x:v>1234</x:v>
      </x:c>
      <x:c r="J575" s="22">
        <x:v>0</x:v>
      </x:c>
      <x:c r="K575" s="22">
        <x:v>0</x:v>
      </x:c>
      <x:c r="L575" s="23">
        <x:v>0</x:v>
      </x:c>
    </x:row>
    <x:row r="576">
      <x:c r="A576" s="18" t="s">
        <x:v>1395</x:v>
      </x:c>
      <x:c r="B576" s="19" t="s">
        <x:v>1396</x:v>
      </x:c>
      <x:c r="C576" s="20">
        <x:v>70071900</x:v>
      </x:c>
      <x:c r="D576" s="20">
        <x:v>861</x:v>
      </x:c>
      <x:c r="E576" s="18" t="s">
        <x:v>227</x:v>
      </x:c>
      <x:c r="F576" s="19" t="s">
        <x:v>11</x:v>
      </x:c>
      <x:c r="G576" s="20">
        <x:v>4165.3</x:v>
      </x:c>
      <x:c r="H576" s="21"/>
      <x:c r="I576" s="26" t="s">
        <x:v>1234</x:v>
      </x:c>
      <x:c r="J576" s="22">
        <x:v>0</x:v>
      </x:c>
      <x:c r="K576" s="22">
        <x:v>0</x:v>
      </x:c>
      <x:c r="L576" s="23">
        <x:v>0</x:v>
      </x:c>
    </x:row>
    <x:row r="577">
      <x:c r="A577" s="18" t="s">
        <x:v>1397</x:v>
      </x:c>
      <x:c r="B577" s="19" t="s">
        <x:v>1398</x:v>
      </x:c>
      <x:c r="C577" s="20">
        <x:v>70071900</x:v>
      </x:c>
      <x:c r="D577" s="20">
        <x:v>5.5</x:v>
      </x:c>
      <x:c r="E577" s="18" t="s">
        <x:v>227</x:v>
      </x:c>
      <x:c r="F577" s="19" t="s">
        <x:v>11</x:v>
      </x:c>
      <x:c r="G577" s="20">
        <x:v>2180.6999999999998</x:v>
      </x:c>
      <x:c r="H577" s="21"/>
      <x:c r="I577" s="26" t="s">
        <x:v>1234</x:v>
      </x:c>
      <x:c r="J577" s="22">
        <x:v>0</x:v>
      </x:c>
      <x:c r="K577" s="22">
        <x:v>0</x:v>
      </x:c>
      <x:c r="L577" s="23">
        <x:v>0</x:v>
      </x:c>
    </x:row>
    <x:row r="578">
      <x:c r="A578" s="18" t="s">
        <x:v>1399</x:v>
      </x:c>
      <x:c r="B578" s="19" t="s">
        <x:v>1400</x:v>
      </x:c>
      <x:c r="C578" s="20">
        <x:v>70071900</x:v>
      </x:c>
      <x:c r="D578" s="20">
        <x:v>5.5</x:v>
      </x:c>
      <x:c r="E578" s="18" t="s">
        <x:v>227</x:v>
      </x:c>
      <x:c r="F578" s="19" t="s">
        <x:v>11</x:v>
      </x:c>
      <x:c r="G578" s="20">
        <x:v>2180.6999999999998</x:v>
      </x:c>
      <x:c r="H578" s="21"/>
      <x:c r="I578" s="26" t="s">
        <x:v>1229</x:v>
      </x:c>
      <x:c r="J578" s="22">
        <x:v>0</x:v>
      </x:c>
      <x:c r="K578" s="22">
        <x:v>0</x:v>
      </x:c>
      <x:c r="L578" s="23">
        <x:v>0</x:v>
      </x:c>
    </x:row>
    <x:row r="579">
      <x:c r="A579" s="18" t="s">
        <x:v>1401</x:v>
      </x:c>
      <x:c r="B579" s="19" t="s">
        <x:v>1402</x:v>
      </x:c>
      <x:c r="C579" s="20">
        <x:v>70071900</x:v>
      </x:c>
      <x:c r="D579" s="20">
        <x:v>30425.15</x:v>
      </x:c>
      <x:c r="E579" s="18" t="s">
        <x:v>227</x:v>
      </x:c>
      <x:c r="F579" s="19" t="s">
        <x:v>11</x:v>
      </x:c>
      <x:c r="G579" s="20">
        <x:v>1090.3</x:v>
      </x:c>
      <x:c r="H579" s="21"/>
      <x:c r="I579" s="26" t="s">
        <x:v>1234</x:v>
      </x:c>
      <x:c r="J579" s="22">
        <x:v>0</x:v>
      </x:c>
      <x:c r="K579" s="22">
        <x:v>0</x:v>
      </x:c>
      <x:c r="L579" s="23">
        <x:v>0</x:v>
      </x:c>
    </x:row>
    <x:row r="580">
      <x:c r="A580" s="18" t="s">
        <x:v>1403</x:v>
      </x:c>
      <x:c r="B580" s="19" t="s">
        <x:v>1404</x:v>
      </x:c>
      <x:c r="C580" s="20">
        <x:v>70071900</x:v>
      </x:c>
      <x:c r="D580" s="20">
        <x:v>53829</x:v>
      </x:c>
      <x:c r="E580" s="18" t="s">
        <x:v>227</x:v>
      </x:c>
      <x:c r="F580" s="19" t="s">
        <x:v>11</x:v>
      </x:c>
      <x:c r="G580" s="20">
        <x:v>1947</x:v>
      </x:c>
      <x:c r="H580" s="21"/>
      <x:c r="I580" s="26" t="s">
        <x:v>1234</x:v>
      </x:c>
      <x:c r="J580" s="22">
        <x:v>0</x:v>
      </x:c>
      <x:c r="K580" s="22">
        <x:v>0</x:v>
      </x:c>
      <x:c r="L580" s="23">
        <x:v>0</x:v>
      </x:c>
    </x:row>
    <x:row r="581">
      <x:c r="A581" s="18" t="s">
        <x:v>1405</x:v>
      </x:c>
      <x:c r="B581" s="19" t="s">
        <x:v>1406</x:v>
      </x:c>
      <x:c r="C581" s="20">
        <x:v>70071900</x:v>
      </x:c>
      <x:c r="D581" s="20">
        <x:v>662.73</x:v>
      </x:c>
      <x:c r="E581" s="18" t="s">
        <x:v>227</x:v>
      </x:c>
      <x:c r="F581" s="19" t="s">
        <x:v>11</x:v>
      </x:c>
      <x:c r="G581" s="20">
        <x:v>1093</x:v>
      </x:c>
      <x:c r="H581" s="21"/>
      <x:c r="I581" s="26" t="s">
        <x:v>1234</x:v>
      </x:c>
      <x:c r="J581" s="22">
        <x:v>0</x:v>
      </x:c>
      <x:c r="K581" s="22">
        <x:v>0</x:v>
      </x:c>
      <x:c r="L581" s="23">
        <x:v>0</x:v>
      </x:c>
    </x:row>
    <x:row r="582">
      <x:c r="A582" s="18" t="s">
        <x:v>1407</x:v>
      </x:c>
      <x:c r="B582" s="19" t="s">
        <x:v>1408</x:v>
      </x:c>
      <x:c r="C582" s="20">
        <x:v>70071900</x:v>
      </x:c>
      <x:c r="D582" s="20">
        <x:v>1297.44</x:v>
      </x:c>
      <x:c r="E582" s="18" t="s">
        <x:v>227</x:v>
      </x:c>
      <x:c r="F582" s="19" t="s">
        <x:v>11</x:v>
      </x:c>
      <x:c r="G582" s="20">
        <x:v>2818.4</x:v>
      </x:c>
      <x:c r="H582" s="21"/>
      <x:c r="I582" s="26" t="s">
        <x:v>1234</x:v>
      </x:c>
      <x:c r="J582" s="22">
        <x:v>0</x:v>
      </x:c>
      <x:c r="K582" s="22">
        <x:v>0</x:v>
      </x:c>
      <x:c r="L582" s="23">
        <x:v>0</x:v>
      </x:c>
    </x:row>
    <x:row r="583">
      <x:c r="A583" s="18" t="s">
        <x:v>1409</x:v>
      </x:c>
      <x:c r="B583" s="19" t="s">
        <x:v>1410</x:v>
      </x:c>
      <x:c r="C583" s="20">
        <x:v>70071900</x:v>
      </x:c>
      <x:c r="D583" s="20">
        <x:v>1748.64</x:v>
      </x:c>
      <x:c r="E583" s="18" t="s">
        <x:v>227</x:v>
      </x:c>
      <x:c r="F583" s="19" t="s">
        <x:v>11</x:v>
      </x:c>
      <x:c r="G583" s="20">
        <x:v>0</x:v>
      </x:c>
      <x:c r="H583" s="21"/>
      <x:c r="I583" s="21" t="s">
        <x:v>1229</x:v>
      </x:c>
      <x:c r="J583" s="22">
        <x:v>0</x:v>
      </x:c>
      <x:c r="K583" s="22">
        <x:v>0</x:v>
      </x:c>
      <x:c r="L583" s="23">
        <x:v>0</x:v>
      </x:c>
    </x:row>
    <x:row r="584">
      <x:c r="A584" s="18" t="s">
        <x:v>1411</x:v>
      </x:c>
      <x:c r="B584" s="19" t="s">
        <x:v>1412</x:v>
      </x:c>
      <x:c r="C584" s="20">
        <x:v>70071900</x:v>
      </x:c>
      <x:c r="D584" s="20">
        <x:v>1748.64</x:v>
      </x:c>
      <x:c r="E584" s="18" t="s">
        <x:v>227</x:v>
      </x:c>
      <x:c r="F584" s="19" t="s">
        <x:v>11</x:v>
      </x:c>
      <x:c r="G584" s="20">
        <x:v>1764.9</x:v>
      </x:c>
      <x:c r="H584" s="21"/>
      <x:c r="I584" s="26" t="s">
        <x:v>1229</x:v>
      </x:c>
      <x:c r="J584" s="22">
        <x:v>0</x:v>
      </x:c>
      <x:c r="K584" s="22">
        <x:v>0</x:v>
      </x:c>
      <x:c r="L584" s="23">
        <x:v>0</x:v>
      </x:c>
    </x:row>
    <x:row r="585">
      <x:c r="A585" s="18" t="s">
        <x:v>1413</x:v>
      </x:c>
      <x:c r="B585" s="19" t="s">
        <x:v>1414</x:v>
      </x:c>
      <x:c r="C585" s="20">
        <x:v>70071900</x:v>
      </x:c>
      <x:c r="D585" s="20">
        <x:v>1648.32</x:v>
      </x:c>
      <x:c r="E585" s="18" t="s">
        <x:v>227</x:v>
      </x:c>
      <x:c r="F585" s="19" t="s">
        <x:v>11</x:v>
      </x:c>
      <x:c r="G585" s="20">
        <x:v>3913.1</x:v>
      </x:c>
      <x:c r="H585" s="21"/>
      <x:c r="I585" s="26" t="s">
        <x:v>1234</x:v>
      </x:c>
      <x:c r="J585" s="22">
        <x:v>0</x:v>
      </x:c>
      <x:c r="K585" s="22">
        <x:v>0</x:v>
      </x:c>
      <x:c r="L585" s="23">
        <x:v>0</x:v>
      </x:c>
    </x:row>
    <x:row r="586">
      <x:c r="A586" s="18" t="s">
        <x:v>1415</x:v>
      </x:c>
      <x:c r="B586" s="19" t="s">
        <x:v>1416</x:v>
      </x:c>
      <x:c r="C586" s="20">
        <x:v>70071900</x:v>
      </x:c>
      <x:c r="D586" s="20">
        <x:v>597.79</x:v>
      </x:c>
      <x:c r="E586" s="18" t="s">
        <x:v>227</x:v>
      </x:c>
      <x:c r="F586" s="19" t="s">
        <x:v>11</x:v>
      </x:c>
      <x:c r="G586" s="20">
        <x:v>1268.3</x:v>
      </x:c>
      <x:c r="H586" s="21"/>
      <x:c r="I586" s="26" t="s">
        <x:v>1234</x:v>
      </x:c>
      <x:c r="J586" s="22">
        <x:v>0</x:v>
      </x:c>
      <x:c r="K586" s="22">
        <x:v>0</x:v>
      </x:c>
      <x:c r="L586" s="23">
        <x:v>0</x:v>
      </x:c>
    </x:row>
    <x:row r="587">
      <x:c r="A587" s="18" t="s">
        <x:v>1417</x:v>
      </x:c>
      <x:c r="B587" s="19" t="s">
        <x:v>1418</x:v>
      </x:c>
      <x:c r="C587" s="20">
        <x:v>70071900</x:v>
      </x:c>
      <x:c r="D587" s="20">
        <x:v>530</x:v>
      </x:c>
      <x:c r="E587" s="18" t="s">
        <x:v>227</x:v>
      </x:c>
      <x:c r="F587" s="19" t="s">
        <x:v>11</x:v>
      </x:c>
      <x:c r="G587" s="20">
        <x:v>1169.7</x:v>
      </x:c>
      <x:c r="H587" s="21"/>
      <x:c r="I587" s="26" t="s">
        <x:v>1234</x:v>
      </x:c>
      <x:c r="J587" s="22">
        <x:v>0</x:v>
      </x:c>
      <x:c r="K587" s="22">
        <x:v>0</x:v>
      </x:c>
      <x:c r="L587" s="23">
        <x:v>0</x:v>
      </x:c>
    </x:row>
    <x:row r="588">
      <x:c r="A588" s="18" t="s">
        <x:v>1419</x:v>
      </x:c>
      <x:c r="B588" s="19" t="s">
        <x:v>1420</x:v>
      </x:c>
      <x:c r="C588" s="20">
        <x:v>70071900</x:v>
      </x:c>
      <x:c r="D588" s="20">
        <x:v>2140.2399999999998</x:v>
      </x:c>
      <x:c r="E588" s="18" t="s">
        <x:v>227</x:v>
      </x:c>
      <x:c r="F588" s="19" t="s">
        <x:v>11</x:v>
      </x:c>
      <x:c r="G588" s="20">
        <x:v>1079.5999999999999</x:v>
      </x:c>
      <x:c r="H588" s="21"/>
      <x:c r="I588" s="26" t="s">
        <x:v>1229</x:v>
      </x:c>
      <x:c r="J588" s="22">
        <x:v>0</x:v>
      </x:c>
      <x:c r="K588" s="22">
        <x:v>0</x:v>
      </x:c>
      <x:c r="L588" s="23">
        <x:v>0</x:v>
      </x:c>
    </x:row>
    <x:row r="589">
      <x:c r="A589" s="18" t="s">
        <x:v>1421</x:v>
      </x:c>
      <x:c r="B589" s="19" t="s">
        <x:v>1422</x:v>
      </x:c>
      <x:c r="C589" s="20">
        <x:v>70071900</x:v>
      </x:c>
      <x:c r="D589" s="20">
        <x:v>3350.52</x:v>
      </x:c>
      <x:c r="E589" s="18" t="s">
        <x:v>227</x:v>
      </x:c>
      <x:c r="F589" s="19" t="s">
        <x:v>11</x:v>
      </x:c>
      <x:c r="G589" s="20">
        <x:v>0</x:v>
      </x:c>
      <x:c r="H589" s="21"/>
      <x:c r="I589" s="21" t="s">
        <x:v>1229</x:v>
      </x:c>
      <x:c r="J589" s="22">
        <x:v>0</x:v>
      </x:c>
      <x:c r="K589" s="22">
        <x:v>0</x:v>
      </x:c>
      <x:c r="L589" s="23">
        <x:v>0</x:v>
      </x:c>
    </x:row>
    <x:row r="590">
      <x:c r="A590" s="18" t="s">
        <x:v>1423</x:v>
      </x:c>
      <x:c r="B590" s="19" t="s">
        <x:v>1424</x:v>
      </x:c>
      <x:c r="C590" s="20">
        <x:v>70071900</x:v>
      </x:c>
      <x:c r="D590" s="20">
        <x:v>1492.1</x:v>
      </x:c>
      <x:c r="E590" s="18" t="s">
        <x:v>227</x:v>
      </x:c>
      <x:c r="F590" s="19" t="s">
        <x:v>11</x:v>
      </x:c>
      <x:c r="G590" s="20">
        <x:v>3120.5</x:v>
      </x:c>
      <x:c r="H590" s="21"/>
      <x:c r="I590" s="26" t="s">
        <x:v>1234</x:v>
      </x:c>
      <x:c r="J590" s="22">
        <x:v>0</x:v>
      </x:c>
      <x:c r="K590" s="22">
        <x:v>0</x:v>
      </x:c>
      <x:c r="L590" s="23">
        <x:v>0</x:v>
      </x:c>
    </x:row>
    <x:row r="591">
      <x:c r="A591" s="18" t="s">
        <x:v>1425</x:v>
      </x:c>
      <x:c r="B591" s="19" t="s">
        <x:v>1426</x:v>
      </x:c>
      <x:c r="C591" s="20">
        <x:v>70071900</x:v>
      </x:c>
      <x:c r="D591" s="20">
        <x:v>1643.74</x:v>
      </x:c>
      <x:c r="E591" s="18" t="s">
        <x:v>227</x:v>
      </x:c>
      <x:c r="F591" s="19" t="s">
        <x:v>11</x:v>
      </x:c>
      <x:c r="G591" s="20">
        <x:v>1085.9000000000001</x:v>
      </x:c>
      <x:c r="H591" s="21"/>
      <x:c r="I591" s="26" t="s">
        <x:v>1229</x:v>
      </x:c>
      <x:c r="J591" s="22">
        <x:v>0</x:v>
      </x:c>
      <x:c r="K591" s="22">
        <x:v>0</x:v>
      </x:c>
      <x:c r="L591" s="23">
        <x:v>0</x:v>
      </x:c>
    </x:row>
    <x:row r="592">
      <x:c r="A592" s="18" t="s">
        <x:v>1427</x:v>
      </x:c>
      <x:c r="B592" s="19" t="s">
        <x:v>1428</x:v>
      </x:c>
      <x:c r="C592" s="20">
        <x:v>70071900</x:v>
      </x:c>
      <x:c r="D592" s="20">
        <x:v>969.19</x:v>
      </x:c>
      <x:c r="E592" s="18" t="s">
        <x:v>227</x:v>
      </x:c>
      <x:c r="F592" s="19" t="s">
        <x:v>11</x:v>
      </x:c>
      <x:c r="G592" s="20">
        <x:v>1841.2</x:v>
      </x:c>
      <x:c r="H592" s="21"/>
      <x:c r="I592" s="26" t="s">
        <x:v>1229</x:v>
      </x:c>
      <x:c r="J592" s="22">
        <x:v>0</x:v>
      </x:c>
      <x:c r="K592" s="22">
        <x:v>0</x:v>
      </x:c>
      <x:c r="L592" s="23">
        <x:v>0</x:v>
      </x:c>
    </x:row>
    <x:row r="593">
      <x:c r="A593" s="18" t="s">
        <x:v>1429</x:v>
      </x:c>
      <x:c r="B593" s="19" t="s">
        <x:v>1430</x:v>
      </x:c>
      <x:c r="C593" s="20">
        <x:v>70071900</x:v>
      </x:c>
      <x:c r="D593" s="20">
        <x:v>552.58000000000004</x:v>
      </x:c>
      <x:c r="E593" s="18" t="s">
        <x:v>227</x:v>
      </x:c>
      <x:c r="F593" s="19" t="s">
        <x:v>11</x:v>
      </x:c>
      <x:c r="G593" s="20">
        <x:v>996.77</x:v>
      </x:c>
      <x:c r="H593" s="21"/>
      <x:c r="I593" s="26" t="s">
        <x:v>1229</x:v>
      </x:c>
      <x:c r="J593" s="22">
        <x:v>0</x:v>
      </x:c>
      <x:c r="K593" s="22">
        <x:v>0</x:v>
      </x:c>
      <x:c r="L593" s="23">
        <x:v>0</x:v>
      </x:c>
    </x:row>
    <x:row r="594">
      <x:c r="A594" s="18" t="s">
        <x:v>1431</x:v>
      </x:c>
      <x:c r="B594" s="19" t="s">
        <x:v>1432</x:v>
      </x:c>
      <x:c r="C594" s="20">
        <x:v>70071900</x:v>
      </x:c>
      <x:c r="D594" s="20">
        <x:v>255.73</x:v>
      </x:c>
      <x:c r="E594" s="18" t="s">
        <x:v>227</x:v>
      </x:c>
      <x:c r="F594" s="19" t="s">
        <x:v>11</x:v>
      </x:c>
      <x:c r="G594" s="20">
        <x:v>810.13</x:v>
      </x:c>
      <x:c r="H594" s="21"/>
      <x:c r="I594" s="26" t="s">
        <x:v>1234</x:v>
      </x:c>
      <x:c r="J594" s="22">
        <x:v>0</x:v>
      </x:c>
      <x:c r="K594" s="22">
        <x:v>0</x:v>
      </x:c>
      <x:c r="L594" s="23">
        <x:v>0</x:v>
      </x:c>
    </x:row>
    <x:row r="595">
      <x:c r="A595" s="18" t="s">
        <x:v>1433</x:v>
      </x:c>
      <x:c r="B595" s="19" t="s">
        <x:v>1434</x:v>
      </x:c>
      <x:c r="C595" s="20">
        <x:v>70071900</x:v>
      </x:c>
      <x:c r="D595" s="20">
        <x:v>282.94</x:v>
      </x:c>
      <x:c r="E595" s="18" t="s">
        <x:v>227</x:v>
      </x:c>
      <x:c r="F595" s="19" t="s">
        <x:v>11</x:v>
      </x:c>
      <x:c r="G595" s="20">
        <x:v>1093.0999999999999</x:v>
      </x:c>
      <x:c r="H595" s="21"/>
      <x:c r="I595" s="26" t="s">
        <x:v>1229</x:v>
      </x:c>
      <x:c r="J595" s="22">
        <x:v>0</x:v>
      </x:c>
      <x:c r="K595" s="22">
        <x:v>0</x:v>
      </x:c>
      <x:c r="L595" s="23">
        <x:v>0</x:v>
      </x:c>
    </x:row>
    <x:row r="596">
      <x:c r="A596" s="18" t="s">
        <x:v>1435</x:v>
      </x:c>
      <x:c r="B596" s="19" t="s">
        <x:v>1436</x:v>
      </x:c>
      <x:c r="C596" s="20">
        <x:v>70071900</x:v>
      </x:c>
      <x:c r="D596" s="20">
        <x:v>310.14</x:v>
      </x:c>
      <x:c r="E596" s="18" t="s">
        <x:v>227</x:v>
      </x:c>
      <x:c r="F596" s="19" t="s">
        <x:v>11</x:v>
      </x:c>
      <x:c r="G596" s="20">
        <x:v>1094</x:v>
      </x:c>
      <x:c r="H596" s="21"/>
      <x:c r="I596" s="26" t="s">
        <x:v>1229</x:v>
      </x:c>
      <x:c r="J596" s="22">
        <x:v>0</x:v>
      </x:c>
      <x:c r="K596" s="22">
        <x:v>0</x:v>
      </x:c>
      <x:c r="L596" s="23">
        <x:v>0</x:v>
      </x:c>
    </x:row>
    <x:row r="597">
      <x:c r="A597" s="18" t="s">
        <x:v>1437</x:v>
      </x:c>
      <x:c r="B597" s="19" t="s">
        <x:v>1438</x:v>
      </x:c>
      <x:c r="C597" s="20">
        <x:v>70071900</x:v>
      </x:c>
      <x:c r="D597" s="20">
        <x:v>337.35</x:v>
      </x:c>
      <x:c r="E597" s="18" t="s">
        <x:v>227</x:v>
      </x:c>
      <x:c r="F597" s="19" t="s">
        <x:v>11</x:v>
      </x:c>
      <x:c r="G597" s="20">
        <x:v>3796.6</x:v>
      </x:c>
      <x:c r="H597" s="21"/>
      <x:c r="I597" s="26" t="s">
        <x:v>1234</x:v>
      </x:c>
      <x:c r="J597" s="22">
        <x:v>0</x:v>
      </x:c>
      <x:c r="K597" s="22">
        <x:v>0</x:v>
      </x:c>
      <x:c r="L597" s="23">
        <x:v>0</x:v>
      </x:c>
    </x:row>
    <x:row r="598">
      <x:c r="A598" s="18" t="s">
        <x:v>1439</x:v>
      </x:c>
      <x:c r="B598" s="19" t="s">
        <x:v>1440</x:v>
      </x:c>
      <x:c r="C598" s="20">
        <x:v>70071900</x:v>
      </x:c>
      <x:c r="D598" s="20">
        <x:v>425.72</x:v>
      </x:c>
      <x:c r="E598" s="18" t="s">
        <x:v>227</x:v>
      </x:c>
      <x:c r="F598" s="19" t="s">
        <x:v>11</x:v>
      </x:c>
      <x:c r="G598" s="20">
        <x:v>2123.4</x:v>
      </x:c>
      <x:c r="H598" s="21"/>
      <x:c r="I598" s="26" t="s">
        <x:v>1229</x:v>
      </x:c>
      <x:c r="J598" s="22">
        <x:v>0</x:v>
      </x:c>
      <x:c r="K598" s="22">
        <x:v>0</x:v>
      </x:c>
      <x:c r="L598" s="23">
        <x:v>0</x:v>
      </x:c>
    </x:row>
    <x:row r="599">
      <x:c r="A599" s="18" t="s">
        <x:v>1441</x:v>
      </x:c>
      <x:c r="B599" s="19" t="s">
        <x:v>1442</x:v>
      </x:c>
      <x:c r="C599" s="20">
        <x:v>70071900</x:v>
      </x:c>
      <x:c r="D599" s="20">
        <x:v>833.32</x:v>
      </x:c>
      <x:c r="E599" s="18" t="s">
        <x:v>227</x:v>
      </x:c>
      <x:c r="F599" s="19" t="s">
        <x:v>11</x:v>
      </x:c>
      <x:c r="G599" s="20">
        <x:v>4340.2</x:v>
      </x:c>
      <x:c r="H599" s="21"/>
      <x:c r="I599" s="26" t="s">
        <x:v>1229</x:v>
      </x:c>
      <x:c r="J599" s="22">
        <x:v>0</x:v>
      </x:c>
      <x:c r="K599" s="22">
        <x:v>0</x:v>
      </x:c>
      <x:c r="L599" s="23">
        <x:v>0</x:v>
      </x:c>
    </x:row>
    <x:row r="600">
      <x:c r="A600" s="18" t="s">
        <x:v>1443</x:v>
      </x:c>
      <x:c r="B600" s="19" t="s">
        <x:v>1444</x:v>
      </x:c>
      <x:c r="C600" s="20">
        <x:v>70071900</x:v>
      </x:c>
      <x:c r="D600" s="20">
        <x:v>500.59</x:v>
      </x:c>
      <x:c r="E600" s="18" t="s">
        <x:v>227</x:v>
      </x:c>
      <x:c r="F600" s="19" t="s">
        <x:v>11</x:v>
      </x:c>
      <x:c r="G600" s="20">
        <x:v>163.22999999999999</x:v>
      </x:c>
      <x:c r="H600" s="21"/>
      <x:c r="I600" s="26" t="s">
        <x:v>1229</x:v>
      </x:c>
      <x:c r="J600" s="22">
        <x:v>0</x:v>
      </x:c>
      <x:c r="K600" s="22">
        <x:v>0</x:v>
      </x:c>
      <x:c r="L600" s="23">
        <x:v>0</x:v>
      </x:c>
    </x:row>
    <x:row r="601">
      <x:c r="A601" s="18" t="s">
        <x:v>1445</x:v>
      </x:c>
      <x:c r="B601" s="19" t="s">
        <x:v>1446</x:v>
      </x:c>
      <x:c r="C601" s="20">
        <x:v>70071900</x:v>
      </x:c>
      <x:c r="D601" s="20">
        <x:v>348.36</x:v>
      </x:c>
      <x:c r="E601" s="18" t="s">
        <x:v>227</x:v>
      </x:c>
      <x:c r="F601" s="19" t="s">
        <x:v>11</x:v>
      </x:c>
      <x:c r="G601" s="20">
        <x:v>0</x:v>
      </x:c>
      <x:c r="H601" s="21"/>
      <x:c r="I601" s="21" t="s">
        <x:v>1229</x:v>
      </x:c>
      <x:c r="J601" s="22">
        <x:v>0</x:v>
      </x:c>
      <x:c r="K601" s="22">
        <x:v>0</x:v>
      </x:c>
      <x:c r="L601" s="23">
        <x:v>0</x:v>
      </x:c>
    </x:row>
    <x:row r="602">
      <x:c r="A602" s="18" t="s">
        <x:v>1447</x:v>
      </x:c>
      <x:c r="B602" s="19" t="s">
        <x:v>1448</x:v>
      </x:c>
      <x:c r="C602" s="20">
        <x:v>70071900</x:v>
      </x:c>
      <x:c r="D602" s="20">
        <x:v>5.5</x:v>
      </x:c>
      <x:c r="E602" s="18" t="s">
        <x:v>227</x:v>
      </x:c>
      <x:c r="F602" s="19" t="s">
        <x:v>11</x:v>
      </x:c>
      <x:c r="G602" s="20">
        <x:v>5728.2</x:v>
      </x:c>
      <x:c r="H602" s="21"/>
      <x:c r="I602" s="26" t="s">
        <x:v>1229</x:v>
      </x:c>
      <x:c r="J602" s="22">
        <x:v>0</x:v>
      </x:c>
      <x:c r="K602" s="22">
        <x:v>0</x:v>
      </x:c>
      <x:c r="L602" s="23">
        <x:v>0</x:v>
      </x:c>
    </x:row>
    <x:row r="603">
      <x:c r="A603" s="18" t="s">
        <x:v>1449</x:v>
      </x:c>
      <x:c r="B603" s="19" t="s">
        <x:v>1450</x:v>
      </x:c>
      <x:c r="C603" s="20">
        <x:v>70071900</x:v>
      </x:c>
      <x:c r="D603" s="20">
        <x:v>2</x:v>
      </x:c>
      <x:c r="E603" s="18" t="s">
        <x:v>227</x:v>
      </x:c>
      <x:c r="F603" s="19" t="s">
        <x:v>11</x:v>
      </x:c>
      <x:c r="G603" s="20">
        <x:v>0</x:v>
      </x:c>
      <x:c r="H603" s="21"/>
      <x:c r="I603" s="21" t="s">
        <x:v>1229</x:v>
      </x:c>
      <x:c r="J603" s="23">
        <x:v>1</x:v>
      </x:c>
      <x:c r="K603" s="23">
        <x:v>11370.74</x:v>
      </x:c>
      <x:c r="L603" s="23">
        <x:v>1</x:v>
      </x:c>
    </x:row>
    <x:row r="604">
      <x:c r="A604" s="18" t="s">
        <x:v>1451</x:v>
      </x:c>
      <x:c r="B604" s="19" t="s">
        <x:v>1452</x:v>
      </x:c>
      <x:c r="C604" s="20">
        <x:v>70071900</x:v>
      </x:c>
      <x:c r="D604" s="20">
        <x:v>600</x:v>
      </x:c>
      <x:c r="E604" s="18" t="s">
        <x:v>227</x:v>
      </x:c>
      <x:c r="F604" s="19" t="s">
        <x:v>11</x:v>
      </x:c>
      <x:c r="G604" s="20">
        <x:v>4878.2</x:v>
      </x:c>
      <x:c r="H604" s="21"/>
      <x:c r="I604" s="26" t="s">
        <x:v>1229</x:v>
      </x:c>
      <x:c r="J604" s="22">
        <x:v>0</x:v>
      </x:c>
      <x:c r="K604" s="22">
        <x:v>0</x:v>
      </x:c>
      <x:c r="L604" s="23">
        <x:v>0</x:v>
      </x:c>
    </x:row>
    <x:row r="605">
      <x:c r="A605" s="18" t="s">
        <x:v>1453</x:v>
      </x:c>
      <x:c r="B605" s="19" t="s">
        <x:v>1454</x:v>
      </x:c>
      <x:c r="C605" s="20">
        <x:v>70071900</x:v>
      </x:c>
      <x:c r="D605" s="20">
        <x:v>1012.87</x:v>
      </x:c>
      <x:c r="E605" s="18" t="s">
        <x:v>227</x:v>
      </x:c>
      <x:c r="F605" s="19" t="s">
        <x:v>11</x:v>
      </x:c>
      <x:c r="G605" s="20">
        <x:v>599.98</x:v>
      </x:c>
      <x:c r="H605" s="21"/>
      <x:c r="I605" s="26" t="s">
        <x:v>1229</x:v>
      </x:c>
      <x:c r="J605" s="22">
        <x:v>0</x:v>
      </x:c>
      <x:c r="K605" s="22">
        <x:v>0</x:v>
      </x:c>
      <x:c r="L605" s="23">
        <x:v>0</x:v>
      </x:c>
    </x:row>
    <x:row r="606">
      <x:c r="A606" s="18" t="s">
        <x:v>1455</x:v>
      </x:c>
      <x:c r="B606" s="19" t="s">
        <x:v>1456</x:v>
      </x:c>
      <x:c r="C606" s="20">
        <x:v>70071900</x:v>
      </x:c>
      <x:c r="D606" s="20">
        <x:v>680.72</x:v>
      </x:c>
      <x:c r="E606" s="18" t="s">
        <x:v>227</x:v>
      </x:c>
      <x:c r="F606" s="19" t="s">
        <x:v>11</x:v>
      </x:c>
      <x:c r="G606" s="20">
        <x:v>0</x:v>
      </x:c>
      <x:c r="H606" s="21"/>
      <x:c r="I606" s="21" t="s">
        <x:v>1229</x:v>
      </x:c>
      <x:c r="J606" s="22">
        <x:v>0</x:v>
      </x:c>
      <x:c r="K606" s="22">
        <x:v>0</x:v>
      </x:c>
      <x:c r="L606" s="23">
        <x:v>0</x:v>
      </x:c>
    </x:row>
    <x:row r="607">
      <x:c r="A607" s="18" t="s">
        <x:v>1457</x:v>
      </x:c>
      <x:c r="B607" s="19" t="s">
        <x:v>1458</x:v>
      </x:c>
      <x:c r="C607" s="20">
        <x:v>70071900</x:v>
      </x:c>
      <x:c r="D607" s="20">
        <x:v>2210.9</x:v>
      </x:c>
      <x:c r="E607" s="18" t="s">
        <x:v>227</x:v>
      </x:c>
      <x:c r="F607" s="19" t="s">
        <x:v>11</x:v>
      </x:c>
      <x:c r="G607" s="20">
        <x:v>380.4</x:v>
      </x:c>
      <x:c r="H607" s="21"/>
      <x:c r="I607" s="26" t="s">
        <x:v>1229</x:v>
      </x:c>
      <x:c r="J607" s="22">
        <x:v>0</x:v>
      </x:c>
      <x:c r="K607" s="22">
        <x:v>0</x:v>
      </x:c>
      <x:c r="L607" s="23">
        <x:v>0</x:v>
      </x:c>
    </x:row>
    <x:row r="608">
      <x:c r="A608" s="18" t="s">
        <x:v>1459</x:v>
      </x:c>
      <x:c r="B608" s="19" t="s">
        <x:v>1460</x:v>
      </x:c>
      <x:c r="C608" s="20">
        <x:v>70071900</x:v>
      </x:c>
      <x:c r="D608" s="20">
        <x:v>1888</x:v>
      </x:c>
      <x:c r="E608" s="18" t="s">
        <x:v>227</x:v>
      </x:c>
      <x:c r="F608" s="19" t="s">
        <x:v>11</x:v>
      </x:c>
      <x:c r="G608" s="20">
        <x:v>0</x:v>
      </x:c>
      <x:c r="H608" s="21"/>
      <x:c r="I608" s="21" t="s">
        <x:v>1229</x:v>
      </x:c>
      <x:c r="J608" s="22">
        <x:v>0</x:v>
      </x:c>
      <x:c r="K608" s="22">
        <x:v>0</x:v>
      </x:c>
      <x:c r="L608" s="23">
        <x:v>0</x:v>
      </x:c>
    </x:row>
    <x:row r="609">
      <x:c r="A609" s="18" t="s">
        <x:v>1461</x:v>
      </x:c>
      <x:c r="B609" s="19" t="s">
        <x:v>1462</x:v>
      </x:c>
      <x:c r="C609" s="20">
        <x:v>70071900</x:v>
      </x:c>
      <x:c r="D609" s="20">
        <x:v>553</x:v>
      </x:c>
      <x:c r="E609" s="18" t="s">
        <x:v>227</x:v>
      </x:c>
      <x:c r="F609" s="19" t="s">
        <x:v>11</x:v>
      </x:c>
      <x:c r="G609" s="20">
        <x:v>0</x:v>
      </x:c>
      <x:c r="H609" s="21"/>
      <x:c r="I609" s="21" t="s">
        <x:v>1229</x:v>
      </x:c>
      <x:c r="J609" s="23">
        <x:v>1</x:v>
      </x:c>
      <x:c r="K609" s="23">
        <x:v>1724.71</x:v>
      </x:c>
      <x:c r="L609" s="23">
        <x:v>1</x:v>
      </x:c>
    </x:row>
    <x:row r="610">
      <x:c r="A610" s="18" t="s">
        <x:v>1463</x:v>
      </x:c>
      <x:c r="B610" s="19" t="s">
        <x:v>1464</x:v>
      </x:c>
      <x:c r="C610" s="20">
        <x:v>70071900</x:v>
      </x:c>
      <x:c r="D610" s="20">
        <x:v>553</x:v>
      </x:c>
      <x:c r="E610" s="18" t="s">
        <x:v>227</x:v>
      </x:c>
      <x:c r="F610" s="19" t="s">
        <x:v>11</x:v>
      </x:c>
      <x:c r="G610" s="20">
        <x:v>0</x:v>
      </x:c>
      <x:c r="H610" s="21"/>
      <x:c r="I610" s="21" t="s">
        <x:v>1229</x:v>
      </x:c>
      <x:c r="J610" s="22">
        <x:v>0</x:v>
      </x:c>
      <x:c r="K610" s="22">
        <x:v>0</x:v>
      </x:c>
      <x:c r="L610" s="23">
        <x:v>0</x:v>
      </x:c>
    </x:row>
    <x:row r="611">
      <x:c r="A611" s="18" t="s">
        <x:v>1465</x:v>
      </x:c>
      <x:c r="B611" s="19" t="s">
        <x:v>1466</x:v>
      </x:c>
      <x:c r="C611" s="20">
        <x:v>70071900</x:v>
      </x:c>
      <x:c r="D611" s="20">
        <x:v>510.86</x:v>
      </x:c>
      <x:c r="E611" s="18" t="s">
        <x:v>227</x:v>
      </x:c>
      <x:c r="F611" s="19" t="s">
        <x:v>11</x:v>
      </x:c>
      <x:c r="G611" s="20">
        <x:v>0</x:v>
      </x:c>
      <x:c r="H611" s="21"/>
      <x:c r="I611" s="21" t="s">
        <x:v>1229</x:v>
      </x:c>
      <x:c r="J611" s="22">
        <x:v>0</x:v>
      </x:c>
      <x:c r="K611" s="22">
        <x:v>0</x:v>
      </x:c>
      <x:c r="L611" s="23">
        <x:v>0</x:v>
      </x:c>
    </x:row>
    <x:row r="612">
      <x:c r="A612" s="18" t="s">
        <x:v>1467</x:v>
      </x:c>
      <x:c r="B612" s="19" t="s">
        <x:v>1468</x:v>
      </x:c>
      <x:c r="C612" s="20">
        <x:v>70071900</x:v>
      </x:c>
      <x:c r="D612" s="20">
        <x:v>500.18</x:v>
      </x:c>
      <x:c r="E612" s="18" t="s">
        <x:v>227</x:v>
      </x:c>
      <x:c r="F612" s="19" t="s">
        <x:v>11</x:v>
      </x:c>
      <x:c r="G612" s="20">
        <x:v>143.30000000000001</x:v>
      </x:c>
      <x:c r="H612" s="21"/>
      <x:c r="I612" s="26" t="s">
        <x:v>1234</x:v>
      </x:c>
      <x:c r="J612" s="22">
        <x:v>0</x:v>
      </x:c>
      <x:c r="K612" s="22">
        <x:v>0</x:v>
      </x:c>
      <x:c r="L612" s="23">
        <x:v>0</x:v>
      </x:c>
    </x:row>
    <x:row r="613">
      <x:c r="A613" s="18" t="s">
        <x:v>1469</x:v>
      </x:c>
      <x:c r="B613" s="19" t="s">
        <x:v>1470</x:v>
      </x:c>
      <x:c r="C613" s="20">
        <x:v>70071900</x:v>
      </x:c>
      <x:c r="D613" s="20">
        <x:v>876.8</x:v>
      </x:c>
      <x:c r="E613" s="18" t="s">
        <x:v>227</x:v>
      </x:c>
      <x:c r="F613" s="19" t="s">
        <x:v>11</x:v>
      </x:c>
      <x:c r="G613" s="20">
        <x:v>0</x:v>
      </x:c>
      <x:c r="H613" s="21"/>
      <x:c r="I613" s="21" t="s">
        <x:v>1229</x:v>
      </x:c>
      <x:c r="J613" s="22">
        <x:v>0</x:v>
      </x:c>
      <x:c r="K613" s="22">
        <x:v>0</x:v>
      </x:c>
      <x:c r="L613" s="23">
        <x:v>0</x:v>
      </x:c>
    </x:row>
    <x:row r="614">
      <x:c r="A614" s="18" t="s">
        <x:v>1471</x:v>
      </x:c>
      <x:c r="B614" s="19" t="s">
        <x:v>1472</x:v>
      </x:c>
      <x:c r="C614" s="20">
        <x:v>70071900</x:v>
      </x:c>
      <x:c r="D614" s="20">
        <x:v>5.93</x:v>
      </x:c>
      <x:c r="E614" s="18" t="s">
        <x:v>227</x:v>
      </x:c>
      <x:c r="F614" s="19" t="s">
        <x:v>11</x:v>
      </x:c>
      <x:c r="G614" s="20">
        <x:v>1713.1</x:v>
      </x:c>
      <x:c r="H614" s="21"/>
      <x:c r="I614" s="26" t="s">
        <x:v>1234</x:v>
      </x:c>
      <x:c r="J614" s="22">
        <x:v>0</x:v>
      </x:c>
      <x:c r="K614" s="22">
        <x:v>0</x:v>
      </x:c>
      <x:c r="L614" s="23">
        <x:v>0</x:v>
      </x:c>
    </x:row>
    <x:row r="615">
      <x:c r="A615" s="18" t="s">
        <x:v>1473</x:v>
      </x:c>
      <x:c r="B615" s="19" t="s">
        <x:v>1474</x:v>
      </x:c>
      <x:c r="C615" s="20">
        <x:v>70071900</x:v>
      </x:c>
      <x:c r="D615" s="20">
        <x:v>3.28</x:v>
      </x:c>
      <x:c r="E615" s="18" t="s">
        <x:v>227</x:v>
      </x:c>
      <x:c r="F615" s="19" t="s">
        <x:v>11</x:v>
      </x:c>
      <x:c r="G615" s="20">
        <x:v>0</x:v>
      </x:c>
      <x:c r="H615" s="21"/>
      <x:c r="I615" s="21" t="s">
        <x:v>1229</x:v>
      </x:c>
      <x:c r="J615" s="22">
        <x:v>0</x:v>
      </x:c>
      <x:c r="K615" s="22">
        <x:v>0</x:v>
      </x:c>
      <x:c r="L615" s="23">
        <x:v>0</x:v>
      </x:c>
    </x:row>
    <x:row r="616">
      <x:c r="A616" s="18" t="s">
        <x:v>1475</x:v>
      </x:c>
      <x:c r="B616" s="19" t="s">
        <x:v>1476</x:v>
      </x:c>
      <x:c r="C616" s="20">
        <x:v>70071900</x:v>
      </x:c>
      <x:c r="D616" s="20">
        <x:v>2.48</x:v>
      </x:c>
      <x:c r="E616" s="18" t="s">
        <x:v>227</x:v>
      </x:c>
      <x:c r="F616" s="19" t="s">
        <x:v>11</x:v>
      </x:c>
      <x:c r="G616" s="20">
        <x:v>1618.8</x:v>
      </x:c>
      <x:c r="H616" s="21"/>
      <x:c r="I616" s="26" t="s">
        <x:v>1229</x:v>
      </x:c>
      <x:c r="J616" s="22">
        <x:v>0</x:v>
      </x:c>
      <x:c r="K616" s="22">
        <x:v>0</x:v>
      </x:c>
      <x:c r="L616" s="23">
        <x:v>0</x:v>
      </x:c>
    </x:row>
    <x:row r="617">
      <x:c r="A617" s="18" t="s">
        <x:v>1477</x:v>
      </x:c>
      <x:c r="B617" s="19" t="s">
        <x:v>1478</x:v>
      </x:c>
      <x:c r="C617" s="20">
        <x:v>70071900</x:v>
      </x:c>
      <x:c r="D617" s="20">
        <x:v>130</x:v>
      </x:c>
      <x:c r="E617" s="18" t="s">
        <x:v>227</x:v>
      </x:c>
      <x:c r="F617" s="19" t="s">
        <x:v>11</x:v>
      </x:c>
      <x:c r="G617" s="20">
        <x:v>2318.5</x:v>
      </x:c>
      <x:c r="H617" s="21"/>
      <x:c r="I617" s="26" t="s">
        <x:v>1229</x:v>
      </x:c>
      <x:c r="J617" s="22">
        <x:v>0</x:v>
      </x:c>
      <x:c r="K617" s="22">
        <x:v>0</x:v>
      </x:c>
      <x:c r="L617" s="23">
        <x:v>0</x:v>
      </x:c>
    </x:row>
    <x:row r="618">
      <x:c r="A618" s="18" t="s">
        <x:v>1479</x:v>
      </x:c>
      <x:c r="B618" s="19" t="s">
        <x:v>1480</x:v>
      </x:c>
      <x:c r="C618" s="20">
        <x:v>70071900</x:v>
      </x:c>
      <x:c r="D618" s="20">
        <x:v>400</x:v>
      </x:c>
      <x:c r="E618" s="18" t="s">
        <x:v>227</x:v>
      </x:c>
      <x:c r="F618" s="19" t="s">
        <x:v>11</x:v>
      </x:c>
      <x:c r="G618" s="20">
        <x:v>2651.4</x:v>
      </x:c>
      <x:c r="H618" s="21"/>
      <x:c r="I618" s="26" t="s">
        <x:v>1229</x:v>
      </x:c>
      <x:c r="J618" s="22">
        <x:v>0</x:v>
      </x:c>
      <x:c r="K618" s="22">
        <x:v>0</x:v>
      </x:c>
      <x:c r="L618" s="23">
        <x:v>0</x:v>
      </x:c>
    </x:row>
    <x:row r="619">
      <x:c r="A619" s="18" t="s">
        <x:v>1481</x:v>
      </x:c>
      <x:c r="B619" s="19" t="s">
        <x:v>1482</x:v>
      </x:c>
      <x:c r="C619" s="20">
        <x:v>70071900</x:v>
      </x:c>
      <x:c r="D619" s="20">
        <x:v>620</x:v>
      </x:c>
      <x:c r="E619" s="18" t="s">
        <x:v>227</x:v>
      </x:c>
      <x:c r="F619" s="19" t="s">
        <x:v>11</x:v>
      </x:c>
      <x:c r="G619" s="20">
        <x:v>3792.4</x:v>
      </x:c>
      <x:c r="H619" s="21"/>
      <x:c r="I619" s="26" t="s">
        <x:v>1229</x:v>
      </x:c>
      <x:c r="J619" s="22">
        <x:v>0</x:v>
      </x:c>
      <x:c r="K619" s="22">
        <x:v>0</x:v>
      </x:c>
      <x:c r="L619" s="23">
        <x:v>0</x:v>
      </x:c>
    </x:row>
    <x:row r="620">
      <x:c r="A620" s="18" t="s">
        <x:v>1483</x:v>
      </x:c>
      <x:c r="B620" s="19" t="s">
        <x:v>1484</x:v>
      </x:c>
      <x:c r="C620" s="20">
        <x:v>70071900</x:v>
      </x:c>
      <x:c r="D620" s="20">
        <x:v>2650</x:v>
      </x:c>
      <x:c r="E620" s="18" t="s">
        <x:v>227</x:v>
      </x:c>
      <x:c r="F620" s="19" t="s">
        <x:v>11</x:v>
      </x:c>
      <x:c r="G620" s="20">
        <x:v>5363.9</x:v>
      </x:c>
      <x:c r="H620" s="21"/>
      <x:c r="I620" s="26" t="s">
        <x:v>1229</x:v>
      </x:c>
      <x:c r="J620" s="22">
        <x:v>0</x:v>
      </x:c>
      <x:c r="K620" s="22">
        <x:v>0</x:v>
      </x:c>
      <x:c r="L620" s="23">
        <x:v>0</x:v>
      </x:c>
    </x:row>
    <x:row r="621">
      <x:c r="A621" s="18" t="s">
        <x:v>1485</x:v>
      </x:c>
      <x:c r="B621" s="19" t="s">
        <x:v>1486</x:v>
      </x:c>
      <x:c r="C621" s="20">
        <x:v>70071900</x:v>
      </x:c>
      <x:c r="D621" s="20">
        <x:v>80.010000000000005</x:v>
      </x:c>
      <x:c r="E621" s="18" t="s">
        <x:v>227</x:v>
      </x:c>
      <x:c r="F621" s="19" t="s">
        <x:v>11</x:v>
      </x:c>
      <x:c r="G621" s="20">
        <x:v>1579.6</x:v>
      </x:c>
      <x:c r="H621" s="21"/>
      <x:c r="I621" s="26" t="s">
        <x:v>1234</x:v>
      </x:c>
      <x:c r="J621" s="22">
        <x:v>0</x:v>
      </x:c>
      <x:c r="K621" s="22">
        <x:v>0</x:v>
      </x:c>
      <x:c r="L621" s="23">
        <x:v>0</x:v>
      </x:c>
    </x:row>
    <x:row r="622">
      <x:c r="A622" s="18" t="s">
        <x:v>1487</x:v>
      </x:c>
      <x:c r="B622" s="19" t="s">
        <x:v>1488</x:v>
      </x:c>
      <x:c r="C622" s="20">
        <x:v>70071900</x:v>
      </x:c>
      <x:c r="D622" s="20">
        <x:v>46</x:v>
      </x:c>
      <x:c r="E622" s="18" t="s">
        <x:v>227</x:v>
      </x:c>
      <x:c r="F622" s="19" t="s">
        <x:v>11</x:v>
      </x:c>
      <x:c r="G622" s="20">
        <x:v>0</x:v>
      </x:c>
      <x:c r="H622" s="21"/>
      <x:c r="I622" s="21" t="s">
        <x:v>1229</x:v>
      </x:c>
      <x:c r="J622" s="22">
        <x:v>0</x:v>
      </x:c>
      <x:c r="K622" s="22">
        <x:v>0</x:v>
      </x:c>
      <x:c r="L622" s="23">
        <x:v>0</x:v>
      </x:c>
    </x:row>
    <x:row r="623">
      <x:c r="A623" s="18" t="s">
        <x:v>1489</x:v>
      </x:c>
      <x:c r="B623" s="19" t="s">
        <x:v>1490</x:v>
      </x:c>
      <x:c r="C623" s="20">
        <x:v>70071900</x:v>
      </x:c>
      <x:c r="D623" s="20">
        <x:v>5.15</x:v>
      </x:c>
      <x:c r="E623" s="18" t="s">
        <x:v>227</x:v>
      </x:c>
      <x:c r="F623" s="19" t="s">
        <x:v>11</x:v>
      </x:c>
      <x:c r="G623" s="20">
        <x:v>1617.2</x:v>
      </x:c>
      <x:c r="H623" s="21"/>
      <x:c r="I623" s="26" t="s">
        <x:v>1229</x:v>
      </x:c>
      <x:c r="J623" s="22">
        <x:v>0</x:v>
      </x:c>
      <x:c r="K623" s="22">
        <x:v>0</x:v>
      </x:c>
      <x:c r="L623" s="23">
        <x:v>0</x:v>
      </x:c>
    </x:row>
    <x:row r="624">
      <x:c r="A624" s="18" t="s">
        <x:v>1491</x:v>
      </x:c>
      <x:c r="B624" s="19" t="s">
        <x:v>1492</x:v>
      </x:c>
      <x:c r="C624" s="20">
        <x:v>70071900</x:v>
      </x:c>
      <x:c r="D624" s="20">
        <x:v>548</x:v>
      </x:c>
      <x:c r="E624" s="18" t="s">
        <x:v>227</x:v>
      </x:c>
      <x:c r="F624" s="19" t="s">
        <x:v>11</x:v>
      </x:c>
      <x:c r="G624" s="20">
        <x:v>0</x:v>
      </x:c>
      <x:c r="H624" s="21"/>
      <x:c r="I624" s="21" t="s">
        <x:v>1229</x:v>
      </x:c>
      <x:c r="J624" s="22">
        <x:v>0</x:v>
      </x:c>
      <x:c r="K624" s="22">
        <x:v>0</x:v>
      </x:c>
      <x:c r="L624" s="23">
        <x:v>0</x:v>
      </x:c>
    </x:row>
    <x:row r="625">
      <x:c r="A625" s="18" t="s">
        <x:v>1493</x:v>
      </x:c>
      <x:c r="B625" s="19" t="s">
        <x:v>1494</x:v>
      </x:c>
      <x:c r="C625" s="20">
        <x:v>70071900</x:v>
      </x:c>
      <x:c r="D625" s="20">
        <x:v>1150</x:v>
      </x:c>
      <x:c r="E625" s="18" t="s">
        <x:v>227</x:v>
      </x:c>
      <x:c r="F625" s="19" t="s">
        <x:v>11</x:v>
      </x:c>
      <x:c r="G625" s="20">
        <x:v>1185.4000000000001</x:v>
      </x:c>
      <x:c r="H625" s="21"/>
      <x:c r="I625" s="26" t="s">
        <x:v>1234</x:v>
      </x:c>
      <x:c r="J625" s="22">
        <x:v>0</x:v>
      </x:c>
      <x:c r="K625" s="22">
        <x:v>0</x:v>
      </x:c>
      <x:c r="L625" s="23">
        <x:v>0</x:v>
      </x:c>
    </x:row>
    <x:row r="626">
      <x:c r="A626" s="18" t="s">
        <x:v>1495</x:v>
      </x:c>
      <x:c r="B626" s="19" t="s">
        <x:v>1496</x:v>
      </x:c>
      <x:c r="C626" s="20">
        <x:v>70071900</x:v>
      </x:c>
      <x:c r="D626" s="20">
        <x:v>168</x:v>
      </x:c>
      <x:c r="E626" s="18" t="s">
        <x:v>227</x:v>
      </x:c>
      <x:c r="F626" s="19" t="s">
        <x:v>11</x:v>
      </x:c>
      <x:c r="G626" s="20">
        <x:v>1693.5</x:v>
      </x:c>
      <x:c r="H626" s="21"/>
      <x:c r="I626" s="26" t="s">
        <x:v>1229</x:v>
      </x:c>
      <x:c r="J626" s="22">
        <x:v>0</x:v>
      </x:c>
      <x:c r="K626" s="22">
        <x:v>0</x:v>
      </x:c>
      <x:c r="L626" s="23">
        <x:v>0</x:v>
      </x:c>
    </x:row>
    <x:row r="627">
      <x:c r="A627" s="18" t="s">
        <x:v>1497</x:v>
      </x:c>
      <x:c r="B627" s="19" t="s">
        <x:v>1498</x:v>
      </x:c>
      <x:c r="C627" s="20">
        <x:v>70071900</x:v>
      </x:c>
      <x:c r="D627" s="20">
        <x:v>240.02</x:v>
      </x:c>
      <x:c r="E627" s="18" t="s">
        <x:v>227</x:v>
      </x:c>
      <x:c r="F627" s="19" t="s">
        <x:v>11</x:v>
      </x:c>
      <x:c r="G627" s="20">
        <x:v>2425.5</x:v>
      </x:c>
      <x:c r="H627" s="21"/>
      <x:c r="I627" s="26" t="s">
        <x:v>1229</x:v>
      </x:c>
      <x:c r="J627" s="22">
        <x:v>0</x:v>
      </x:c>
      <x:c r="K627" s="22">
        <x:v>0</x:v>
      </x:c>
      <x:c r="L627" s="23">
        <x:v>0</x:v>
      </x:c>
    </x:row>
    <x:row r="628">
      <x:c r="A628" s="18" t="s">
        <x:v>1499</x:v>
      </x:c>
      <x:c r="B628" s="19" t="s">
        <x:v>1500</x:v>
      </x:c>
      <x:c r="C628" s="20">
        <x:v>70071900</x:v>
      </x:c>
      <x:c r="D628" s="20">
        <x:v>249</x:v>
      </x:c>
      <x:c r="E628" s="18" t="s">
        <x:v>227</x:v>
      </x:c>
      <x:c r="F628" s="19" t="s">
        <x:v>11</x:v>
      </x:c>
      <x:c r="G628" s="20">
        <x:v>0</x:v>
      </x:c>
      <x:c r="H628" s="21"/>
      <x:c r="I628" s="21" t="s">
        <x:v>1229</x:v>
      </x:c>
      <x:c r="J628" s="22">
        <x:v>0</x:v>
      </x:c>
      <x:c r="K628" s="22">
        <x:v>0</x:v>
      </x:c>
      <x:c r="L628" s="23">
        <x:v>0</x:v>
      </x:c>
    </x:row>
    <x:row r="629">
      <x:c r="A629" s="18" t="s">
        <x:v>1501</x:v>
      </x:c>
      <x:c r="B629" s="19" t="s">
        <x:v>1502</x:v>
      </x:c>
      <x:c r="C629" s="20">
        <x:v>70071900</x:v>
      </x:c>
      <x:c r="D629" s="20">
        <x:v>3621.09</x:v>
      </x:c>
      <x:c r="E629" s="18" t="s">
        <x:v>227</x:v>
      </x:c>
      <x:c r="F629" s="19" t="s">
        <x:v>11</x:v>
      </x:c>
      <x:c r="G629" s="20">
        <x:v>0</x:v>
      </x:c>
      <x:c r="H629" s="21"/>
      <x:c r="I629" s="21" t="s">
        <x:v>1229</x:v>
      </x:c>
      <x:c r="J629" s="22">
        <x:v>0</x:v>
      </x:c>
      <x:c r="K629" s="22">
        <x:v>0</x:v>
      </x:c>
      <x:c r="L629" s="23">
        <x:v>0</x:v>
      </x:c>
    </x:row>
    <x:row r="630">
      <x:c r="A630" s="18" t="s">
        <x:v>1503</x:v>
      </x:c>
      <x:c r="B630" s="19" t="s">
        <x:v>1504</x:v>
      </x:c>
      <x:c r="C630" s="20">
        <x:v>70071900</x:v>
      </x:c>
      <x:c r="D630" s="20">
        <x:v>344</x:v>
      </x:c>
      <x:c r="E630" s="18" t="s">
        <x:v>227</x:v>
      </x:c>
      <x:c r="F630" s="19" t="s">
        <x:v>11</x:v>
      </x:c>
      <x:c r="G630" s="20">
        <x:v>1792.8</x:v>
      </x:c>
      <x:c r="H630" s="21"/>
      <x:c r="I630" s="26" t="s">
        <x:v>1229</x:v>
      </x:c>
      <x:c r="J630" s="22">
        <x:v>0</x:v>
      </x:c>
      <x:c r="K630" s="22">
        <x:v>0</x:v>
      </x:c>
      <x:c r="L630" s="23">
        <x:v>0</x:v>
      </x:c>
    </x:row>
    <x:row r="631">
      <x:c r="A631" s="18" t="s">
        <x:v>1505</x:v>
      </x:c>
      <x:c r="B631" s="19" t="s">
        <x:v>1506</x:v>
      </x:c>
      <x:c r="C631" s="20">
        <x:v>70071900</x:v>
      </x:c>
      <x:c r="D631" s="20">
        <x:v>281.29000000000002</x:v>
      </x:c>
      <x:c r="E631" s="18" t="s">
        <x:v>227</x:v>
      </x:c>
      <x:c r="F631" s="19" t="s">
        <x:v>11</x:v>
      </x:c>
      <x:c r="G631" s="20">
        <x:v>0</x:v>
      </x:c>
      <x:c r="H631" s="21"/>
      <x:c r="I631" s="21" t="s">
        <x:v>1229</x:v>
      </x:c>
      <x:c r="J631" s="22">
        <x:v>0</x:v>
      </x:c>
      <x:c r="K631" s="22">
        <x:v>0</x:v>
      </x:c>
      <x:c r="L631" s="23">
        <x:v>0</x:v>
      </x:c>
    </x:row>
    <x:row r="632">
      <x:c r="A632" s="18" t="s">
        <x:v>1507</x:v>
      </x:c>
      <x:c r="B632" s="19" t="s">
        <x:v>1508</x:v>
      </x:c>
      <x:c r="C632" s="20">
        <x:v>70071900</x:v>
      </x:c>
      <x:c r="D632" s="20">
        <x:v>579</x:v>
      </x:c>
      <x:c r="E632" s="18" t="s">
        <x:v>227</x:v>
      </x:c>
      <x:c r="F632" s="19" t="s">
        <x:v>11</x:v>
      </x:c>
      <x:c r="G632" s="20">
        <x:v>3963.9</x:v>
      </x:c>
      <x:c r="H632" s="21"/>
      <x:c r="I632" s="26" t="s">
        <x:v>1229</x:v>
      </x:c>
      <x:c r="J632" s="22">
        <x:v>0</x:v>
      </x:c>
      <x:c r="K632" s="22">
        <x:v>0</x:v>
      </x:c>
      <x:c r="L632" s="23">
        <x:v>0</x:v>
      </x:c>
    </x:row>
    <x:row r="633">
      <x:c r="A633" s="18" t="s">
        <x:v>1509</x:v>
      </x:c>
      <x:c r="B633" s="19" t="s">
        <x:v>1510</x:v>
      </x:c>
      <x:c r="C633" s="20">
        <x:v>70071900</x:v>
      </x:c>
      <x:c r="D633" s="20">
        <x:v>910.45</x:v>
      </x:c>
      <x:c r="E633" s="18" t="s">
        <x:v>227</x:v>
      </x:c>
      <x:c r="F633" s="19" t="s">
        <x:v>11</x:v>
      </x:c>
      <x:c r="G633" s="20">
        <x:v>1714.2</x:v>
      </x:c>
      <x:c r="H633" s="21"/>
      <x:c r="I633" s="26" t="s">
        <x:v>1229</x:v>
      </x:c>
      <x:c r="J633" s="22">
        <x:v>0</x:v>
      </x:c>
      <x:c r="K633" s="22">
        <x:v>0</x:v>
      </x:c>
      <x:c r="L633" s="23">
        <x:v>0</x:v>
      </x:c>
    </x:row>
    <x:row r="634">
      <x:c r="A634" s="18" t="s">
        <x:v>1511</x:v>
      </x:c>
      <x:c r="B634" s="19" t="s">
        <x:v>1512</x:v>
      </x:c>
      <x:c r="C634" s="20">
        <x:v>70071900</x:v>
      </x:c>
      <x:c r="D634" s="20">
        <x:v>884.73</x:v>
      </x:c>
      <x:c r="E634" s="18" t="s">
        <x:v>227</x:v>
      </x:c>
      <x:c r="F634" s="19" t="s">
        <x:v>11</x:v>
      </x:c>
      <x:c r="G634" s="20">
        <x:v>0</x:v>
      </x:c>
      <x:c r="H634" s="21"/>
      <x:c r="I634" s="21" t="s">
        <x:v>1229</x:v>
      </x:c>
      <x:c r="J634" s="22">
        <x:v>0</x:v>
      </x:c>
      <x:c r="K634" s="22">
        <x:v>0</x:v>
      </x:c>
      <x:c r="L634" s="23">
        <x:v>0</x:v>
      </x:c>
    </x:row>
    <x:row r="635">
      <x:c r="A635" s="18" t="s">
        <x:v>1513</x:v>
      </x:c>
      <x:c r="B635" s="19" t="s">
        <x:v>1514</x:v>
      </x:c>
      <x:c r="C635" s="20">
        <x:v>70071900</x:v>
      </x:c>
      <x:c r="D635" s="20">
        <x:v>4725.08</x:v>
      </x:c>
      <x:c r="E635" s="18" t="s">
        <x:v>227</x:v>
      </x:c>
      <x:c r="F635" s="19" t="s">
        <x:v>11</x:v>
      </x:c>
      <x:c r="G635" s="20">
        <x:v>5606.4</x:v>
      </x:c>
      <x:c r="H635" s="21"/>
      <x:c r="I635" s="26" t="s">
        <x:v>1229</x:v>
      </x:c>
      <x:c r="J635" s="22">
        <x:v>0</x:v>
      </x:c>
      <x:c r="K635" s="22">
        <x:v>0</x:v>
      </x:c>
      <x:c r="L635" s="23">
        <x:v>0</x:v>
      </x:c>
    </x:row>
    <x:row r="636">
      <x:c r="A636" s="18" t="s">
        <x:v>1515</x:v>
      </x:c>
      <x:c r="B636" s="19" t="s">
        <x:v>1516</x:v>
      </x:c>
      <x:c r="C636" s="20">
        <x:v>70071900</x:v>
      </x:c>
      <x:c r="D636" s="20">
        <x:v>1173</x:v>
      </x:c>
      <x:c r="E636" s="18" t="s">
        <x:v>227</x:v>
      </x:c>
      <x:c r="F636" s="19" t="s">
        <x:v>11</x:v>
      </x:c>
      <x:c r="G636" s="20">
        <x:v>1888.4</x:v>
      </x:c>
      <x:c r="H636" s="20">
        <x:v>0</x:v>
      </x:c>
      <x:c r="I636" s="26" t="s">
        <x:v>1229</x:v>
      </x:c>
      <x:c r="J636" s="22">
        <x:v>0</x:v>
      </x:c>
      <x:c r="K636" s="22">
        <x:v>0</x:v>
      </x:c>
      <x:c r="L636" s="23">
        <x:v>0</x:v>
      </x:c>
    </x:row>
    <x:row r="637">
      <x:c r="A637" s="18" t="s">
        <x:v>1517</x:v>
      </x:c>
      <x:c r="B637" s="19" t="s">
        <x:v>1518</x:v>
      </x:c>
      <x:c r="C637" s="20">
        <x:v>70071900</x:v>
      </x:c>
      <x:c r="D637" s="20">
        <x:v>478.41</x:v>
      </x:c>
      <x:c r="E637" s="18" t="s">
        <x:v>227</x:v>
      </x:c>
      <x:c r="F637" s="19" t="s">
        <x:v>11</x:v>
      </x:c>
      <x:c r="G637" s="20">
        <x:v>2236.8000000000002</x:v>
      </x:c>
      <x:c r="H637" s="21"/>
      <x:c r="I637" s="26" t="s">
        <x:v>1229</x:v>
      </x:c>
      <x:c r="J637" s="22">
        <x:v>0</x:v>
      </x:c>
      <x:c r="K637" s="22">
        <x:v>0</x:v>
      </x:c>
      <x:c r="L637" s="23">
        <x:v>0</x:v>
      </x:c>
    </x:row>
    <x:row r="638">
      <x:c r="A638" s="18" t="s">
        <x:v>1519</x:v>
      </x:c>
      <x:c r="B638" s="19" t="s">
        <x:v>1520</x:v>
      </x:c>
      <x:c r="C638" s="20">
        <x:v>70071900</x:v>
      </x:c>
      <x:c r="D638" s="20">
        <x:v>152.55000000000001</x:v>
      </x:c>
      <x:c r="E638" s="18" t="s">
        <x:v>227</x:v>
      </x:c>
      <x:c r="F638" s="19" t="s">
        <x:v>11</x:v>
      </x:c>
      <x:c r="G638" s="20">
        <x:v>4560.6000000000004</x:v>
      </x:c>
      <x:c r="H638" s="20">
        <x:v>0</x:v>
      </x:c>
      <x:c r="I638" s="26" t="s">
        <x:v>1229</x:v>
      </x:c>
      <x:c r="J638" s="22">
        <x:v>0</x:v>
      </x:c>
      <x:c r="K638" s="22">
        <x:v>0</x:v>
      </x:c>
      <x:c r="L638" s="23">
        <x:v>0</x:v>
      </x:c>
    </x:row>
    <x:row r="639">
      <x:c r="A639" s="18" t="s">
        <x:v>1521</x:v>
      </x:c>
      <x:c r="B639" s="19" t="s">
        <x:v>1522</x:v>
      </x:c>
      <x:c r="C639" s="20">
        <x:v>70071900</x:v>
      </x:c>
      <x:c r="D639" s="20">
        <x:v>633.34</x:v>
      </x:c>
      <x:c r="E639" s="18" t="s">
        <x:v>227</x:v>
      </x:c>
      <x:c r="F639" s="19" t="s">
        <x:v>11</x:v>
      </x:c>
      <x:c r="G639" s="20">
        <x:v>1366</x:v>
      </x:c>
      <x:c r="H639" s="21"/>
      <x:c r="I639" s="26" t="s">
        <x:v>1234</x:v>
      </x:c>
      <x:c r="J639" s="22">
        <x:v>0</x:v>
      </x:c>
      <x:c r="K639" s="22">
        <x:v>0</x:v>
      </x:c>
      <x:c r="L639" s="23">
        <x:v>0</x:v>
      </x:c>
    </x:row>
    <x:row r="640">
      <x:c r="A640" s="18" t="s">
        <x:v>1523</x:v>
      </x:c>
      <x:c r="B640" s="19" t="s">
        <x:v>1524</x:v>
      </x:c>
      <x:c r="C640" s="20">
        <x:v>70071900</x:v>
      </x:c>
      <x:c r="D640" s="20">
        <x:v>279.68</x:v>
      </x:c>
      <x:c r="E640" s="18" t="s">
        <x:v>227</x:v>
      </x:c>
      <x:c r="F640" s="19" t="s">
        <x:v>11</x:v>
      </x:c>
      <x:c r="G640" s="20">
        <x:v>3550.4</x:v>
      </x:c>
      <x:c r="H640" s="21"/>
      <x:c r="I640" s="26" t="s">
        <x:v>1229</x:v>
      </x:c>
      <x:c r="J640" s="22">
        <x:v>0</x:v>
      </x:c>
      <x:c r="K640" s="22">
        <x:v>0</x:v>
      </x:c>
      <x:c r="L640" s="23">
        <x:v>0</x:v>
      </x:c>
    </x:row>
    <x:row r="641">
      <x:c r="A641" s="18" t="s">
        <x:v>1525</x:v>
      </x:c>
      <x:c r="B641" s="19" t="s">
        <x:v>1526</x:v>
      </x:c>
      <x:c r="C641" s="20">
        <x:v>70071900</x:v>
      </x:c>
      <x:c r="D641" s="20">
        <x:v>1068.42</x:v>
      </x:c>
      <x:c r="E641" s="18" t="s">
        <x:v>227</x:v>
      </x:c>
      <x:c r="F641" s="19" t="s">
        <x:v>11</x:v>
      </x:c>
      <x:c r="G641" s="20">
        <x:v>1782.6</x:v>
      </x:c>
      <x:c r="H641" s="21"/>
      <x:c r="I641" s="26" t="s">
        <x:v>1234</x:v>
      </x:c>
      <x:c r="J641" s="22">
        <x:v>0</x:v>
      </x:c>
      <x:c r="K641" s="22">
        <x:v>0</x:v>
      </x:c>
      <x:c r="L641" s="23">
        <x:v>0</x:v>
      </x:c>
    </x:row>
    <x:row r="642">
      <x:c r="A642" s="18" t="s">
        <x:v>1527</x:v>
      </x:c>
      <x:c r="B642" s="19" t="s">
        <x:v>1528</x:v>
      </x:c>
      <x:c r="C642" s="20">
        <x:v>70071900</x:v>
      </x:c>
      <x:c r="D642" s="20">
        <x:v>252.47</x:v>
      </x:c>
      <x:c r="E642" s="18" t="s">
        <x:v>227</x:v>
      </x:c>
      <x:c r="F642" s="19" t="s">
        <x:v>11</x:v>
      </x:c>
      <x:c r="G642" s="20">
        <x:v>3913.4</x:v>
      </x:c>
      <x:c r="H642" s="21"/>
      <x:c r="I642" s="26" t="s">
        <x:v>1229</x:v>
      </x:c>
      <x:c r="J642" s="22">
        <x:v>0</x:v>
      </x:c>
      <x:c r="K642" s="22">
        <x:v>0</x:v>
      </x:c>
      <x:c r="L642" s="23">
        <x:v>0</x:v>
      </x:c>
    </x:row>
    <x:row r="643">
      <x:c r="A643" s="18" t="s">
        <x:v>1529</x:v>
      </x:c>
      <x:c r="B643" s="19" t="s">
        <x:v>1530</x:v>
      </x:c>
      <x:c r="C643" s="20">
        <x:v>70071900</x:v>
      </x:c>
      <x:c r="D643" s="20">
        <x:v>470.12</x:v>
      </x:c>
      <x:c r="E643" s="18" t="s">
        <x:v>227</x:v>
      </x:c>
      <x:c r="F643" s="19" t="s">
        <x:v>11</x:v>
      </x:c>
      <x:c r="G643" s="20">
        <x:v>1956.7</x:v>
      </x:c>
      <x:c r="H643" s="21"/>
      <x:c r="I643" s="26" t="s">
        <x:v>1229</x:v>
      </x:c>
      <x:c r="J643" s="22">
        <x:v>0</x:v>
      </x:c>
      <x:c r="K643" s="22">
        <x:v>0</x:v>
      </x:c>
      <x:c r="L643" s="23">
        <x:v>0</x:v>
      </x:c>
    </x:row>
    <x:row r="644">
      <x:c r="A644" s="18" t="s">
        <x:v>1531</x:v>
      </x:c>
      <x:c r="B644" s="19" t="s">
        <x:v>1532</x:v>
      </x:c>
      <x:c r="C644" s="20">
        <x:v>70071900</x:v>
      </x:c>
      <x:c r="D644" s="20">
        <x:v>497.32</x:v>
      </x:c>
      <x:c r="E644" s="18" t="s">
        <x:v>227</x:v>
      </x:c>
      <x:c r="F644" s="19" t="s">
        <x:v>11</x:v>
      </x:c>
      <x:c r="G644" s="20">
        <x:v>4639.3999999999996</x:v>
      </x:c>
      <x:c r="H644" s="21"/>
      <x:c r="I644" s="26" t="s">
        <x:v>1229</x:v>
      </x:c>
      <x:c r="J644" s="22">
        <x:v>0</x:v>
      </x:c>
      <x:c r="K644" s="22">
        <x:v>0</x:v>
      </x:c>
      <x:c r="L644" s="23">
        <x:v>0</x:v>
      </x:c>
    </x:row>
    <x:row r="645">
      <x:c r="A645" s="18" t="s">
        <x:v>1533</x:v>
      </x:c>
      <x:c r="B645" s="19" t="s">
        <x:v>1534</x:v>
      </x:c>
      <x:c r="C645" s="20">
        <x:v>70071900</x:v>
      </x:c>
      <x:c r="D645" s="20">
        <x:v>334.09</x:v>
      </x:c>
      <x:c r="E645" s="18" t="s">
        <x:v>227</x:v>
      </x:c>
      <x:c r="F645" s="19" t="s">
        <x:v>11</x:v>
      </x:c>
      <x:c r="G645" s="20">
        <x:v>2319.6999999999998</x:v>
      </x:c>
      <x:c r="H645" s="21"/>
      <x:c r="I645" s="26" t="s">
        <x:v>1234</x:v>
      </x:c>
      <x:c r="J645" s="22">
        <x:v>0</x:v>
      </x:c>
      <x:c r="K645" s="22">
        <x:v>0</x:v>
      </x:c>
      <x:c r="L645" s="23">
        <x:v>0</x:v>
      </x:c>
    </x:row>
    <x:row r="646">
      <x:c r="A646" s="18" t="s">
        <x:v>1535</x:v>
      </x:c>
      <x:c r="B646" s="19" t="s">
        <x:v>1536</x:v>
      </x:c>
      <x:c r="C646" s="20">
        <x:v>70071900</x:v>
      </x:c>
      <x:c r="D646" s="20">
        <x:v>3957.89</x:v>
      </x:c>
      <x:c r="E646" s="18" t="s">
        <x:v>227</x:v>
      </x:c>
      <x:c r="F646" s="19" t="s">
        <x:v>11</x:v>
      </x:c>
      <x:c r="G646" s="20">
        <x:v>3213.1</x:v>
      </x:c>
      <x:c r="H646" s="21"/>
      <x:c r="I646" s="26" t="s">
        <x:v>1229</x:v>
      </x:c>
      <x:c r="J646" s="22">
        <x:v>0</x:v>
      </x:c>
      <x:c r="K646" s="22">
        <x:v>0</x:v>
      </x:c>
      <x:c r="L646" s="23">
        <x:v>0</x:v>
      </x:c>
    </x:row>
    <x:row r="647">
      <x:c r="A647" s="18" t="s">
        <x:v>1537</x:v>
      </x:c>
      <x:c r="B647" s="19" t="s">
        <x:v>1538</x:v>
      </x:c>
      <x:c r="C647" s="20">
        <x:v>70071900</x:v>
      </x:c>
      <x:c r="D647" s="20">
        <x:v>469.19</x:v>
      </x:c>
      <x:c r="E647" s="18" t="s">
        <x:v>227</x:v>
      </x:c>
      <x:c r="F647" s="19" t="s">
        <x:v>11</x:v>
      </x:c>
      <x:c r="G647" s="20">
        <x:v>0</x:v>
      </x:c>
      <x:c r="H647" s="21"/>
      <x:c r="I647" s="21" t="s">
        <x:v>1229</x:v>
      </x:c>
      <x:c r="J647" s="23">
        <x:v>1</x:v>
      </x:c>
      <x:c r="K647" s="23">
        <x:v>6067.6</x:v>
      </x:c>
      <x:c r="L647" s="23">
        <x:v>1</x:v>
      </x:c>
    </x:row>
    <x:row r="648">
      <x:c r="A648" s="18" t="s">
        <x:v>1539</x:v>
      </x:c>
      <x:c r="B648" s="19" t="s">
        <x:v>1540</x:v>
      </x:c>
      <x:c r="C648" s="20">
        <x:v>70071900</x:v>
      </x:c>
      <x:c r="D648" s="20">
        <x:v>986.05</x:v>
      </x:c>
      <x:c r="E648" s="18" t="s">
        <x:v>227</x:v>
      </x:c>
      <x:c r="F648" s="19" t="s">
        <x:v>11</x:v>
      </x:c>
      <x:c r="G648" s="20">
        <x:v>2462.3000000000002</x:v>
      </x:c>
      <x:c r="H648" s="21"/>
      <x:c r="I648" s="26" t="s">
        <x:v>1234</x:v>
      </x:c>
      <x:c r="J648" s="22">
        <x:v>0</x:v>
      </x:c>
      <x:c r="K648" s="22">
        <x:v>0</x:v>
      </x:c>
      <x:c r="L648" s="23">
        <x:v>0</x:v>
      </x:c>
    </x:row>
    <x:row r="649">
      <x:c r="A649" s="18" t="s">
        <x:v>1541</x:v>
      </x:c>
      <x:c r="B649" s="19" t="s">
        <x:v>1542</x:v>
      </x:c>
      <x:c r="C649" s="20">
        <x:v>70071900</x:v>
      </x:c>
      <x:c r="D649" s="20">
        <x:v>317.79000000000002</x:v>
      </x:c>
      <x:c r="E649" s="18" t="s">
        <x:v>227</x:v>
      </x:c>
      <x:c r="F649" s="19" t="s">
        <x:v>11</x:v>
      </x:c>
      <x:c r="G649" s="20">
        <x:v>0</x:v>
      </x:c>
      <x:c r="H649" s="21"/>
      <x:c r="I649" s="21" t="s">
        <x:v>1229</x:v>
      </x:c>
      <x:c r="J649" s="22">
        <x:v>0</x:v>
      </x:c>
      <x:c r="K649" s="22">
        <x:v>0</x:v>
      </x:c>
      <x:c r="L649" s="23">
        <x:v>0</x:v>
      </x:c>
    </x:row>
    <x:row r="650">
      <x:c r="A650" s="18" t="s">
        <x:v>1543</x:v>
      </x:c>
      <x:c r="B650" s="19" t="s">
        <x:v>1544</x:v>
      </x:c>
      <x:c r="C650" s="20">
        <x:v>70071900</x:v>
      </x:c>
      <x:c r="D650" s="20">
        <x:v>353.23</x:v>
      </x:c>
      <x:c r="E650" s="18" t="s">
        <x:v>227</x:v>
      </x:c>
      <x:c r="F650" s="19" t="s">
        <x:v>11</x:v>
      </x:c>
      <x:c r="G650" s="20">
        <x:v>3621.1</x:v>
      </x:c>
      <x:c r="H650" s="21"/>
      <x:c r="I650" s="26" t="s">
        <x:v>1229</x:v>
      </x:c>
      <x:c r="J650" s="22">
        <x:v>0</x:v>
      </x:c>
      <x:c r="K650" s="22">
        <x:v>0</x:v>
      </x:c>
      <x:c r="L650" s="23">
        <x:v>0</x:v>
      </x:c>
    </x:row>
    <x:row r="651">
      <x:c r="A651" s="18" t="s">
        <x:v>1545</x:v>
      </x:c>
      <x:c r="B651" s="19" t="s">
        <x:v>1546</x:v>
      </x:c>
      <x:c r="C651" s="20">
        <x:v>70071900</x:v>
      </x:c>
      <x:c r="D651" s="20">
        <x:v>551.37</x:v>
      </x:c>
      <x:c r="E651" s="18" t="s">
        <x:v>227</x:v>
      </x:c>
      <x:c r="F651" s="19" t="s">
        <x:v>11</x:v>
      </x:c>
      <x:c r="G651" s="20">
        <x:v>1815</x:v>
      </x:c>
      <x:c r="H651" s="21"/>
      <x:c r="I651" s="26" t="s">
        <x:v>1229</x:v>
      </x:c>
      <x:c r="J651" s="22">
        <x:v>0</x:v>
      </x:c>
      <x:c r="K651" s="22">
        <x:v>0</x:v>
      </x:c>
      <x:c r="L651" s="23">
        <x:v>0</x:v>
      </x:c>
    </x:row>
    <x:row r="652">
      <x:c r="A652" s="18" t="s">
        <x:v>1547</x:v>
      </x:c>
      <x:c r="B652" s="19" t="s">
        <x:v>1548</x:v>
      </x:c>
      <x:c r="C652" s="20">
        <x:v>70071900</x:v>
      </x:c>
      <x:c r="D652" s="20">
        <x:v>542.88</x:v>
      </x:c>
      <x:c r="E652" s="18" t="s">
        <x:v>227</x:v>
      </x:c>
      <x:c r="F652" s="19" t="s">
        <x:v>11</x:v>
      </x:c>
      <x:c r="G652" s="20">
        <x:v>3233.1</x:v>
      </x:c>
      <x:c r="H652" s="21"/>
      <x:c r="I652" s="26" t="s">
        <x:v>1234</x:v>
      </x:c>
      <x:c r="J652" s="22">
        <x:v>0</x:v>
      </x:c>
      <x:c r="K652" s="22">
        <x:v>0</x:v>
      </x:c>
      <x:c r="L652" s="23">
        <x:v>0</x:v>
      </x:c>
    </x:row>
    <x:row r="653">
      <x:c r="A653" s="18" t="s">
        <x:v>1549</x:v>
      </x:c>
      <x:c r="B653" s="19" t="s">
        <x:v>1550</x:v>
      </x:c>
      <x:c r="C653" s="20">
        <x:v>70071900</x:v>
      </x:c>
      <x:c r="D653" s="20">
        <x:v>231.44</x:v>
      </x:c>
      <x:c r="E653" s="18" t="s">
        <x:v>227</x:v>
      </x:c>
      <x:c r="F653" s="19" t="s">
        <x:v>11</x:v>
      </x:c>
      <x:c r="G653" s="20">
        <x:v>8775.1</x:v>
      </x:c>
      <x:c r="H653" s="21"/>
      <x:c r="I653" s="26" t="s">
        <x:v>1234</x:v>
      </x:c>
      <x:c r="J653" s="22">
        <x:v>0</x:v>
      </x:c>
      <x:c r="K653" s="22">
        <x:v>0</x:v>
      </x:c>
      <x:c r="L653" s="23">
        <x:v>0</x:v>
      </x:c>
    </x:row>
    <x:row r="654">
      <x:c r="A654" s="18" t="s">
        <x:v>1551</x:v>
      </x:c>
      <x:c r="B654" s="19" t="s">
        <x:v>1552</x:v>
      </x:c>
      <x:c r="C654" s="20">
        <x:v>70071900</x:v>
      </x:c>
      <x:c r="D654" s="20">
        <x:v>280.89</x:v>
      </x:c>
      <x:c r="E654" s="18" t="s">
        <x:v>227</x:v>
      </x:c>
      <x:c r="F654" s="19" t="s">
        <x:v>11</x:v>
      </x:c>
      <x:c r="G654" s="20">
        <x:v>2725.1</x:v>
      </x:c>
      <x:c r="H654" s="21"/>
      <x:c r="I654" s="26" t="s">
        <x:v>1229</x:v>
      </x:c>
      <x:c r="J654" s="22">
        <x:v>0</x:v>
      </x:c>
      <x:c r="K654" s="22">
        <x:v>0</x:v>
      </x:c>
      <x:c r="L654" s="23">
        <x:v>0</x:v>
      </x:c>
    </x:row>
    <x:row r="655">
      <x:c r="A655" s="18" t="s">
        <x:v>1553</x:v>
      </x:c>
      <x:c r="B655" s="19" t="s">
        <x:v>1554</x:v>
      </x:c>
      <x:c r="C655" s="20">
        <x:v>70071900</x:v>
      </x:c>
      <x:c r="D655" s="20">
        <x:v>375</x:v>
      </x:c>
      <x:c r="E655" s="18" t="s">
        <x:v>227</x:v>
      </x:c>
      <x:c r="F655" s="19" t="s">
        <x:v>11</x:v>
      </x:c>
      <x:c r="G655" s="20">
        <x:v>4218.8</x:v>
      </x:c>
      <x:c r="H655" s="21"/>
      <x:c r="I655" s="26" t="s">
        <x:v>1234</x:v>
      </x:c>
      <x:c r="J655" s="22">
        <x:v>0</x:v>
      </x:c>
      <x:c r="K655" s="22">
        <x:v>0</x:v>
      </x:c>
      <x:c r="L655" s="23">
        <x:v>0</x:v>
      </x:c>
    </x:row>
    <x:row r="656">
      <x:c r="A656" s="18" t="s">
        <x:v>1555</x:v>
      </x:c>
      <x:c r="B656" s="19" t="s">
        <x:v>1556</x:v>
      </x:c>
      <x:c r="C656" s="20">
        <x:v>70071900</x:v>
      </x:c>
      <x:c r="D656" s="20">
        <x:v>1626.55</x:v>
      </x:c>
      <x:c r="E656" s="18" t="s">
        <x:v>227</x:v>
      </x:c>
      <x:c r="F656" s="19" t="s">
        <x:v>11</x:v>
      </x:c>
      <x:c r="G656" s="20">
        <x:v>0</x:v>
      </x:c>
      <x:c r="H656" s="21"/>
      <x:c r="I656" s="21" t="s">
        <x:v>1229</x:v>
      </x:c>
      <x:c r="J656" s="22">
        <x:v>0</x:v>
      </x:c>
      <x:c r="K656" s="22">
        <x:v>0</x:v>
      </x:c>
      <x:c r="L656" s="23">
        <x:v>0</x:v>
      </x:c>
    </x:row>
    <x:row r="657">
      <x:c r="A657" s="18" t="s">
        <x:v>1557</x:v>
      </x:c>
      <x:c r="B657" s="19" t="s">
        <x:v>1558</x:v>
      </x:c>
      <x:c r="C657" s="20">
        <x:v>70071900</x:v>
      </x:c>
      <x:c r="D657" s="20">
        <x:v>3306.19</x:v>
      </x:c>
      <x:c r="E657" s="18" t="s">
        <x:v>227</x:v>
      </x:c>
      <x:c r="F657" s="19" t="s">
        <x:v>11</x:v>
      </x:c>
      <x:c r="G657" s="20">
        <x:v>2367.1999999999998</x:v>
      </x:c>
      <x:c r="H657" s="21"/>
      <x:c r="I657" s="26" t="s">
        <x:v>1234</x:v>
      </x:c>
      <x:c r="J657" s="22">
        <x:v>0</x:v>
      </x:c>
      <x:c r="K657" s="22">
        <x:v>0</x:v>
      </x:c>
      <x:c r="L657" s="23">
        <x:v>0</x:v>
      </x:c>
    </x:row>
    <x:row r="658">
      <x:c r="A658" s="18" t="s">
        <x:v>1559</x:v>
      </x:c>
      <x:c r="B658" s="19" t="s">
        <x:v>1560</x:v>
      </x:c>
      <x:c r="C658" s="20">
        <x:v>70071900</x:v>
      </x:c>
      <x:c r="D658" s="20">
        <x:v>2414.59</x:v>
      </x:c>
      <x:c r="E658" s="18" t="s">
        <x:v>227</x:v>
      </x:c>
      <x:c r="F658" s="19" t="s">
        <x:v>11</x:v>
      </x:c>
      <x:c r="G658" s="20">
        <x:v>329.57</x:v>
      </x:c>
      <x:c r="H658" s="21"/>
      <x:c r="I658" s="26" t="s">
        <x:v>1229</x:v>
      </x:c>
      <x:c r="J658" s="22">
        <x:v>0</x:v>
      </x:c>
      <x:c r="K658" s="22">
        <x:v>0</x:v>
      </x:c>
      <x:c r="L658" s="23">
        <x:v>0</x:v>
      </x:c>
    </x:row>
    <x:row r="659">
      <x:c r="A659" s="18" t="s">
        <x:v>1561</x:v>
      </x:c>
      <x:c r="B659" s="19" t="s">
        <x:v>1562</x:v>
      </x:c>
      <x:c r="C659" s="20">
        <x:v>70071900</x:v>
      </x:c>
      <x:c r="D659" s="20">
        <x:v>3571.31</x:v>
      </x:c>
      <x:c r="E659" s="18" t="s">
        <x:v>227</x:v>
      </x:c>
      <x:c r="F659" s="19" t="s">
        <x:v>11</x:v>
      </x:c>
      <x:c r="G659" s="20">
        <x:v>374.78</x:v>
      </x:c>
      <x:c r="H659" s="21"/>
      <x:c r="I659" s="26" t="s">
        <x:v>1229</x:v>
      </x:c>
      <x:c r="J659" s="22">
        <x:v>0</x:v>
      </x:c>
      <x:c r="K659" s="22">
        <x:v>0</x:v>
      </x:c>
      <x:c r="L659" s="23">
        <x:v>0</x:v>
      </x:c>
    </x:row>
    <x:row r="660">
      <x:c r="A660" s="18" t="s">
        <x:v>1563</x:v>
      </x:c>
      <x:c r="B660" s="19" t="s">
        <x:v>1564</x:v>
      </x:c>
      <x:c r="C660" s="20">
        <x:v>70071900</x:v>
      </x:c>
      <x:c r="D660" s="20">
        <x:v>989.17</x:v>
      </x:c>
      <x:c r="E660" s="18" t="s">
        <x:v>227</x:v>
      </x:c>
      <x:c r="F660" s="19" t="s">
        <x:v>11</x:v>
      </x:c>
      <x:c r="G660" s="20">
        <x:v>599.98</x:v>
      </x:c>
      <x:c r="H660" s="21"/>
      <x:c r="I660" s="26" t="s">
        <x:v>1229</x:v>
      </x:c>
      <x:c r="J660" s="22">
        <x:v>0</x:v>
      </x:c>
      <x:c r="K660" s="22">
        <x:v>0</x:v>
      </x:c>
      <x:c r="L660" s="23">
        <x:v>0</x:v>
      </x:c>
    </x:row>
    <x:row r="661">
      <x:c r="A661" s="18" t="s">
        <x:v>1565</x:v>
      </x:c>
      <x:c r="B661" s="19" t="s">
        <x:v>1566</x:v>
      </x:c>
      <x:c r="C661" s="20">
        <x:v>70071900</x:v>
      </x:c>
      <x:c r="D661" s="20">
        <x:v>993.54</x:v>
      </x:c>
      <x:c r="E661" s="18" t="s">
        <x:v>227</x:v>
      </x:c>
      <x:c r="F661" s="19" t="s">
        <x:v>11</x:v>
      </x:c>
      <x:c r="G661" s="20">
        <x:v>0</x:v>
      </x:c>
      <x:c r="H661" s="21"/>
      <x:c r="I661" s="21" t="s">
        <x:v>1229</x:v>
      </x:c>
      <x:c r="J661" s="22">
        <x:v>0</x:v>
      </x:c>
      <x:c r="K661" s="22">
        <x:v>0</x:v>
      </x:c>
      <x:c r="L661" s="23">
        <x:v>0</x:v>
      </x:c>
    </x:row>
    <x:row r="662">
      <x:c r="A662" s="18" t="s">
        <x:v>1567</x:v>
      </x:c>
      <x:c r="B662" s="19" t="s">
        <x:v>1568</x:v>
      </x:c>
      <x:c r="C662" s="20">
        <x:v>70071900</x:v>
      </x:c>
      <x:c r="D662" s="20">
        <x:v>923.74</x:v>
      </x:c>
      <x:c r="E662" s="18" t="s">
        <x:v>227</x:v>
      </x:c>
      <x:c r="F662" s="19" t="s">
        <x:v>11</x:v>
      </x:c>
      <x:c r="G662" s="20">
        <x:v>11614</x:v>
      </x:c>
      <x:c r="H662" s="21"/>
      <x:c r="I662" s="26" t="s">
        <x:v>1229</x:v>
      </x:c>
      <x:c r="J662" s="22">
        <x:v>0</x:v>
      </x:c>
      <x:c r="K662" s="22">
        <x:v>0</x:v>
      </x:c>
      <x:c r="L662" s="23">
        <x:v>0</x:v>
      </x:c>
    </x:row>
    <x:row r="663">
      <x:c r="A663" s="18" t="s">
        <x:v>1569</x:v>
      </x:c>
      <x:c r="B663" s="19" t="s">
        <x:v>1570</x:v>
      </x:c>
      <x:c r="C663" s="20">
        <x:v>70071900</x:v>
      </x:c>
      <x:c r="D663" s="20">
        <x:v>996.81</x:v>
      </x:c>
      <x:c r="E663" s="18" t="s">
        <x:v>227</x:v>
      </x:c>
      <x:c r="F663" s="19" t="s">
        <x:v>11</x:v>
      </x:c>
      <x:c r="G663" s="20">
        <x:v>10276</x:v>
      </x:c>
      <x:c r="H663" s="21"/>
      <x:c r="I663" s="26" t="s">
        <x:v>1234</x:v>
      </x:c>
      <x:c r="J663" s="22">
        <x:v>0</x:v>
      </x:c>
      <x:c r="K663" s="22">
        <x:v>0</x:v>
      </x:c>
      <x:c r="L663" s="23">
        <x:v>1</x:v>
      </x:c>
    </x:row>
    <x:row r="664">
      <x:c r="A664" s="18" t="s">
        <x:v>1571</x:v>
      </x:c>
      <x:c r="B664" s="19" t="s">
        <x:v>1572</x:v>
      </x:c>
      <x:c r="C664" s="20">
        <x:v>70071900</x:v>
      </x:c>
      <x:c r="D664" s="20">
        <x:v>1001.17</x:v>
      </x:c>
      <x:c r="E664" s="18" t="s">
        <x:v>227</x:v>
      </x:c>
      <x:c r="F664" s="19" t="s">
        <x:v>11</x:v>
      </x:c>
      <x:c r="G664" s="20">
        <x:v>5733.2</x:v>
      </x:c>
      <x:c r="H664" s="21"/>
      <x:c r="I664" s="26" t="s">
        <x:v>1234</x:v>
      </x:c>
      <x:c r="J664" s="22">
        <x:v>0</x:v>
      </x:c>
      <x:c r="K664" s="22">
        <x:v>0</x:v>
      </x:c>
      <x:c r="L664" s="23">
        <x:v>1</x:v>
      </x:c>
    </x:row>
    <x:row r="665">
      <x:c r="A665" s="18" t="s">
        <x:v>1573</x:v>
      </x:c>
      <x:c r="B665" s="19" t="s">
        <x:v>1574</x:v>
      </x:c>
      <x:c r="C665" s="20">
        <x:v>70071900</x:v>
      </x:c>
      <x:c r="D665" s="20">
        <x:v>1367.38</x:v>
      </x:c>
      <x:c r="E665" s="18" t="s">
        <x:v>227</x:v>
      </x:c>
      <x:c r="F665" s="19" t="s">
        <x:v>11</x:v>
      </x:c>
      <x:c r="G665" s="20">
        <x:v>171.07</x:v>
      </x:c>
      <x:c r="H665" s="21"/>
      <x:c r="I665" s="26" t="s">
        <x:v>1229</x:v>
      </x:c>
      <x:c r="J665" s="22">
        <x:v>0</x:v>
      </x:c>
      <x:c r="K665" s="22">
        <x:v>0</x:v>
      </x:c>
      <x:c r="L665" s="23">
        <x:v>0</x:v>
      </x:c>
    </x:row>
    <x:row r="666">
      <x:c r="A666" s="18" t="s">
        <x:v>1575</x:v>
      </x:c>
      <x:c r="B666" s="19" t="s">
        <x:v>1576</x:v>
      </x:c>
      <x:c r="C666" s="20">
        <x:v>70071900</x:v>
      </x:c>
      <x:c r="D666" s="20">
        <x:v>446.37</x:v>
      </x:c>
      <x:c r="E666" s="18" t="s">
        <x:v>227</x:v>
      </x:c>
      <x:c r="F666" s="19" t="s">
        <x:v>11</x:v>
      </x:c>
      <x:c r="G666" s="20">
        <x:v>282.45999999999998</x:v>
      </x:c>
      <x:c r="H666" s="21"/>
      <x:c r="I666" s="26" t="s">
        <x:v>1229</x:v>
      </x:c>
      <x:c r="J666" s="22">
        <x:v>0</x:v>
      </x:c>
      <x:c r="K666" s="22">
        <x:v>0</x:v>
      </x:c>
      <x:c r="L666" s="23">
        <x:v>0</x:v>
      </x:c>
    </x:row>
    <x:row r="667">
      <x:c r="A667" s="18" t="s">
        <x:v>1577</x:v>
      </x:c>
      <x:c r="B667" s="19" t="s">
        <x:v>1578</x:v>
      </x:c>
      <x:c r="C667" s="20">
        <x:v>70071900</x:v>
      </x:c>
      <x:c r="D667" s="20">
        <x:v>1356.96</x:v>
      </x:c>
      <x:c r="E667" s="18" t="s">
        <x:v>227</x:v>
      </x:c>
      <x:c r="F667" s="19" t="s">
        <x:v>11</x:v>
      </x:c>
      <x:c r="G667" s="20">
        <x:v>182.32</x:v>
      </x:c>
      <x:c r="H667" s="21"/>
      <x:c r="I667" s="26" t="s">
        <x:v>1234</x:v>
      </x:c>
      <x:c r="J667" s="22">
        <x:v>0</x:v>
      </x:c>
      <x:c r="K667" s="22">
        <x:v>0</x:v>
      </x:c>
      <x:c r="L667" s="23">
        <x:v>0</x:v>
      </x:c>
    </x:row>
    <x:row r="668">
      <x:c r="A668" s="18" t="s">
        <x:v>1579</x:v>
      </x:c>
      <x:c r="B668" s="19" t="s">
        <x:v>1580</x:v>
      </x:c>
      <x:c r="C668" s="20">
        <x:v>70071900</x:v>
      </x:c>
      <x:c r="D668" s="20">
        <x:v>1298.06</x:v>
      </x:c>
      <x:c r="E668" s="18" t="s">
        <x:v>227</x:v>
      </x:c>
      <x:c r="F668" s="19" t="s">
        <x:v>11</x:v>
      </x:c>
      <x:c r="G668" s="20">
        <x:v>169.33</x:v>
      </x:c>
      <x:c r="H668" s="21"/>
      <x:c r="I668" s="26" t="s">
        <x:v>1229</x:v>
      </x:c>
      <x:c r="J668" s="22">
        <x:v>0</x:v>
      </x:c>
      <x:c r="K668" s="22">
        <x:v>0</x:v>
      </x:c>
      <x:c r="L668" s="23">
        <x:v>0</x:v>
      </x:c>
    </x:row>
    <x:row r="669">
      <x:c r="A669" s="18" t="s">
        <x:v>1581</x:v>
      </x:c>
      <x:c r="B669" s="19" t="s">
        <x:v>1582</x:v>
      </x:c>
      <x:c r="C669" s="20">
        <x:v>70071900</x:v>
      </x:c>
      <x:c r="D669" s="20">
        <x:v>5731.77</x:v>
      </x:c>
      <x:c r="E669" s="18" t="s">
        <x:v>227</x:v>
      </x:c>
      <x:c r="F669" s="19" t="s">
        <x:v>11</x:v>
      </x:c>
      <x:c r="G669" s="20">
        <x:v>175</x:v>
      </x:c>
      <x:c r="H669" s="21"/>
      <x:c r="I669" s="26" t="s">
        <x:v>1229</x:v>
      </x:c>
      <x:c r="J669" s="22">
        <x:v>0</x:v>
      </x:c>
      <x:c r="K669" s="22">
        <x:v>0</x:v>
      </x:c>
      <x:c r="L669" s="23">
        <x:v>0</x:v>
      </x:c>
    </x:row>
    <x:row r="670">
      <x:c r="A670" s="18" t="s">
        <x:v>1583</x:v>
      </x:c>
      <x:c r="B670" s="19" t="s">
        <x:v>1584</x:v>
      </x:c>
      <x:c r="C670" s="20">
        <x:v>70071900</x:v>
      </x:c>
      <x:c r="D670" s="20">
        <x:v>461.28</x:v>
      </x:c>
      <x:c r="E670" s="18" t="s">
        <x:v>227</x:v>
      </x:c>
      <x:c r="F670" s="19" t="s">
        <x:v>11</x:v>
      </x:c>
      <x:c r="G670" s="20">
        <x:v>171.4</x:v>
      </x:c>
      <x:c r="H670" s="21"/>
      <x:c r="I670" s="26" t="s">
        <x:v>1234</x:v>
      </x:c>
      <x:c r="J670" s="22">
        <x:v>0</x:v>
      </x:c>
      <x:c r="K670" s="22">
        <x:v>0</x:v>
      </x:c>
      <x:c r="L670" s="23">
        <x:v>0</x:v>
      </x:c>
    </x:row>
    <x:row r="671">
      <x:c r="A671" s="18" t="s">
        <x:v>1585</x:v>
      </x:c>
      <x:c r="B671" s="19" t="s">
        <x:v>1586</x:v>
      </x:c>
      <x:c r="C671" s="20">
        <x:v>70071900</x:v>
      </x:c>
      <x:c r="D671" s="20">
        <x:v>464.68</x:v>
      </x:c>
      <x:c r="E671" s="18" t="s">
        <x:v>227</x:v>
      </x:c>
      <x:c r="F671" s="19" t="s">
        <x:v>11</x:v>
      </x:c>
      <x:c r="G671" s="20">
        <x:v>4685.3</x:v>
      </x:c>
      <x:c r="H671" s="21"/>
      <x:c r="I671" s="26" t="s">
        <x:v>1234</x:v>
      </x:c>
      <x:c r="J671" s="22">
        <x:v>0</x:v>
      </x:c>
      <x:c r="K671" s="22">
        <x:v>0</x:v>
      </x:c>
      <x:c r="L671" s="23">
        <x:v>0</x:v>
      </x:c>
    </x:row>
    <x:row r="672">
      <x:c r="A672" s="18" t="s">
        <x:v>1587</x:v>
      </x:c>
      <x:c r="B672" s="19" t="s">
        <x:v>1588</x:v>
      </x:c>
      <x:c r="C672" s="20">
        <x:v>70071900</x:v>
      </x:c>
      <x:c r="D672" s="20">
        <x:v>2110.2399999999998</x:v>
      </x:c>
      <x:c r="E672" s="18" t="s">
        <x:v>227</x:v>
      </x:c>
      <x:c r="F672" s="19" t="s">
        <x:v>11</x:v>
      </x:c>
      <x:c r="G672" s="20">
        <x:v>0</x:v>
      </x:c>
      <x:c r="H672" s="21"/>
      <x:c r="I672" s="21" t="s">
        <x:v>1229</x:v>
      </x:c>
      <x:c r="J672" s="22">
        <x:v>0</x:v>
      </x:c>
      <x:c r="K672" s="22">
        <x:v>0</x:v>
      </x:c>
      <x:c r="L672" s="23">
        <x:v>0</x:v>
      </x:c>
    </x:row>
    <x:row r="673">
      <x:c r="A673" s="18" t="s">
        <x:v>1589</x:v>
      </x:c>
      <x:c r="B673" s="19" t="s">
        <x:v>1590</x:v>
      </x:c>
      <x:c r="C673" s="20">
        <x:v>70071900</x:v>
      </x:c>
      <x:c r="D673" s="20">
        <x:v>385.02</x:v>
      </x:c>
      <x:c r="E673" s="18" t="s">
        <x:v>227</x:v>
      </x:c>
      <x:c r="F673" s="19" t="s">
        <x:v>11</x:v>
      </x:c>
      <x:c r="G673" s="20">
        <x:v>4778.6000000000004</x:v>
      </x:c>
      <x:c r="H673" s="21"/>
      <x:c r="I673" s="26" t="s">
        <x:v>1229</x:v>
      </x:c>
      <x:c r="J673" s="22">
        <x:v>0</x:v>
      </x:c>
      <x:c r="K673" s="22">
        <x:v>0</x:v>
      </x:c>
      <x:c r="L673" s="23">
        <x:v>0</x:v>
      </x:c>
    </x:row>
    <x:row r="674">
      <x:c r="A674" s="18" t="s">
        <x:v>1591</x:v>
      </x:c>
      <x:c r="B674" s="19" t="s">
        <x:v>1592</x:v>
      </x:c>
      <x:c r="C674" s="20">
        <x:v>70071900</x:v>
      </x:c>
      <x:c r="D674" s="20">
        <x:v>30.03</x:v>
      </x:c>
      <x:c r="E674" s="18" t="s">
        <x:v>227</x:v>
      </x:c>
      <x:c r="F674" s="19" t="s">
        <x:v>11</x:v>
      </x:c>
      <x:c r="G674" s="20">
        <x:v>587.15</x:v>
      </x:c>
      <x:c r="H674" s="21"/>
      <x:c r="I674" s="26" t="s">
        <x:v>1229</x:v>
      </x:c>
      <x:c r="J674" s="22">
        <x:v>0</x:v>
      </x:c>
      <x:c r="K674" s="22">
        <x:v>0</x:v>
      </x:c>
      <x:c r="L674" s="23">
        <x:v>0</x:v>
      </x:c>
    </x:row>
    <x:row r="675">
      <x:c r="A675" s="18" t="s">
        <x:v>1593</x:v>
      </x:c>
      <x:c r="B675" s="19" t="s">
        <x:v>1594</x:v>
      </x:c>
      <x:c r="C675" s="20">
        <x:v>70071900</x:v>
      </x:c>
      <x:c r="D675" s="20">
        <x:v>56</x:v>
      </x:c>
      <x:c r="E675" s="18" t="s">
        <x:v>227</x:v>
      </x:c>
      <x:c r="F675" s="19" t="s">
        <x:v>11</x:v>
      </x:c>
      <x:c r="G675" s="20">
        <x:v>0</x:v>
      </x:c>
      <x:c r="H675" s="21"/>
      <x:c r="I675" s="21" t="s">
        <x:v>1229</x:v>
      </x:c>
      <x:c r="J675" s="22">
        <x:v>0</x:v>
      </x:c>
      <x:c r="K675" s="22">
        <x:v>0</x:v>
      </x:c>
      <x:c r="L675" s="23">
        <x:v>0</x:v>
      </x:c>
    </x:row>
    <x:row r="676">
      <x:c r="A676" s="18" t="s">
        <x:v>1595</x:v>
      </x:c>
      <x:c r="B676" s="19" t="s">
        <x:v>1596</x:v>
      </x:c>
      <x:c r="C676" s="20">
        <x:v>70071900</x:v>
      </x:c>
      <x:c r="D676" s="20">
        <x:v>0.75</x:v>
      </x:c>
      <x:c r="E676" s="18" t="s">
        <x:v>227</x:v>
      </x:c>
      <x:c r="F676" s="19" t="s">
        <x:v>11</x:v>
      </x:c>
      <x:c r="G676" s="20">
        <x:v>0</x:v>
      </x:c>
      <x:c r="H676" s="20">
        <x:v>0</x:v>
      </x:c>
      <x:c r="I676" s="21" t="s">
        <x:v>1229</x:v>
      </x:c>
      <x:c r="J676" s="22">
        <x:v>0</x:v>
      </x:c>
      <x:c r="K676" s="22">
        <x:v>0</x:v>
      </x:c>
      <x:c r="L676" s="23">
        <x:v>0</x:v>
      </x:c>
    </x:row>
    <x:row r="677">
      <x:c r="A677" s="18" t="s">
        <x:v>1597</x:v>
      </x:c>
      <x:c r="B677" s="19" t="s">
        <x:v>1598</x:v>
      </x:c>
      <x:c r="C677" s="20">
        <x:v>70071900</x:v>
      </x:c>
      <x:c r="D677" s="20">
        <x:v>880.03</x:v>
      </x:c>
      <x:c r="E677" s="18" t="s">
        <x:v>227</x:v>
      </x:c>
      <x:c r="F677" s="19" t="s">
        <x:v>11</x:v>
      </x:c>
      <x:c r="G677" s="20">
        <x:v>0</x:v>
      </x:c>
      <x:c r="H677" s="21"/>
      <x:c r="I677" s="21" t="s">
        <x:v>1229</x:v>
      </x:c>
      <x:c r="J677" s="22">
        <x:v>0</x:v>
      </x:c>
      <x:c r="K677" s="22">
        <x:v>0</x:v>
      </x:c>
      <x:c r="L677" s="23">
        <x:v>0</x:v>
      </x:c>
    </x:row>
    <x:row r="678">
      <x:c r="A678" s="18" t="s">
        <x:v>1599</x:v>
      </x:c>
      <x:c r="B678" s="19" t="s">
        <x:v>1600</x:v>
      </x:c>
      <x:c r="C678" s="20">
        <x:v>70071900</x:v>
      </x:c>
      <x:c r="D678" s="20">
        <x:v>300</x:v>
      </x:c>
      <x:c r="E678" s="18" t="s">
        <x:v>227</x:v>
      </x:c>
      <x:c r="F678" s="19" t="s">
        <x:v>11</x:v>
      </x:c>
      <x:c r="G678" s="20">
        <x:v>0</x:v>
      </x:c>
      <x:c r="H678" s="20">
        <x:v>0</x:v>
      </x:c>
      <x:c r="I678" s="21" t="s">
        <x:v>1229</x:v>
      </x:c>
      <x:c r="J678" s="22">
        <x:v>0</x:v>
      </x:c>
      <x:c r="K678" s="22">
        <x:v>0</x:v>
      </x:c>
      <x:c r="L678" s="23">
        <x:v>0</x:v>
      </x:c>
    </x:row>
    <x:row r="679">
      <x:c r="A679" s="18" t="s">
        <x:v>1601</x:v>
      </x:c>
      <x:c r="B679" s="19" t="s">
        <x:v>1602</x:v>
      </x:c>
      <x:c r="C679" s="20">
        <x:v>70071900</x:v>
      </x:c>
      <x:c r="D679" s="20">
        <x:v>300</x:v>
      </x:c>
      <x:c r="E679" s="18" t="s">
        <x:v>227</x:v>
      </x:c>
      <x:c r="F679" s="19" t="s">
        <x:v>11</x:v>
      </x:c>
      <x:c r="G679" s="20">
        <x:v>0</x:v>
      </x:c>
      <x:c r="H679" s="20">
        <x:v>0</x:v>
      </x:c>
      <x:c r="I679" s="21" t="s">
        <x:v>1229</x:v>
      </x:c>
      <x:c r="J679" s="22">
        <x:v>0</x:v>
      </x:c>
      <x:c r="K679" s="22">
        <x:v>0</x:v>
      </x:c>
      <x:c r="L679" s="23">
        <x:v>0</x:v>
      </x:c>
    </x:row>
    <x:row r="680">
      <x:c r="A680" s="18" t="s">
        <x:v>1603</x:v>
      </x:c>
      <x:c r="B680" s="19" t="s">
        <x:v>1604</x:v>
      </x:c>
      <x:c r="C680" s="20">
        <x:v>70071900</x:v>
      </x:c>
      <x:c r="D680" s="20">
        <x:v>11614.02</x:v>
      </x:c>
      <x:c r="E680" s="18" t="s">
        <x:v>227</x:v>
      </x:c>
      <x:c r="F680" s="19" t="s">
        <x:v>11</x:v>
      </x:c>
      <x:c r="G680" s="20">
        <x:v>171.07</x:v>
      </x:c>
      <x:c r="H680" s="21"/>
      <x:c r="I680" s="26" t="s">
        <x:v>1229</x:v>
      </x:c>
      <x:c r="J680" s="22">
        <x:v>0</x:v>
      </x:c>
      <x:c r="K680" s="22">
        <x:v>0</x:v>
      </x:c>
      <x:c r="L680" s="23">
        <x:v>0</x:v>
      </x:c>
    </x:row>
    <x:row r="681">
      <x:c r="A681" s="18" t="s">
        <x:v>1605</x:v>
      </x:c>
      <x:c r="B681" s="19" t="s">
        <x:v>1606</x:v>
      </x:c>
      <x:c r="C681" s="20">
        <x:v>70071900</x:v>
      </x:c>
      <x:c r="D681" s="20">
        <x:v>702.13</x:v>
      </x:c>
      <x:c r="E681" s="18" t="s">
        <x:v>227</x:v>
      </x:c>
      <x:c r="F681" s="19" t="s">
        <x:v>11</x:v>
      </x:c>
      <x:c r="G681" s="20">
        <x:v>0</x:v>
      </x:c>
      <x:c r="H681" s="21"/>
      <x:c r="I681" s="21" t="s">
        <x:v>1229</x:v>
      </x:c>
      <x:c r="J681" s="22">
        <x:v>0</x:v>
      </x:c>
      <x:c r="K681" s="22">
        <x:v>0</x:v>
      </x:c>
      <x:c r="L681" s="23">
        <x:v>0</x:v>
      </x:c>
    </x:row>
    <x:row r="682">
      <x:c r="A682" s="18" t="s">
        <x:v>1607</x:v>
      </x:c>
      <x:c r="B682" s="19" t="s">
        <x:v>1608</x:v>
      </x:c>
      <x:c r="C682" s="20">
        <x:v>70071900</x:v>
      </x:c>
      <x:c r="D682" s="20">
        <x:v>4560.6099999999997</x:v>
      </x:c>
      <x:c r="E682" s="18" t="s">
        <x:v>227</x:v>
      </x:c>
      <x:c r="F682" s="19" t="s">
        <x:v>11</x:v>
      </x:c>
      <x:c r="G682" s="20">
        <x:v>8894.4</x:v>
      </x:c>
      <x:c r="H682" s="21"/>
      <x:c r="I682" s="26" t="s">
        <x:v>1234</x:v>
      </x:c>
      <x:c r="J682" s="22">
        <x:v>0</x:v>
      </x:c>
      <x:c r="K682" s="22">
        <x:v>0</x:v>
      </x:c>
      <x:c r="L682" s="23">
        <x:v>0</x:v>
      </x:c>
    </x:row>
    <x:row r="683">
      <x:c r="A683" s="18" t="s">
        <x:v>1609</x:v>
      </x:c>
      <x:c r="B683" s="19" t="s">
        <x:v>1610</x:v>
      </x:c>
      <x:c r="C683" s="20">
        <x:v>70071900</x:v>
      </x:c>
      <x:c r="D683" s="20">
        <x:v>1552.53</x:v>
      </x:c>
      <x:c r="E683" s="18" t="s">
        <x:v>227</x:v>
      </x:c>
      <x:c r="F683" s="19" t="s">
        <x:v>11</x:v>
      </x:c>
      <x:c r="G683" s="20">
        <x:v>7452.5</x:v>
      </x:c>
      <x:c r="H683" s="21"/>
      <x:c r="I683" s="26" t="s">
        <x:v>1234</x:v>
      </x:c>
      <x:c r="J683" s="22">
        <x:v>0</x:v>
      </x:c>
      <x:c r="K683" s="22">
        <x:v>0</x:v>
      </x:c>
      <x:c r="L683" s="23">
        <x:v>0</x:v>
      </x:c>
    </x:row>
    <x:row r="684">
      <x:c r="A684" s="18" t="s">
        <x:v>1611</x:v>
      </x:c>
      <x:c r="B684" s="19" t="s">
        <x:v>1612</x:v>
      </x:c>
      <x:c r="C684" s="20">
        <x:v>70071900</x:v>
      </x:c>
      <x:c r="D684" s="20">
        <x:v>675.56</x:v>
      </x:c>
      <x:c r="E684" s="18" t="s">
        <x:v>227</x:v>
      </x:c>
      <x:c r="F684" s="19" t="s">
        <x:v>11</x:v>
      </x:c>
      <x:c r="G684" s="20">
        <x:v>102.93</x:v>
      </x:c>
      <x:c r="H684" s="21"/>
      <x:c r="I684" s="26" t="s">
        <x:v>1234</x:v>
      </x:c>
      <x:c r="J684" s="22">
        <x:v>0</x:v>
      </x:c>
      <x:c r="K684" s="22">
        <x:v>0</x:v>
      </x:c>
      <x:c r="L684" s="23">
        <x:v>0</x:v>
      </x:c>
    </x:row>
    <x:row r="685">
      <x:c r="A685" s="18" t="s">
        <x:v>1613</x:v>
      </x:c>
      <x:c r="B685" s="19" t="s">
        <x:v>1614</x:v>
      </x:c>
      <x:c r="C685" s="20">
        <x:v>70071900</x:v>
      </x:c>
      <x:c r="D685" s="20">
        <x:v>306.88</x:v>
      </x:c>
      <x:c r="E685" s="18" t="s">
        <x:v>227</x:v>
      </x:c>
      <x:c r="F685" s="19" t="s">
        <x:v>11</x:v>
      </x:c>
      <x:c r="G685" s="20">
        <x:v>302.33</x:v>
      </x:c>
      <x:c r="H685" s="21"/>
      <x:c r="I685" s="26" t="s">
        <x:v>1234</x:v>
      </x:c>
      <x:c r="J685" s="22">
        <x:v>0</x:v>
      </x:c>
      <x:c r="K685" s="22">
        <x:v>0</x:v>
      </x:c>
      <x:c r="L685" s="23">
        <x:v>0</x:v>
      </x:c>
    </x:row>
    <x:row r="686">
      <x:c r="A686" s="18" t="s">
        <x:v>1615</x:v>
      </x:c>
      <x:c r="B686" s="19" t="s">
        <x:v>1616</x:v>
      </x:c>
      <x:c r="C686" s="20">
        <x:v>70071900</x:v>
      </x:c>
      <x:c r="D686" s="20">
        <x:v>1617.19</x:v>
      </x:c>
      <x:c r="E686" s="18" t="s">
        <x:v>227</x:v>
      </x:c>
      <x:c r="F686" s="19" t="s">
        <x:v>11</x:v>
      </x:c>
      <x:c r="G686" s="20">
        <x:v>581.97</x:v>
      </x:c>
      <x:c r="H686" s="21"/>
      <x:c r="I686" s="26" t="s">
        <x:v>1234</x:v>
      </x:c>
      <x:c r="J686" s="22">
        <x:v>0</x:v>
      </x:c>
      <x:c r="K686" s="22">
        <x:v>0</x:v>
      </x:c>
      <x:c r="L686" s="23">
        <x:v>0</x:v>
      </x:c>
    </x:row>
    <x:row r="687">
      <x:c r="A687" s="18" t="s">
        <x:v>1617</x:v>
      </x:c>
      <x:c r="B687" s="19" t="s">
        <x:v>1618</x:v>
      </x:c>
      <x:c r="C687" s="20">
        <x:v>70071900</x:v>
      </x:c>
      <x:c r="D687" s="20">
        <x:v>639.25</x:v>
      </x:c>
      <x:c r="E687" s="18" t="s">
        <x:v>227</x:v>
      </x:c>
      <x:c r="F687" s="19" t="s">
        <x:v>11</x:v>
      </x:c>
      <x:c r="G687" s="20">
        <x:v>0</x:v>
      </x:c>
      <x:c r="H687" s="21"/>
      <x:c r="I687" s="21" t="s">
        <x:v>1229</x:v>
      </x:c>
      <x:c r="J687" s="22">
        <x:v>0</x:v>
      </x:c>
      <x:c r="K687" s="22">
        <x:v>0</x:v>
      </x:c>
      <x:c r="L687" s="23">
        <x:v>0</x:v>
      </x:c>
    </x:row>
    <x:row r="688">
      <x:c r="A688" s="18" t="s">
        <x:v>1619</x:v>
      </x:c>
      <x:c r="B688" s="19" t="s">
        <x:v>1620</x:v>
      </x:c>
      <x:c r="C688" s="20">
        <x:v>70071900</x:v>
      </x:c>
      <x:c r="D688" s="20">
        <x:v>673.47</x:v>
      </x:c>
      <x:c r="E688" s="18" t="s">
        <x:v>227</x:v>
      </x:c>
      <x:c r="F688" s="19" t="s">
        <x:v>11</x:v>
      </x:c>
      <x:c r="G688" s="20">
        <x:v>441.51</x:v>
      </x:c>
      <x:c r="H688" s="21"/>
      <x:c r="I688" s="26" t="s">
        <x:v>1234</x:v>
      </x:c>
      <x:c r="J688" s="22">
        <x:v>0</x:v>
      </x:c>
      <x:c r="K688" s="22">
        <x:v>0</x:v>
      </x:c>
      <x:c r="L688" s="23">
        <x:v>0</x:v>
      </x:c>
    </x:row>
    <x:row r="689">
      <x:c r="A689" s="18" t="s">
        <x:v>1621</x:v>
      </x:c>
      <x:c r="B689" s="19" t="s">
        <x:v>1622</x:v>
      </x:c>
      <x:c r="C689" s="20">
        <x:v>70071900</x:v>
      </x:c>
      <x:c r="D689" s="20">
        <x:v>821.66</x:v>
      </x:c>
      <x:c r="E689" s="18" t="s">
        <x:v>227</x:v>
      </x:c>
      <x:c r="F689" s="19" t="s">
        <x:v>11</x:v>
      </x:c>
      <x:c r="G689" s="20">
        <x:v>456.12</x:v>
      </x:c>
      <x:c r="H689" s="21"/>
      <x:c r="I689" s="26" t="s">
        <x:v>1229</x:v>
      </x:c>
      <x:c r="J689" s="22">
        <x:v>0</x:v>
      </x:c>
      <x:c r="K689" s="22">
        <x:v>0</x:v>
      </x:c>
      <x:c r="L689" s="23">
        <x:v>0</x:v>
      </x:c>
    </x:row>
    <x:row r="690">
      <x:c r="A690" s="18" t="s">
        <x:v>1623</x:v>
      </x:c>
      <x:c r="B690" s="19" t="s">
        <x:v>1624</x:v>
      </x:c>
      <x:c r="C690" s="20">
        <x:v>70071900</x:v>
      </x:c>
      <x:c r="D690" s="20">
        <x:v>482.98</x:v>
      </x:c>
      <x:c r="E690" s="18" t="s">
        <x:v>227</x:v>
      </x:c>
      <x:c r="F690" s="19" t="s">
        <x:v>11</x:v>
      </x:c>
      <x:c r="G690" s="20">
        <x:v>282.97000000000003</x:v>
      </x:c>
      <x:c r="H690" s="21"/>
      <x:c r="I690" s="26" t="s">
        <x:v>1229</x:v>
      </x:c>
      <x:c r="J690" s="22">
        <x:v>0</x:v>
      </x:c>
      <x:c r="K690" s="22">
        <x:v>0</x:v>
      </x:c>
      <x:c r="L690" s="23">
        <x:v>0</x:v>
      </x:c>
    </x:row>
    <x:row r="691">
      <x:c r="A691" s="18" t="s">
        <x:v>1625</x:v>
      </x:c>
      <x:c r="B691" s="19" t="s">
        <x:v>1626</x:v>
      </x:c>
      <x:c r="C691" s="20">
        <x:v>70071900</x:v>
      </x:c>
      <x:c r="D691" s="20">
        <x:v>464.85</x:v>
      </x:c>
      <x:c r="E691" s="18" t="s">
        <x:v>227</x:v>
      </x:c>
      <x:c r="F691" s="19" t="s">
        <x:v>11</x:v>
      </x:c>
      <x:c r="G691" s="20">
        <x:v>698.07</x:v>
      </x:c>
      <x:c r="H691" s="21"/>
      <x:c r="I691" s="26" t="s">
        <x:v>1229</x:v>
      </x:c>
      <x:c r="J691" s="22">
        <x:v>0</x:v>
      </x:c>
      <x:c r="K691" s="22">
        <x:v>0</x:v>
      </x:c>
      <x:c r="L691" s="23">
        <x:v>0</x:v>
      </x:c>
    </x:row>
    <x:row r="692">
      <x:c r="A692" s="18" t="s">
        <x:v>1627</x:v>
      </x:c>
      <x:c r="B692" s="19" t="s">
        <x:v>1628</x:v>
      </x:c>
      <x:c r="C692" s="20">
        <x:v>70071900</x:v>
      </x:c>
      <x:c r="D692" s="20">
        <x:v>249.14</x:v>
      </x:c>
      <x:c r="E692" s="18" t="s">
        <x:v>227</x:v>
      </x:c>
      <x:c r="F692" s="19" t="s">
        <x:v>11</x:v>
      </x:c>
      <x:c r="G692" s="20">
        <x:v>249.14</x:v>
      </x:c>
      <x:c r="H692" s="21"/>
      <x:c r="I692" s="26" t="s">
        <x:v>1229</x:v>
      </x:c>
      <x:c r="J692" s="22">
        <x:v>0</x:v>
      </x:c>
      <x:c r="K692" s="22">
        <x:v>0</x:v>
      </x:c>
      <x:c r="L692" s="23">
        <x:v>0</x:v>
      </x:c>
    </x:row>
    <x:row r="693">
      <x:c r="A693" s="18" t="s">
        <x:v>1629</x:v>
      </x:c>
      <x:c r="B693" s="19" t="s">
        <x:v>1630</x:v>
      </x:c>
      <x:c r="C693" s="20">
        <x:v>70071900</x:v>
      </x:c>
      <x:c r="D693" s="20">
        <x:v>1714.16</x:v>
      </x:c>
      <x:c r="E693" s="18" t="s">
        <x:v>227</x:v>
      </x:c>
      <x:c r="F693" s="19" t="s">
        <x:v>11</x:v>
      </x:c>
      <x:c r="G693" s="20">
        <x:v>249.14</x:v>
      </x:c>
      <x:c r="H693" s="21"/>
      <x:c r="I693" s="26" t="s">
        <x:v>1229</x:v>
      </x:c>
      <x:c r="J693" s="22">
        <x:v>0</x:v>
      </x:c>
      <x:c r="K693" s="22">
        <x:v>0</x:v>
      </x:c>
      <x:c r="L693" s="23">
        <x:v>0</x:v>
      </x:c>
    </x:row>
    <x:row r="694">
      <x:c r="A694" s="18" t="s">
        <x:v>1631</x:v>
      </x:c>
      <x:c r="B694" s="19" t="s">
        <x:v>1632</x:v>
      </x:c>
      <x:c r="C694" s="20">
        <x:v>70071900</x:v>
      </x:c>
      <x:c r="D694" s="20">
        <x:v>2236.77</x:v>
      </x:c>
      <x:c r="E694" s="18" t="s">
        <x:v>227</x:v>
      </x:c>
      <x:c r="F694" s="19" t="s">
        <x:v>11</x:v>
      </x:c>
      <x:c r="G694" s="20">
        <x:v>0</x:v>
      </x:c>
      <x:c r="H694" s="21"/>
      <x:c r="I694" s="21" t="s">
        <x:v>1229</x:v>
      </x:c>
      <x:c r="J694" s="22">
        <x:v>0</x:v>
      </x:c>
      <x:c r="K694" s="22">
        <x:v>0</x:v>
      </x:c>
      <x:c r="L694" s="23">
        <x:v>0</x:v>
      </x:c>
    </x:row>
    <x:row r="695">
      <x:c r="A695" s="18" t="s">
        <x:v>1633</x:v>
      </x:c>
      <x:c r="B695" s="19" t="s">
        <x:v>1634</x:v>
      </x:c>
      <x:c r="C695" s="20">
        <x:v>70071900</x:v>
      </x:c>
      <x:c r="D695" s="20">
        <x:v>1888.36</x:v>
      </x:c>
      <x:c r="E695" s="18" t="s">
        <x:v>227</x:v>
      </x:c>
      <x:c r="F695" s="19" t="s">
        <x:v>11</x:v>
      </x:c>
      <x:c r="G695" s="20">
        <x:v>232.18</x:v>
      </x:c>
      <x:c r="H695" s="21"/>
      <x:c r="I695" s="26" t="s">
        <x:v>1234</x:v>
      </x:c>
      <x:c r="J695" s="22">
        <x:v>0</x:v>
      </x:c>
      <x:c r="K695" s="22">
        <x:v>0</x:v>
      </x:c>
      <x:c r="L695" s="23">
        <x:v>0</x:v>
      </x:c>
    </x:row>
    <x:row r="696">
      <x:c r="A696" s="18" t="s">
        <x:v>1635</x:v>
      </x:c>
      <x:c r="B696" s="19" t="s">
        <x:v>1636</x:v>
      </x:c>
      <x:c r="C696" s="20">
        <x:v>70071900</x:v>
      </x:c>
      <x:c r="D696" s="20">
        <x:v>2425.54</x:v>
      </x:c>
      <x:c r="E696" s="18" t="s">
        <x:v>227</x:v>
      </x:c>
      <x:c r="F696" s="19" t="s">
        <x:v>11</x:v>
      </x:c>
      <x:c r="G696" s="20">
        <x:v>250.22</x:v>
      </x:c>
      <x:c r="H696" s="21"/>
      <x:c r="I696" s="26" t="s">
        <x:v>1234</x:v>
      </x:c>
      <x:c r="J696" s="22">
        <x:v>0</x:v>
      </x:c>
      <x:c r="K696" s="22">
        <x:v>0</x:v>
      </x:c>
      <x:c r="L696" s="23">
        <x:v>0</x:v>
      </x:c>
    </x:row>
    <x:row r="697">
      <x:c r="A697" s="18" t="s">
        <x:v>1637</x:v>
      </x:c>
      <x:c r="B697" s="19" t="s">
        <x:v>1638</x:v>
      </x:c>
      <x:c r="C697" s="20">
        <x:v>70071900</x:v>
      </x:c>
      <x:c r="D697" s="20">
        <x:v>1693.48</x:v>
      </x:c>
      <x:c r="E697" s="18" t="s">
        <x:v>227</x:v>
      </x:c>
      <x:c r="F697" s="19" t="s">
        <x:v>11</x:v>
      </x:c>
      <x:c r="G697" s="20">
        <x:v>252.47</x:v>
      </x:c>
      <x:c r="H697" s="21"/>
      <x:c r="I697" s="26" t="s">
        <x:v>1229</x:v>
      </x:c>
      <x:c r="J697" s="22">
        <x:v>0</x:v>
      </x:c>
      <x:c r="K697" s="22">
        <x:v>0</x:v>
      </x:c>
      <x:c r="L697" s="23">
        <x:v>0</x:v>
      </x:c>
    </x:row>
    <x:row r="698">
      <x:c r="A698" s="18" t="s">
        <x:v>1639</x:v>
      </x:c>
      <x:c r="B698" s="19" t="s">
        <x:v>1640</x:v>
      </x:c>
      <x:c r="C698" s="20">
        <x:v>70071900</x:v>
      </x:c>
      <x:c r="D698" s="20">
        <x:v>5606.35</x:v>
      </x:c>
      <x:c r="E698" s="18" t="s">
        <x:v>227</x:v>
      </x:c>
      <x:c r="F698" s="19" t="s">
        <x:v>11</x:v>
      </x:c>
      <x:c r="G698" s="20">
        <x:v>268.95</x:v>
      </x:c>
      <x:c r="H698" s="21"/>
      <x:c r="I698" s="26" t="s">
        <x:v>1229</x:v>
      </x:c>
      <x:c r="J698" s="22">
        <x:v>0</x:v>
      </x:c>
      <x:c r="K698" s="22">
        <x:v>0</x:v>
      </x:c>
      <x:c r="L698" s="23">
        <x:v>0</x:v>
      </x:c>
    </x:row>
    <x:row r="699">
      <x:c r="A699" s="18" t="s">
        <x:v>1641</x:v>
      </x:c>
      <x:c r="B699" s="19" t="s">
        <x:v>1642</x:v>
      </x:c>
      <x:c r="C699" s="20">
        <x:v>70071900</x:v>
      </x:c>
      <x:c r="D699" s="20">
        <x:v>3963.87</x:v>
      </x:c>
      <x:c r="E699" s="18" t="s">
        <x:v>227</x:v>
      </x:c>
      <x:c r="F699" s="19" t="s">
        <x:v>11</x:v>
      </x:c>
      <x:c r="G699" s="20">
        <x:v>420.28</x:v>
      </x:c>
      <x:c r="H699" s="21"/>
      <x:c r="I699" s="26" t="s">
        <x:v>1229</x:v>
      </x:c>
      <x:c r="J699" s="22">
        <x:v>0</x:v>
      </x:c>
      <x:c r="K699" s="22">
        <x:v>0</x:v>
      </x:c>
      <x:c r="L699" s="23">
        <x:v>0</x:v>
      </x:c>
    </x:row>
    <x:row r="700">
      <x:c r="A700" s="18" t="s">
        <x:v>1643</x:v>
      </x:c>
      <x:c r="B700" s="19" t="s">
        <x:v>1644</x:v>
      </x:c>
      <x:c r="C700" s="20">
        <x:v>70071900</x:v>
      </x:c>
      <x:c r="D700" s="20">
        <x:v>409.55</x:v>
      </x:c>
      <x:c r="E700" s="18" t="s">
        <x:v>227</x:v>
      </x:c>
      <x:c r="F700" s="19" t="s">
        <x:v>11</x:v>
      </x:c>
      <x:c r="G700" s="20">
        <x:v>253.07</x:v>
      </x:c>
      <x:c r="H700" s="21"/>
      <x:c r="I700" s="26" t="s">
        <x:v>1234</x:v>
      </x:c>
      <x:c r="J700" s="22">
        <x:v>0</x:v>
      </x:c>
      <x:c r="K700" s="22">
        <x:v>0</x:v>
      </x:c>
      <x:c r="L700" s="23">
        <x:v>0</x:v>
      </x:c>
    </x:row>
    <x:row r="701">
      <x:c r="A701" s="18" t="s">
        <x:v>1645</x:v>
      </x:c>
      <x:c r="B701" s="19" t="s">
        <x:v>1646</x:v>
      </x:c>
      <x:c r="C701" s="20">
        <x:v>70071900</x:v>
      </x:c>
      <x:c r="D701" s="20">
        <x:v>616.35</x:v>
      </x:c>
      <x:c r="E701" s="18" t="s">
        <x:v>227</x:v>
      </x:c>
      <x:c r="F701" s="19" t="s">
        <x:v>11</x:v>
      </x:c>
      <x:c r="G701" s="20">
        <x:v>421.19</x:v>
      </x:c>
      <x:c r="H701" s="21"/>
      <x:c r="I701" s="26" t="s">
        <x:v>1234</x:v>
      </x:c>
      <x:c r="J701" s="22">
        <x:v>0</x:v>
      </x:c>
      <x:c r="K701" s="22">
        <x:v>0</x:v>
      </x:c>
      <x:c r="L701" s="23">
        <x:v>0</x:v>
      </x:c>
    </x:row>
    <x:row r="702">
      <x:c r="A702" s="18" t="s">
        <x:v>1647</x:v>
      </x:c>
      <x:c r="B702" s="19" t="s">
        <x:v>1648</x:v>
      </x:c>
      <x:c r="C702" s="20">
        <x:v>70071900</x:v>
      </x:c>
      <x:c r="D702" s="20">
        <x:v>539.79</x:v>
      </x:c>
      <x:c r="E702" s="18" t="s">
        <x:v>227</x:v>
      </x:c>
      <x:c r="F702" s="19" t="s">
        <x:v>11</x:v>
      </x:c>
      <x:c r="G702" s="20">
        <x:v>486.82</x:v>
      </x:c>
      <x:c r="H702" s="21"/>
      <x:c r="I702" s="26" t="s">
        <x:v>1234</x:v>
      </x:c>
      <x:c r="J702" s="22">
        <x:v>0</x:v>
      </x:c>
      <x:c r="K702" s="22">
        <x:v>0</x:v>
      </x:c>
      <x:c r="L702" s="23">
        <x:v>0</x:v>
      </x:c>
    </x:row>
    <x:row r="703">
      <x:c r="A703" s="18" t="s">
        <x:v>1649</x:v>
      </x:c>
      <x:c r="B703" s="19" t="s">
        <x:v>1650</x:v>
      </x:c>
      <x:c r="C703" s="20">
        <x:v>70071900</x:v>
      </x:c>
      <x:c r="D703" s="20">
        <x:v>1079.58</x:v>
      </x:c>
      <x:c r="E703" s="18" t="s">
        <x:v>227</x:v>
      </x:c>
      <x:c r="F703" s="19" t="s">
        <x:v>11</x:v>
      </x:c>
      <x:c r="G703" s="20">
        <x:v>0</x:v>
      </x:c>
      <x:c r="H703" s="21"/>
      <x:c r="I703" s="21" t="s">
        <x:v>1229</x:v>
      </x:c>
      <x:c r="J703" s="22">
        <x:v>0</x:v>
      </x:c>
      <x:c r="K703" s="22">
        <x:v>0</x:v>
      </x:c>
      <x:c r="L703" s="23">
        <x:v>0</x:v>
      </x:c>
    </x:row>
    <x:row r="704">
      <x:c r="A704" s="18" t="s">
        <x:v>1651</x:v>
      </x:c>
      <x:c r="B704" s="19" t="s">
        <x:v>1652</x:v>
      </x:c>
      <x:c r="C704" s="20">
        <x:v>70071900</x:v>
      </x:c>
      <x:c r="D704" s="20">
        <x:v>809.68</x:v>
      </x:c>
      <x:c r="E704" s="18" t="s">
        <x:v>227</x:v>
      </x:c>
      <x:c r="F704" s="19" t="s">
        <x:v>11</x:v>
      </x:c>
      <x:c r="G704" s="20">
        <x:v>774.28</x:v>
      </x:c>
      <x:c r="H704" s="21"/>
      <x:c r="I704" s="26" t="s">
        <x:v>1229</x:v>
      </x:c>
      <x:c r="J704" s="22">
        <x:v>0</x:v>
      </x:c>
      <x:c r="K704" s="22">
        <x:v>0</x:v>
      </x:c>
      <x:c r="L704" s="23">
        <x:v>0</x:v>
      </x:c>
    </x:row>
    <x:row r="705">
      <x:c r="A705" s="18" t="s">
        <x:v>1653</x:v>
      </x:c>
      <x:c r="B705" s="19" t="s">
        <x:v>1654</x:v>
      </x:c>
      <x:c r="C705" s="20">
        <x:v>70071900</x:v>
      </x:c>
      <x:c r="D705" s="20">
        <x:v>456.12</x:v>
      </x:c>
      <x:c r="E705" s="18" t="s">
        <x:v>227</x:v>
      </x:c>
      <x:c r="F705" s="19" t="s">
        <x:v>11</x:v>
      </x:c>
      <x:c r="G705" s="20">
        <x:v>0</x:v>
      </x:c>
      <x:c r="H705" s="21"/>
      <x:c r="I705" s="21" t="s">
        <x:v>1229</x:v>
      </x:c>
      <x:c r="J705" s="22">
        <x:v>0</x:v>
      </x:c>
      <x:c r="K705" s="22">
        <x:v>0</x:v>
      </x:c>
      <x:c r="L705" s="23">
        <x:v>0</x:v>
      </x:c>
    </x:row>
    <x:row r="706">
      <x:c r="A706" s="18" t="s">
        <x:v>1655</x:v>
      </x:c>
      <x:c r="B706" s="19" t="s">
        <x:v>1656</x:v>
      </x:c>
      <x:c r="C706" s="20">
        <x:v>70071900</x:v>
      </x:c>
      <x:c r="D706" s="20">
        <x:v>1093.07</x:v>
      </x:c>
      <x:c r="E706" s="18" t="s">
        <x:v>227</x:v>
      </x:c>
      <x:c r="F706" s="19" t="s">
        <x:v>11</x:v>
      </x:c>
      <x:c r="G706" s="20">
        <x:v>319.62</x:v>
      </x:c>
      <x:c r="H706" s="21"/>
      <x:c r="I706" s="26" t="s">
        <x:v>1229</x:v>
      </x:c>
      <x:c r="J706" s="22">
        <x:v>0</x:v>
      </x:c>
      <x:c r="K706" s="22">
        <x:v>0</x:v>
      </x:c>
      <x:c r="L706" s="23">
        <x:v>0</x:v>
      </x:c>
    </x:row>
    <x:row r="707">
      <x:c r="A707" s="18" t="s">
        <x:v>1657</x:v>
      </x:c>
      <x:c r="B707" s="19" t="s">
        <x:v>1658</x:v>
      </x:c>
      <x:c r="C707" s="20">
        <x:v>70071900</x:v>
      </x:c>
      <x:c r="D707" s="20">
        <x:v>1093.97</x:v>
      </x:c>
      <x:c r="E707" s="18" t="s">
        <x:v>227</x:v>
      </x:c>
      <x:c r="F707" s="19" t="s">
        <x:v>11</x:v>
      </x:c>
      <x:c r="G707" s="20">
        <x:v>0</x:v>
      </x:c>
      <x:c r="H707" s="21"/>
      <x:c r="I707" s="21" t="s">
        <x:v>1229</x:v>
      </x:c>
      <x:c r="J707" s="22">
        <x:v>0</x:v>
      </x:c>
      <x:c r="K707" s="22">
        <x:v>0</x:v>
      </x:c>
      <x:c r="L707" s="23">
        <x:v>0</x:v>
      </x:c>
    </x:row>
    <x:row r="708">
      <x:c r="A708" s="18" t="s">
        <x:v>1659</x:v>
      </x:c>
      <x:c r="B708" s="19" t="s">
        <x:v>1660</x:v>
      </x:c>
      <x:c r="C708" s="20">
        <x:v>70071900</x:v>
      </x:c>
      <x:c r="D708" s="20">
        <x:v>1085.8800000000001</x:v>
      </x:c>
      <x:c r="E708" s="18" t="s">
        <x:v>227</x:v>
      </x:c>
      <x:c r="F708" s="19" t="s">
        <x:v>11</x:v>
      </x:c>
      <x:c r="G708" s="20">
        <x:v>279.68</x:v>
      </x:c>
      <x:c r="H708" s="21"/>
      <x:c r="I708" s="26" t="s">
        <x:v>1229</x:v>
      </x:c>
      <x:c r="J708" s="22">
        <x:v>0</x:v>
      </x:c>
      <x:c r="K708" s="22">
        <x:v>0</x:v>
      </x:c>
      <x:c r="L708" s="23">
        <x:v>0</x:v>
      </x:c>
    </x:row>
    <x:row r="709">
      <x:c r="A709" s="18" t="s">
        <x:v>1661</x:v>
      </x:c>
      <x:c r="B709" s="19" t="s">
        <x:v>1662</x:v>
      </x:c>
      <x:c r="C709" s="20">
        <x:v>70071900</x:v>
      </x:c>
      <x:c r="D709" s="20">
        <x:v>996.77</x:v>
      </x:c>
      <x:c r="E709" s="18" t="s">
        <x:v>227</x:v>
      </x:c>
      <x:c r="F709" s="19" t="s">
        <x:v>11</x:v>
      </x:c>
      <x:c r="G709" s="20">
        <x:v>484.2</x:v>
      </x:c>
      <x:c r="H709" s="21"/>
      <x:c r="I709" s="26" t="s">
        <x:v>1234</x:v>
      </x:c>
      <x:c r="J709" s="22">
        <x:v>0</x:v>
      </x:c>
      <x:c r="K709" s="22">
        <x:v>0</x:v>
      </x:c>
      <x:c r="L709" s="23">
        <x:v>0</x:v>
      </x:c>
    </x:row>
    <x:row r="710">
      <x:c r="A710" s="18" t="s">
        <x:v>1663</x:v>
      </x:c>
      <x:c r="B710" s="19" t="s">
        <x:v>1664</x:v>
      </x:c>
      <x:c r="C710" s="20">
        <x:v>70071900</x:v>
      </x:c>
      <x:c r="D710" s="20">
        <x:v>1586.24</x:v>
      </x:c>
      <x:c r="E710" s="18" t="s">
        <x:v>227</x:v>
      </x:c>
      <x:c r="F710" s="19" t="s">
        <x:v>11</x:v>
      </x:c>
      <x:c r="G710" s="20">
        <x:v>0</x:v>
      </x:c>
      <x:c r="H710" s="21"/>
      <x:c r="I710" s="21" t="s">
        <x:v>1229</x:v>
      </x:c>
      <x:c r="J710" s="22">
        <x:v>0</x:v>
      </x:c>
      <x:c r="K710" s="22">
        <x:v>0</x:v>
      </x:c>
      <x:c r="L710" s="23">
        <x:v>0</x:v>
      </x:c>
    </x:row>
    <x:row r="711">
      <x:c r="A711" s="18" t="s">
        <x:v>1665</x:v>
      </x:c>
      <x:c r="B711" s="19" t="s">
        <x:v>1666</x:v>
      </x:c>
      <x:c r="C711" s="20">
        <x:v>70071900</x:v>
      </x:c>
      <x:c r="D711" s="20">
        <x:v>175</x:v>
      </x:c>
      <x:c r="E711" s="18" t="s">
        <x:v>227</x:v>
      </x:c>
      <x:c r="F711" s="19" t="s">
        <x:v>11</x:v>
      </x:c>
      <x:c r="G711" s="20">
        <x:v>0</x:v>
      </x:c>
      <x:c r="H711" s="21"/>
      <x:c r="I711" s="21" t="s">
        <x:v>1229</x:v>
      </x:c>
      <x:c r="J711" s="22">
        <x:v>0</x:v>
      </x:c>
      <x:c r="K711" s="22">
        <x:v>0</x:v>
      </x:c>
      <x:c r="L711" s="23">
        <x:v>0</x:v>
      </x:c>
    </x:row>
    <x:row r="712">
      <x:c r="A712" s="18" t="s">
        <x:v>1667</x:v>
      </x:c>
      <x:c r="B712" s="19" t="s">
        <x:v>1668</x:v>
      </x:c>
      <x:c r="C712" s="20">
        <x:v>70071900</x:v>
      </x:c>
      <x:c r="D712" s="20">
        <x:v>344.14</x:v>
      </x:c>
      <x:c r="E712" s="18" t="s">
        <x:v>227</x:v>
      </x:c>
      <x:c r="F712" s="19" t="s">
        <x:v>11</x:v>
      </x:c>
      <x:c r="G712" s="20">
        <x:v>259.52</x:v>
      </x:c>
      <x:c r="H712" s="21"/>
      <x:c r="I712" s="26" t="s">
        <x:v>1234</x:v>
      </x:c>
      <x:c r="J712" s="22">
        <x:v>0</x:v>
      </x:c>
      <x:c r="K712" s="22">
        <x:v>0</x:v>
      </x:c>
      <x:c r="L712" s="23">
        <x:v>0</x:v>
      </x:c>
    </x:row>
    <x:row r="713">
      <x:c r="A713" s="18" t="s">
        <x:v>1669</x:v>
      </x:c>
      <x:c r="B713" s="19" t="s">
        <x:v>1670</x:v>
      </x:c>
      <x:c r="C713" s="20">
        <x:v>70071900</x:v>
      </x:c>
      <x:c r="D713" s="20">
        <x:v>510.88</x:v>
      </x:c>
      <x:c r="E713" s="18" t="s">
        <x:v>227</x:v>
      </x:c>
      <x:c r="F713" s="19" t="s">
        <x:v>11</x:v>
      </x:c>
      <x:c r="G713" s="20">
        <x:v>1212.3</x:v>
      </x:c>
      <x:c r="H713" s="21"/>
      <x:c r="I713" s="26" t="s">
        <x:v>1234</x:v>
      </x:c>
      <x:c r="J713" s="22">
        <x:v>0</x:v>
      </x:c>
      <x:c r="K713" s="22">
        <x:v>0</x:v>
      </x:c>
      <x:c r="L713" s="23">
        <x:v>2</x:v>
      </x:c>
    </x:row>
    <x:row r="714">
      <x:c r="A714" s="18" t="s">
        <x:v>1671</x:v>
      </x:c>
      <x:c r="B714" s="19" t="s">
        <x:v>1672</x:v>
      </x:c>
      <x:c r="C714" s="20">
        <x:v>70071900</x:v>
      </x:c>
      <x:c r="D714" s="20">
        <x:v>1088.57</x:v>
      </x:c>
      <x:c r="E714" s="18" t="s">
        <x:v>227</x:v>
      </x:c>
      <x:c r="F714" s="19" t="s">
        <x:v>11</x:v>
      </x:c>
      <x:c r="G714" s="20">
        <x:v>281.54000000000002</x:v>
      </x:c>
      <x:c r="H714" s="21"/>
      <x:c r="I714" s="26" t="s">
        <x:v>1229</x:v>
      </x:c>
      <x:c r="J714" s="22">
        <x:v>0</x:v>
      </x:c>
      <x:c r="K714" s="22">
        <x:v>0</x:v>
      </x:c>
      <x:c r="L714" s="23">
        <x:v>0</x:v>
      </x:c>
    </x:row>
    <x:row r="715">
      <x:c r="A715" s="18" t="s">
        <x:v>1673</x:v>
      </x:c>
      <x:c r="B715" s="19" t="s">
        <x:v>1674</x:v>
      </x:c>
      <x:c r="C715" s="20">
        <x:v>70071900</x:v>
      </x:c>
      <x:c r="D715" s="20">
        <x:v>980.79</x:v>
      </x:c>
      <x:c r="E715" s="18" t="s">
        <x:v>227</x:v>
      </x:c>
      <x:c r="F715" s="19" t="s">
        <x:v>11</x:v>
      </x:c>
      <x:c r="G715" s="20">
        <x:v>304.14999999999998</x:v>
      </x:c>
      <x:c r="H715" s="21"/>
      <x:c r="I715" s="26" t="s">
        <x:v>1234</x:v>
      </x:c>
      <x:c r="J715" s="22">
        <x:v>0</x:v>
      </x:c>
      <x:c r="K715" s="22">
        <x:v>0</x:v>
      </x:c>
      <x:c r="L715" s="23">
        <x:v>0</x:v>
      </x:c>
    </x:row>
    <x:row r="716">
      <x:c r="A716" s="18" t="s">
        <x:v>1675</x:v>
      </x:c>
      <x:c r="B716" s="19" t="s">
        <x:v>1676</x:v>
      </x:c>
      <x:c r="C716" s="20">
        <x:v>70071900</x:v>
      </x:c>
      <x:c r="D716" s="20">
        <x:v>268.95</x:v>
      </x:c>
      <x:c r="E716" s="18" t="s">
        <x:v>227</x:v>
      </x:c>
      <x:c r="F716" s="19" t="s">
        <x:v>11</x:v>
      </x:c>
      <x:c r="G716" s="20">
        <x:v>306.88</x:v>
      </x:c>
      <x:c r="H716" s="21"/>
      <x:c r="I716" s="26" t="s">
        <x:v>1229</x:v>
      </x:c>
      <x:c r="J716" s="22">
        <x:v>0</x:v>
      </x:c>
      <x:c r="K716" s="22">
        <x:v>0</x:v>
      </x:c>
      <x:c r="L716" s="23">
        <x:v>0</x:v>
      </x:c>
    </x:row>
    <x:row r="717">
      <x:c r="A717" s="18" t="s">
        <x:v>1677</x:v>
      </x:c>
      <x:c r="B717" s="19" t="s">
        <x:v>1678</x:v>
      </x:c>
      <x:c r="C717" s="20">
        <x:v>70071900</x:v>
      </x:c>
      <x:c r="D717" s="20">
        <x:v>305.01</x:v>
      </x:c>
      <x:c r="E717" s="18" t="s">
        <x:v>227</x:v>
      </x:c>
      <x:c r="F717" s="19" t="s">
        <x:v>11</x:v>
      </x:c>
      <x:c r="G717" s="20">
        <x:v>307.43</x:v>
      </x:c>
      <x:c r="H717" s="21"/>
      <x:c r="I717" s="26" t="s">
        <x:v>1229</x:v>
      </x:c>
      <x:c r="J717" s="22">
        <x:v>0</x:v>
      </x:c>
      <x:c r="K717" s="22">
        <x:v>0</x:v>
      </x:c>
      <x:c r="L717" s="23">
        <x:v>0</x:v>
      </x:c>
    </x:row>
    <x:row r="718">
      <x:c r="A718" s="18" t="s">
        <x:v>1679</x:v>
      </x:c>
      <x:c r="B718" s="19" t="s">
        <x:v>1680</x:v>
      </x:c>
      <x:c r="C718" s="20">
        <x:v>70071900</x:v>
      </x:c>
      <x:c r="D718" s="20">
        <x:v>599.98</x:v>
      </x:c>
      <x:c r="E718" s="18" t="s">
        <x:v>227</x:v>
      </x:c>
      <x:c r="F718" s="19" t="s">
        <x:v>11</x:v>
      </x:c>
      <x:c r="G718" s="20">
        <x:v>0</x:v>
      </x:c>
      <x:c r="H718" s="21"/>
      <x:c r="I718" s="21" t="s">
        <x:v>1229</x:v>
      </x:c>
      <x:c r="J718" s="22">
        <x:v>0</x:v>
      </x:c>
      <x:c r="K718" s="22">
        <x:v>0</x:v>
      </x:c>
      <x:c r="L718" s="23">
        <x:v>0</x:v>
      </x:c>
    </x:row>
    <x:row r="719">
      <x:c r="A719" s="18" t="s">
        <x:v>1681</x:v>
      </x:c>
      <x:c r="B719" s="19" t="s">
        <x:v>1682</x:v>
      </x:c>
      <x:c r="C719" s="20">
        <x:v>70071900</x:v>
      </x:c>
      <x:c r="D719" s="20">
        <x:v>587.15</x:v>
      </x:c>
      <x:c r="E719" s="18" t="s">
        <x:v>227</x:v>
      </x:c>
      <x:c r="F719" s="19" t="s">
        <x:v>11</x:v>
      </x:c>
      <x:c r="G719" s="20">
        <x:v>305.01</x:v>
      </x:c>
      <x:c r="H719" s="21"/>
      <x:c r="I719" s="26" t="s">
        <x:v>1229</x:v>
      </x:c>
      <x:c r="J719" s="22">
        <x:v>0</x:v>
      </x:c>
      <x:c r="K719" s="22">
        <x:v>0</x:v>
      </x:c>
      <x:c r="L719" s="23">
        <x:v>0</x:v>
      </x:c>
    </x:row>
    <x:row r="720">
      <x:c r="A720" s="18" t="s">
        <x:v>1683</x:v>
      </x:c>
      <x:c r="B720" s="19" t="s">
        <x:v>1684</x:v>
      </x:c>
      <x:c r="C720" s="20">
        <x:v>70071900</x:v>
      </x:c>
      <x:c r="D720" s="20">
        <x:v>599.98</x:v>
      </x:c>
      <x:c r="E720" s="18" t="s">
        <x:v>227</x:v>
      </x:c>
      <x:c r="F720" s="19" t="s">
        <x:v>11</x:v>
      </x:c>
      <x:c r="G720" s="20">
        <x:v>281.91000000000003</x:v>
      </x:c>
      <x:c r="H720" s="21"/>
      <x:c r="I720" s="26" t="s">
        <x:v>1229</x:v>
      </x:c>
      <x:c r="J720" s="22">
        <x:v>0</x:v>
      </x:c>
      <x:c r="K720" s="22">
        <x:v>0</x:v>
      </x:c>
      <x:c r="L720" s="23">
        <x:v>0</x:v>
      </x:c>
    </x:row>
    <x:row r="721">
      <x:c r="A721" s="18" t="s">
        <x:v>1685</x:v>
      </x:c>
      <x:c r="B721" s="19" t="s">
        <x:v>1686</x:v>
      </x:c>
      <x:c r="C721" s="20">
        <x:v>70071900</x:v>
      </x:c>
      <x:c r="D721" s="20">
        <x:v>5728.15</x:v>
      </x:c>
      <x:c r="E721" s="18" t="s">
        <x:v>227</x:v>
      </x:c>
      <x:c r="F721" s="19" t="s">
        <x:v>11</x:v>
      </x:c>
      <x:c r="G721" s="20">
        <x:v>354.15</x:v>
      </x:c>
      <x:c r="H721" s="21"/>
      <x:c r="I721" s="26" t="s">
        <x:v>1234</x:v>
      </x:c>
      <x:c r="J721" s="22">
        <x:v>0</x:v>
      </x:c>
      <x:c r="K721" s="22">
        <x:v>0</x:v>
      </x:c>
      <x:c r="L721" s="23">
        <x:v>0</x:v>
      </x:c>
    </x:row>
    <x:row r="722">
      <x:c r="A722" s="18" t="s">
        <x:v>1687</x:v>
      </x:c>
      <x:c r="B722" s="19" t="s">
        <x:v>1688</x:v>
      </x:c>
      <x:c r="C722" s="20">
        <x:v>70071900</x:v>
      </x:c>
      <x:c r="D722" s="20">
        <x:v>4340.18</x:v>
      </x:c>
      <x:c r="E722" s="18" t="s">
        <x:v>227</x:v>
      </x:c>
      <x:c r="F722" s="19" t="s">
        <x:v>11</x:v>
      </x:c>
      <x:c r="G722" s="20">
        <x:v>324.77</x:v>
      </x:c>
      <x:c r="H722" s="21"/>
      <x:c r="I722" s="26" t="s">
        <x:v>1234</x:v>
      </x:c>
      <x:c r="J722" s="22">
        <x:v>0</x:v>
      </x:c>
      <x:c r="K722" s="22">
        <x:v>0</x:v>
      </x:c>
      <x:c r="L722" s="23">
        <x:v>0</x:v>
      </x:c>
    </x:row>
    <x:row r="723">
      <x:c r="A723" s="18" t="s">
        <x:v>1689</x:v>
      </x:c>
      <x:c r="B723" s="19" t="s">
        <x:v>1690</x:v>
      </x:c>
      <x:c r="C723" s="20">
        <x:v>70071900</x:v>
      </x:c>
      <x:c r="D723" s="20">
        <x:v>2180.65</x:v>
      </x:c>
      <x:c r="E723" s="18" t="s">
        <x:v>227</x:v>
      </x:c>
      <x:c r="F723" s="19" t="s">
        <x:v>11</x:v>
      </x:c>
      <x:c r="G723" s="20">
        <x:v>539.79</x:v>
      </x:c>
      <x:c r="H723" s="21"/>
      <x:c r="I723" s="26" t="s">
        <x:v>1229</x:v>
      </x:c>
      <x:c r="J723" s="22">
        <x:v>0</x:v>
      </x:c>
      <x:c r="K723" s="22">
        <x:v>0</x:v>
      </x:c>
      <x:c r="L723" s="23">
        <x:v>0</x:v>
      </x:c>
    </x:row>
    <x:row r="724">
      <x:c r="A724" s="18" t="s">
        <x:v>1691</x:v>
      </x:c>
      <x:c r="B724" s="19" t="s">
        <x:v>1692</x:v>
      </x:c>
      <x:c r="C724" s="20">
        <x:v>70071900</x:v>
      </x:c>
      <x:c r="D724" s="20">
        <x:v>1097.0999999999999</x:v>
      </x:c>
      <x:c r="E724" s="18" t="s">
        <x:v>227</x:v>
      </x:c>
      <x:c r="F724" s="19" t="s">
        <x:v>11</x:v>
      </x:c>
      <x:c r="G724" s="20">
        <x:v>0</x:v>
      </x:c>
      <x:c r="H724" s="21"/>
      <x:c r="I724" s="21" t="s">
        <x:v>1229</x:v>
      </x:c>
      <x:c r="J724" s="22">
        <x:v>0</x:v>
      </x:c>
      <x:c r="K724" s="22">
        <x:v>0</x:v>
      </x:c>
      <x:c r="L724" s="23">
        <x:v>0</x:v>
      </x:c>
    </x:row>
    <x:row r="725">
      <x:c r="A725" s="18" t="s">
        <x:v>1693</x:v>
      </x:c>
      <x:c r="B725" s="19" t="s">
        <x:v>1694</x:v>
      </x:c>
      <x:c r="C725" s="20">
        <x:v>70071900</x:v>
      </x:c>
      <x:c r="D725" s="20">
        <x:v>835.58</x:v>
      </x:c>
      <x:c r="E725" s="18" t="s">
        <x:v>227</x:v>
      </x:c>
      <x:c r="F725" s="19" t="s">
        <x:v>11</x:v>
      </x:c>
      <x:c r="G725" s="20">
        <x:v>409.55</x:v>
      </x:c>
      <x:c r="H725" s="21"/>
      <x:c r="I725" s="26" t="s">
        <x:v>1229</x:v>
      </x:c>
      <x:c r="J725" s="22">
        <x:v>0</x:v>
      </x:c>
      <x:c r="K725" s="22">
        <x:v>0</x:v>
      </x:c>
      <x:c r="L725" s="23">
        <x:v>0</x:v>
      </x:c>
    </x:row>
    <x:row r="726">
      <x:c r="A726" s="18" t="s">
        <x:v>1695</x:v>
      </x:c>
      <x:c r="B726" s="19" t="s">
        <x:v>1696</x:v>
      </x:c>
      <x:c r="C726" s="20">
        <x:v>70071900</x:v>
      </x:c>
      <x:c r="D726" s="20">
        <x:v>1814.99</x:v>
      </x:c>
      <x:c r="E726" s="18" t="s">
        <x:v>227</x:v>
      </x:c>
      <x:c r="F726" s="19" t="s">
        <x:v>11</x:v>
      </x:c>
      <x:c r="G726" s="20">
        <x:v>715.49</x:v>
      </x:c>
      <x:c r="H726" s="21"/>
      <x:c r="I726" s="26" t="s">
        <x:v>1229</x:v>
      </x:c>
      <x:c r="J726" s="22">
        <x:v>0</x:v>
      </x:c>
      <x:c r="K726" s="22">
        <x:v>0</x:v>
      </x:c>
      <x:c r="L726" s="23">
        <x:v>0</x:v>
      </x:c>
    </x:row>
    <x:row r="727">
      <x:c r="A727" s="18" t="s">
        <x:v>1697</x:v>
      </x:c>
      <x:c r="B727" s="19" t="s">
        <x:v>1698</x:v>
      </x:c>
      <x:c r="C727" s="20">
        <x:v>70071900</x:v>
      </x:c>
      <x:c r="D727" s="20">
        <x:v>420.28</x:v>
      </x:c>
      <x:c r="E727" s="18" t="s">
        <x:v>227</x:v>
      </x:c>
      <x:c r="F727" s="19" t="s">
        <x:v>11</x:v>
      </x:c>
      <x:c r="G727" s="20">
        <x:v>327.49</x:v>
      </x:c>
      <x:c r="H727" s="21"/>
      <x:c r="I727" s="26" t="s">
        <x:v>1234</x:v>
      </x:c>
      <x:c r="J727" s="22">
        <x:v>0</x:v>
      </x:c>
      <x:c r="K727" s="22">
        <x:v>0</x:v>
      </x:c>
      <x:c r="L727" s="23">
        <x:v>0</x:v>
      </x:c>
    </x:row>
    <x:row r="728">
      <x:c r="A728" s="18" t="s">
        <x:v>1699</x:v>
      </x:c>
      <x:c r="B728" s="19" t="s">
        <x:v>1700</x:v>
      </x:c>
      <x:c r="C728" s="20">
        <x:v>70071900</x:v>
      </x:c>
      <x:c r="D728" s="20">
        <x:v>963.75</x:v>
      </x:c>
      <x:c r="E728" s="18" t="s">
        <x:v>227</x:v>
      </x:c>
      <x:c r="F728" s="19" t="s">
        <x:v>11</x:v>
      </x:c>
      <x:c r="G728" s="20">
        <x:v>0</x:v>
      </x:c>
      <x:c r="H728" s="21"/>
      <x:c r="I728" s="21" t="s">
        <x:v>1229</x:v>
      </x:c>
      <x:c r="J728" s="22">
        <x:v>0</x:v>
      </x:c>
      <x:c r="K728" s="22">
        <x:v>0</x:v>
      </x:c>
      <x:c r="L728" s="23">
        <x:v>0</x:v>
      </x:c>
    </x:row>
    <x:row r="729">
      <x:c r="A729" s="18" t="s">
        <x:v>1701</x:v>
      </x:c>
      <x:c r="B729" s="19" t="s">
        <x:v>1702</x:v>
      </x:c>
      <x:c r="C729" s="20">
        <x:v>70071900</x:v>
      </x:c>
      <x:c r="D729" s="20">
        <x:v>282.45999999999998</x:v>
      </x:c>
      <x:c r="E729" s="18" t="s">
        <x:v>227</x:v>
      </x:c>
      <x:c r="F729" s="19" t="s">
        <x:v>11</x:v>
      </x:c>
      <x:c r="G729" s="20">
        <x:v>0</x:v>
      </x:c>
      <x:c r="H729" s="21"/>
      <x:c r="I729" s="21" t="s">
        <x:v>1229</x:v>
      </x:c>
      <x:c r="J729" s="22">
        <x:v>0</x:v>
      </x:c>
      <x:c r="K729" s="22">
        <x:v>0</x:v>
      </x:c>
      <x:c r="L729" s="23">
        <x:v>0</x:v>
      </x:c>
    </x:row>
    <x:row r="730">
      <x:c r="A730" s="18" t="s">
        <x:v>1703</x:v>
      </x:c>
      <x:c r="B730" s="19" t="s">
        <x:v>1704</x:v>
      </x:c>
      <x:c r="C730" s="20">
        <x:v>70071900</x:v>
      </x:c>
      <x:c r="D730" s="20">
        <x:v>829.83</x:v>
      </x:c>
      <x:c r="E730" s="18" t="s">
        <x:v>227</x:v>
      </x:c>
      <x:c r="F730" s="19" t="s">
        <x:v>11</x:v>
      </x:c>
      <x:c r="G730" s="20">
        <x:v>0</x:v>
      </x:c>
      <x:c r="H730" s="21"/>
      <x:c r="I730" s="21" t="s">
        <x:v>1229</x:v>
      </x:c>
      <x:c r="J730" s="22">
        <x:v>0</x:v>
      </x:c>
      <x:c r="K730" s="22">
        <x:v>0</x:v>
      </x:c>
      <x:c r="L730" s="23">
        <x:v>0</x:v>
      </x:c>
    </x:row>
    <x:row r="731">
      <x:c r="A731" s="18" t="s">
        <x:v>1705</x:v>
      </x:c>
      <x:c r="B731" s="19" t="s">
        <x:v>1706</x:v>
      </x:c>
      <x:c r="C731" s="20">
        <x:v>70071900</x:v>
      </x:c>
      <x:c r="D731" s="20">
        <x:v>762.26</x:v>
      </x:c>
      <x:c r="E731" s="18" t="s">
        <x:v>227</x:v>
      </x:c>
      <x:c r="F731" s="19" t="s">
        <x:v>11</x:v>
      </x:c>
      <x:c r="G731" s="20">
        <x:v>0</x:v>
      </x:c>
      <x:c r="H731" s="21"/>
      <x:c r="I731" s="21" t="s">
        <x:v>1229</x:v>
      </x:c>
      <x:c r="J731" s="22">
        <x:v>0</x:v>
      </x:c>
      <x:c r="K731" s="22">
        <x:v>0</x:v>
      </x:c>
      <x:c r="L731" s="23">
        <x:v>0</x:v>
      </x:c>
    </x:row>
    <x:row r="732">
      <x:c r="A732" s="18" t="s">
        <x:v>1707</x:v>
      </x:c>
      <x:c r="B732" s="19" t="s">
        <x:v>1708</x:v>
      </x:c>
      <x:c r="C732" s="20">
        <x:v>70071900</x:v>
      </x:c>
      <x:c r="D732" s="20">
        <x:v>362.32</x:v>
      </x:c>
      <x:c r="E732" s="18" t="s">
        <x:v>227</x:v>
      </x:c>
      <x:c r="F732" s="19" t="s">
        <x:v>11</x:v>
      </x:c>
      <x:c r="G732" s="20">
        <x:v>351.93</x:v>
      </x:c>
      <x:c r="H732" s="21"/>
      <x:c r="I732" s="26" t="s">
        <x:v>1234</x:v>
      </x:c>
      <x:c r="J732" s="22">
        <x:v>0</x:v>
      </x:c>
      <x:c r="K732" s="22">
        <x:v>0</x:v>
      </x:c>
      <x:c r="L732" s="23">
        <x:v>0</x:v>
      </x:c>
    </x:row>
    <x:row r="733">
      <x:c r="A733" s="18" t="s">
        <x:v>1709</x:v>
      </x:c>
      <x:c r="B733" s="19" t="s">
        <x:v>1710</x:v>
      </x:c>
      <x:c r="C733" s="20">
        <x:v>70071900</x:v>
      </x:c>
      <x:c r="D733" s="20">
        <x:v>102.93</x:v>
      </x:c>
      <x:c r="E733" s="18" t="s">
        <x:v>227</x:v>
      </x:c>
      <x:c r="F733" s="19" t="s">
        <x:v>11</x:v>
      </x:c>
      <x:c r="G733" s="20">
        <x:v>0</x:v>
      </x:c>
      <x:c r="H733" s="21"/>
      <x:c r="I733" s="21" t="s">
        <x:v>1229</x:v>
      </x:c>
      <x:c r="J733" s="22">
        <x:v>0</x:v>
      </x:c>
      <x:c r="K733" s="22">
        <x:v>0</x:v>
      </x:c>
      <x:c r="L733" s="23">
        <x:v>0</x:v>
      </x:c>
    </x:row>
    <x:row r="734">
      <x:c r="A734" s="18" t="s">
        <x:v>1711</x:v>
      </x:c>
      <x:c r="B734" s="19" t="s">
        <x:v>1712</x:v>
      </x:c>
      <x:c r="C734" s="20">
        <x:v>70071900</x:v>
      </x:c>
      <x:c r="D734" s="20">
        <x:v>351.93</x:v>
      </x:c>
      <x:c r="E734" s="18" t="s">
        <x:v>227</x:v>
      </x:c>
      <x:c r="F734" s="19" t="s">
        <x:v>11</x:v>
      </x:c>
      <x:c r="G734" s="20">
        <x:v>551.37</x:v>
      </x:c>
      <x:c r="H734" s="21"/>
      <x:c r="I734" s="26" t="s">
        <x:v>1229</x:v>
      </x:c>
      <x:c r="J734" s="22">
        <x:v>0</x:v>
      </x:c>
      <x:c r="K734" s="22">
        <x:v>0</x:v>
      </x:c>
      <x:c r="L734" s="23">
        <x:v>0</x:v>
      </x:c>
    </x:row>
    <x:row r="735">
      <x:c r="A735" s="18" t="s">
        <x:v>1713</x:v>
      </x:c>
      <x:c r="B735" s="19" t="s">
        <x:v>1714</x:v>
      </x:c>
      <x:c r="C735" s="20">
        <x:v>70071900</x:v>
      </x:c>
      <x:c r="D735" s="20">
        <x:v>327.49</x:v>
      </x:c>
      <x:c r="E735" s="18" t="s">
        <x:v>227</x:v>
      </x:c>
      <x:c r="F735" s="19" t="s">
        <x:v>11</x:v>
      </x:c>
      <x:c r="G735" s="20">
        <x:v>503.54</x:v>
      </x:c>
      <x:c r="H735" s="21"/>
      <x:c r="I735" s="26" t="s">
        <x:v>1234</x:v>
      </x:c>
      <x:c r="J735" s="22">
        <x:v>0</x:v>
      </x:c>
      <x:c r="K735" s="22">
        <x:v>0</x:v>
      </x:c>
      <x:c r="L735" s="23">
        <x:v>0</x:v>
      </x:c>
    </x:row>
    <x:row r="736">
      <x:c r="A736" s="18" t="s">
        <x:v>1715</x:v>
      </x:c>
      <x:c r="B736" s="19" t="s">
        <x:v>1716</x:v>
      </x:c>
      <x:c r="C736" s="20">
        <x:v>70071900</x:v>
      </x:c>
      <x:c r="D736" s="20">
        <x:v>334.05</x:v>
      </x:c>
      <x:c r="E736" s="18" t="s">
        <x:v>227</x:v>
      </x:c>
      <x:c r="F736" s="19" t="s">
        <x:v>11</x:v>
      </x:c>
      <x:c r="G736" s="20">
        <x:v>319.22000000000003</x:v>
      </x:c>
      <x:c r="H736" s="21"/>
      <x:c r="I736" s="26" t="s">
        <x:v>1229</x:v>
      </x:c>
      <x:c r="J736" s="22">
        <x:v>0</x:v>
      </x:c>
      <x:c r="K736" s="22">
        <x:v>0</x:v>
      </x:c>
      <x:c r="L736" s="23">
        <x:v>0</x:v>
      </x:c>
    </x:row>
    <x:row r="737">
      <x:c r="A737" s="18" t="s">
        <x:v>1717</x:v>
      </x:c>
      <x:c r="B737" s="19" t="s">
        <x:v>1718</x:v>
      </x:c>
      <x:c r="C737" s="20">
        <x:v>70071900</x:v>
      </x:c>
      <x:c r="D737" s="20">
        <x:v>1138.19</x:v>
      </x:c>
      <x:c r="E737" s="18" t="s">
        <x:v>227</x:v>
      </x:c>
      <x:c r="F737" s="19" t="s">
        <x:v>11</x:v>
      </x:c>
      <x:c r="G737" s="20">
        <x:v>334.05</x:v>
      </x:c>
      <x:c r="H737" s="21"/>
      <x:c r="I737" s="26" t="s">
        <x:v>1234</x:v>
      </x:c>
      <x:c r="J737" s="22">
        <x:v>0</x:v>
      </x:c>
      <x:c r="K737" s="22">
        <x:v>0</x:v>
      </x:c>
      <x:c r="L737" s="23">
        <x:v>0</x:v>
      </x:c>
    </x:row>
    <x:row r="738">
      <x:c r="A738" s="18" t="s">
        <x:v>1719</x:v>
      </x:c>
      <x:c r="B738" s="19" t="s">
        <x:v>1720</x:v>
      </x:c>
      <x:c r="C738" s="20">
        <x:v>70071900</x:v>
      </x:c>
      <x:c r="D738" s="20">
        <x:v>232.18</x:v>
      </x:c>
      <x:c r="E738" s="18" t="s">
        <x:v>227</x:v>
      </x:c>
      <x:c r="F738" s="19" t="s">
        <x:v>11</x:v>
      </x:c>
      <x:c r="G738" s="20">
        <x:v>331.11</x:v>
      </x:c>
      <x:c r="H738" s="21"/>
      <x:c r="I738" s="26" t="s">
        <x:v>1234</x:v>
      </x:c>
      <x:c r="J738" s="22">
        <x:v>0</x:v>
      </x:c>
      <x:c r="K738" s="22">
        <x:v>0</x:v>
      </x:c>
      <x:c r="L738" s="23">
        <x:v>9</x:v>
      </x:c>
    </x:row>
    <x:row r="739">
      <x:c r="A739" s="18" t="s">
        <x:v>1721</x:v>
      </x:c>
      <x:c r="B739" s="19" t="s">
        <x:v>1722</x:v>
      </x:c>
      <x:c r="C739" s="20">
        <x:v>70071900</x:v>
      </x:c>
      <x:c r="D739" s="20">
        <x:v>2818.4</x:v>
      </x:c>
      <x:c r="E739" s="18" t="s">
        <x:v>227</x:v>
      </x:c>
      <x:c r="F739" s="19" t="s">
        <x:v>11</x:v>
      </x:c>
      <x:c r="G739" s="20">
        <x:v>334.09</x:v>
      </x:c>
      <x:c r="H739" s="21"/>
      <x:c r="I739" s="26" t="s">
        <x:v>1229</x:v>
      </x:c>
      <x:c r="J739" s="22">
        <x:v>0</x:v>
      </x:c>
      <x:c r="K739" s="22">
        <x:v>0</x:v>
      </x:c>
      <x:c r="L739" s="23">
        <x:v>7</x:v>
      </x:c>
    </x:row>
    <x:row r="740">
      <x:c r="A740" s="18" t="s">
        <x:v>1723</x:v>
      </x:c>
      <x:c r="B740" s="19" t="s">
        <x:v>1724</x:v>
      </x:c>
      <x:c r="C740" s="20">
        <x:v>70071900</x:v>
      </x:c>
      <x:c r="D740" s="20">
        <x:v>21687</x:v>
      </x:c>
      <x:c r="E740" s="18" t="s">
        <x:v>227</x:v>
      </x:c>
      <x:c r="F740" s="19" t="s">
        <x:v>11</x:v>
      </x:c>
      <x:c r="G740" s="20">
        <x:v>344.14</x:v>
      </x:c>
      <x:c r="H740" s="21"/>
      <x:c r="I740" s="26" t="s">
        <x:v>1229</x:v>
      </x:c>
      <x:c r="J740" s="22">
        <x:v>0</x:v>
      </x:c>
      <x:c r="K740" s="22">
        <x:v>0</x:v>
      </x:c>
      <x:c r="L740" s="23">
        <x:v>0</x:v>
      </x:c>
    </x:row>
    <x:row r="741">
      <x:c r="A741" s="18" t="s">
        <x:v>1725</x:v>
      </x:c>
      <x:c r="B741" s="19" t="s">
        <x:v>1726</x:v>
      </x:c>
      <x:c r="C741" s="20">
        <x:v>70071900</x:v>
      </x:c>
      <x:c r="D741" s="20">
        <x:v>3103.58</x:v>
      </x:c>
      <x:c r="E741" s="18" t="s">
        <x:v>227</x:v>
      </x:c>
      <x:c r="F741" s="19" t="s">
        <x:v>11</x:v>
      </x:c>
      <x:c r="G741" s="20">
        <x:v>344</x:v>
      </x:c>
      <x:c r="H741" s="21"/>
      <x:c r="I741" s="26" t="s">
        <x:v>1234</x:v>
      </x:c>
      <x:c r="J741" s="22">
        <x:v>0</x:v>
      </x:c>
      <x:c r="K741" s="22">
        <x:v>0</x:v>
      </x:c>
      <x:c r="L741" s="23">
        <x:v>0</x:v>
      </x:c>
    </x:row>
    <x:row r="742">
      <x:c r="A742" s="18" t="s">
        <x:v>1727</x:v>
      </x:c>
      <x:c r="B742" s="19" t="s">
        <x:v>1728</x:v>
      </x:c>
      <x:c r="C742" s="20">
        <x:v>70071900</x:v>
      </x:c>
      <x:c r="D742" s="20">
        <x:v>2945.88</x:v>
      </x:c>
      <x:c r="E742" s="18" t="s">
        <x:v>227</x:v>
      </x:c>
      <x:c r="F742" s="19" t="s">
        <x:v>11</x:v>
      </x:c>
      <x:c r="G742" s="20">
        <x:v>344.99</x:v>
      </x:c>
      <x:c r="H742" s="21"/>
      <x:c r="I742" s="26" t="s">
        <x:v>1229</x:v>
      </x:c>
      <x:c r="J742" s="22">
        <x:v>0</x:v>
      </x:c>
      <x:c r="K742" s="22">
        <x:v>0</x:v>
      </x:c>
      <x:c r="L742" s="23">
        <x:v>0</x:v>
      </x:c>
    </x:row>
    <x:row r="743">
      <x:c r="A743" s="18" t="s">
        <x:v>1729</x:v>
      </x:c>
      <x:c r="B743" s="19" t="s">
        <x:v>1730</x:v>
      </x:c>
      <x:c r="C743" s="20">
        <x:v>70071900</x:v>
      </x:c>
      <x:c r="D743" s="20">
        <x:v>8775.14</x:v>
      </x:c>
      <x:c r="E743" s="18" t="s">
        <x:v>227</x:v>
      </x:c>
      <x:c r="F743" s="19" t="s">
        <x:v>11</x:v>
      </x:c>
      <x:c r="G743" s="20">
        <x:v>540.29</x:v>
      </x:c>
      <x:c r="H743" s="21"/>
      <x:c r="I743" s="26" t="s">
        <x:v>1234</x:v>
      </x:c>
      <x:c r="J743" s="22">
        <x:v>0</x:v>
      </x:c>
      <x:c r="K743" s="22">
        <x:v>0</x:v>
      </x:c>
      <x:c r="L743" s="23">
        <x:v>0</x:v>
      </x:c>
    </x:row>
    <x:row r="744">
      <x:c r="A744" s="18" t="s">
        <x:v>1731</x:v>
      </x:c>
      <x:c r="B744" s="19" t="s">
        <x:v>1732</x:v>
      </x:c>
      <x:c r="C744" s="20">
        <x:v>70071900</x:v>
      </x:c>
      <x:c r="D744" s="20">
        <x:v>4685.28</x:v>
      </x:c>
      <x:c r="E744" s="18" t="s">
        <x:v>227</x:v>
      </x:c>
      <x:c r="F744" s="19" t="s">
        <x:v>11</x:v>
      </x:c>
      <x:c r="G744" s="20">
        <x:v>541.28</x:v>
      </x:c>
      <x:c r="H744" s="21"/>
      <x:c r="I744" s="26" t="s">
        <x:v>1234</x:v>
      </x:c>
      <x:c r="J744" s="22">
        <x:v>0</x:v>
      </x:c>
      <x:c r="K744" s="22">
        <x:v>0</x:v>
      </x:c>
      <x:c r="L744" s="23">
        <x:v>0</x:v>
      </x:c>
    </x:row>
    <x:row r="745">
      <x:c r="A745" s="18" t="s">
        <x:v>1733</x:v>
      </x:c>
      <x:c r="B745" s="19" t="s">
        <x:v>1734</x:v>
      </x:c>
      <x:c r="C745" s="20">
        <x:v>70071900</x:v>
      </x:c>
      <x:c r="D745" s="20">
        <x:v>3075</x:v>
      </x:c>
      <x:c r="E745" s="18" t="s">
        <x:v>227</x:v>
      </x:c>
      <x:c r="F745" s="19" t="s">
        <x:v>11</x:v>
      </x:c>
      <x:c r="G745" s="20">
        <x:v>334.63</x:v>
      </x:c>
      <x:c r="H745" s="21"/>
      <x:c r="I745" s="26" t="s">
        <x:v>1234</x:v>
      </x:c>
      <x:c r="J745" s="22">
        <x:v>0</x:v>
      </x:c>
      <x:c r="K745" s="22">
        <x:v>0</x:v>
      </x:c>
      <x:c r="L745" s="23">
        <x:v>0</x:v>
      </x:c>
    </x:row>
    <x:row r="746">
      <x:c r="A746" s="18" t="s">
        <x:v>1735</x:v>
      </x:c>
      <x:c r="B746" s="19" t="s">
        <x:v>1736</x:v>
      </x:c>
      <x:c r="C746" s="20">
        <x:v>70071900</x:v>
      </x:c>
      <x:c r="D746" s="20">
        <x:v>621.20000000000005</x:v>
      </x:c>
      <x:c r="E746" s="18" t="s">
        <x:v>227</x:v>
      </x:c>
      <x:c r="F746" s="19" t="s">
        <x:v>11</x:v>
      </x:c>
      <x:c r="G746" s="20">
        <x:v>557.05999999999995</x:v>
      </x:c>
      <x:c r="H746" s="21"/>
      <x:c r="I746" s="26" t="s">
        <x:v>1234</x:v>
      </x:c>
      <x:c r="J746" s="22">
        <x:v>0</x:v>
      </x:c>
      <x:c r="K746" s="22">
        <x:v>0</x:v>
      </x:c>
      <x:c r="L746" s="23">
        <x:v>0</x:v>
      </x:c>
    </x:row>
    <x:row r="747">
      <x:c r="A747" s="18" t="s">
        <x:v>1737</x:v>
      </x:c>
      <x:c r="B747" s="19" t="s">
        <x:v>1738</x:v>
      </x:c>
      <x:c r="C747" s="20">
        <x:v>70071900</x:v>
      </x:c>
      <x:c r="D747" s="20">
        <x:v>404.5</x:v>
      </x:c>
      <x:c r="E747" s="18" t="s">
        <x:v>227</x:v>
      </x:c>
      <x:c r="F747" s="19" t="s">
        <x:v>11</x:v>
      </x:c>
      <x:c r="G747" s="20">
        <x:v>336.26</x:v>
      </x:c>
      <x:c r="H747" s="21"/>
      <x:c r="I747" s="26" t="s">
        <x:v>1229</x:v>
      </x:c>
      <x:c r="J747" s="22">
        <x:v>0</x:v>
      </x:c>
      <x:c r="K747" s="22">
        <x:v>0</x:v>
      </x:c>
      <x:c r="L747" s="23">
        <x:v>0</x:v>
      </x:c>
    </x:row>
    <x:row r="748">
      <x:c r="A748" s="18" t="s">
        <x:v>1739</x:v>
      </x:c>
      <x:c r="B748" s="19" t="s">
        <x:v>1740</x:v>
      </x:c>
      <x:c r="C748" s="20">
        <x:v>70071900</x:v>
      </x:c>
      <x:c r="D748" s="20">
        <x:v>24.6</x:v>
      </x:c>
      <x:c r="E748" s="18" t="s">
        <x:v>227</x:v>
      </x:c>
      <x:c r="F748" s="19" t="s">
        <x:v>11</x:v>
      </x:c>
      <x:c r="G748" s="20">
        <x:v>347.24</x:v>
      </x:c>
      <x:c r="H748" s="21"/>
      <x:c r="I748" s="26" t="s">
        <x:v>1229</x:v>
      </x:c>
      <x:c r="J748" s="22">
        <x:v>0</x:v>
      </x:c>
      <x:c r="K748" s="22">
        <x:v>0</x:v>
      </x:c>
      <x:c r="L748" s="23">
        <x:v>0</x:v>
      </x:c>
    </x:row>
    <x:row r="749">
      <x:c r="A749" s="18" t="s">
        <x:v>1741</x:v>
      </x:c>
      <x:c r="B749" s="19" t="s">
        <x:v>1742</x:v>
      </x:c>
      <x:c r="C749" s="20">
        <x:v>70071900</x:v>
      </x:c>
      <x:c r="D749" s="20">
        <x:v>563.4</x:v>
      </x:c>
      <x:c r="E749" s="18" t="s">
        <x:v>227</x:v>
      </x:c>
      <x:c r="F749" s="19" t="s">
        <x:v>11</x:v>
      </x:c>
      <x:c r="G749" s="20">
        <x:v>0</x:v>
      </x:c>
      <x:c r="H749" s="21"/>
      <x:c r="I749" s="21" t="s">
        <x:v>1229</x:v>
      </x:c>
      <x:c r="J749" s="22">
        <x:v>0</x:v>
      </x:c>
      <x:c r="K749" s="22">
        <x:v>0</x:v>
      </x:c>
      <x:c r="L749" s="23">
        <x:v>0</x:v>
      </x:c>
    </x:row>
    <x:row r="750">
      <x:c r="A750" s="18" t="s">
        <x:v>1743</x:v>
      </x:c>
      <x:c r="B750" s="19" t="s">
        <x:v>1744</x:v>
      </x:c>
      <x:c r="C750" s="20">
        <x:v>70071900</x:v>
      </x:c>
      <x:c r="D750" s="20">
        <x:v>261</x:v>
      </x:c>
      <x:c r="E750" s="18" t="s">
        <x:v>227</x:v>
      </x:c>
      <x:c r="F750" s="19" t="s">
        <x:v>11</x:v>
      </x:c>
      <x:c r="G750" s="20">
        <x:v>384.42</x:v>
      </x:c>
      <x:c r="H750" s="21"/>
      <x:c r="I750" s="26" t="s">
        <x:v>1229</x:v>
      </x:c>
      <x:c r="J750" s="22">
        <x:v>0</x:v>
      </x:c>
      <x:c r="K750" s="22">
        <x:v>0</x:v>
      </x:c>
      <x:c r="L750" s="23">
        <x:v>0</x:v>
      </x:c>
    </x:row>
    <x:row r="751">
      <x:c r="A751" s="18" t="s">
        <x:v>1745</x:v>
      </x:c>
      <x:c r="B751" s="19" t="s">
        <x:v>1746</x:v>
      </x:c>
      <x:c r="C751" s="20">
        <x:v>70071900</x:v>
      </x:c>
      <x:c r="D751" s="20">
        <x:v>143.30000000000001</x:v>
      </x:c>
      <x:c r="E751" s="18" t="s">
        <x:v>227</x:v>
      </x:c>
      <x:c r="F751" s="19" t="s">
        <x:v>11</x:v>
      </x:c>
      <x:c r="G751" s="20">
        <x:v>430.85</x:v>
      </x:c>
      <x:c r="H751" s="21"/>
      <x:c r="I751" s="26" t="s">
        <x:v>1229</x:v>
      </x:c>
      <x:c r="J751" s="22">
        <x:v>0</x:v>
      </x:c>
      <x:c r="K751" s="22">
        <x:v>0</x:v>
      </x:c>
      <x:c r="L751" s="23">
        <x:v>0</x:v>
      </x:c>
    </x:row>
    <x:row r="752">
      <x:c r="A752" s="18" t="s">
        <x:v>1747</x:v>
      </x:c>
      <x:c r="B752" s="19" t="s">
        <x:v>1748</x:v>
      </x:c>
      <x:c r="C752" s="20">
        <x:v>70071900</x:v>
      </x:c>
      <x:c r="D752" s="20">
        <x:v>1185.44</x:v>
      </x:c>
      <x:c r="E752" s="18" t="s">
        <x:v>227</x:v>
      </x:c>
      <x:c r="F752" s="19" t="s">
        <x:v>11</x:v>
      </x:c>
      <x:c r="G752" s="20">
        <x:v>454.06</x:v>
      </x:c>
      <x:c r="H752" s="21"/>
      <x:c r="I752" s="26" t="s">
        <x:v>1229</x:v>
      </x:c>
      <x:c r="J752" s="22">
        <x:v>0</x:v>
      </x:c>
      <x:c r="K752" s="22">
        <x:v>0</x:v>
      </x:c>
      <x:c r="L752" s="23">
        <x:v>0</x:v>
      </x:c>
    </x:row>
    <x:row r="753">
      <x:c r="A753" s="18" t="s">
        <x:v>1749</x:v>
      </x:c>
      <x:c r="B753" s="19" t="s">
        <x:v>1750</x:v>
      </x:c>
      <x:c r="C753" s="20">
        <x:v>70071900</x:v>
      </x:c>
      <x:c r="D753" s="20">
        <x:v>828.96</x:v>
      </x:c>
      <x:c r="E753" s="18" t="s">
        <x:v>227</x:v>
      </x:c>
      <x:c r="F753" s="19" t="s">
        <x:v>11</x:v>
      </x:c>
      <x:c r="G753" s="20">
        <x:v>0</x:v>
      </x:c>
      <x:c r="H753" s="21"/>
      <x:c r="I753" s="21" t="s">
        <x:v>1229</x:v>
      </x:c>
      <x:c r="J753" s="22">
        <x:v>0</x:v>
      </x:c>
      <x:c r="K753" s="22">
        <x:v>0</x:v>
      </x:c>
      <x:c r="L753" s="23">
        <x:v>0</x:v>
      </x:c>
    </x:row>
    <x:row r="754">
      <x:c r="A754" s="18" t="s">
        <x:v>1751</x:v>
      </x:c>
      <x:c r="B754" s="19" t="s">
        <x:v>1752</x:v>
      </x:c>
      <x:c r="C754" s="20">
        <x:v>70071900</x:v>
      </x:c>
      <x:c r="D754" s="20">
        <x:v>620.07000000000005</x:v>
      </x:c>
      <x:c r="E754" s="18" t="s">
        <x:v>227</x:v>
      </x:c>
      <x:c r="F754" s="19" t="s">
        <x:v>11</x:v>
      </x:c>
      <x:c r="G754" s="20">
        <x:v>1097.0999999999999</x:v>
      </x:c>
      <x:c r="H754" s="21"/>
      <x:c r="I754" s="26" t="s">
        <x:v>1229</x:v>
      </x:c>
      <x:c r="J754" s="22">
        <x:v>0</x:v>
      </x:c>
      <x:c r="K754" s="22">
        <x:v>0</x:v>
      </x:c>
      <x:c r="L754" s="23">
        <x:v>0</x:v>
      </x:c>
    </x:row>
    <x:row r="755">
      <x:c r="A755" s="18" t="s">
        <x:v>1753</x:v>
      </x:c>
      <x:c r="B755" s="19" t="s">
        <x:v>1754</x:v>
      </x:c>
      <x:c r="C755" s="20">
        <x:v>70071900</x:v>
      </x:c>
      <x:c r="D755" s="20">
        <x:v>1268.28</x:v>
      </x:c>
      <x:c r="E755" s="18" t="s">
        <x:v>227</x:v>
      </x:c>
      <x:c r="F755" s="19" t="s">
        <x:v>11</x:v>
      </x:c>
      <x:c r="G755" s="20">
        <x:v>548.54999999999995</x:v>
      </x:c>
      <x:c r="H755" s="21"/>
      <x:c r="I755" s="26" t="s">
        <x:v>1234</x:v>
      </x:c>
      <x:c r="J755" s="22">
        <x:v>0</x:v>
      </x:c>
      <x:c r="K755" s="22">
        <x:v>0</x:v>
      </x:c>
      <x:c r="L755" s="23">
        <x:v>0</x:v>
      </x:c>
    </x:row>
    <x:row r="756">
      <x:c r="A756" s="18" t="s">
        <x:v>1755</x:v>
      </x:c>
      <x:c r="B756" s="19" t="s">
        <x:v>1756</x:v>
      </x:c>
      <x:c r="C756" s="20">
        <x:v>70071900</x:v>
      </x:c>
      <x:c r="D756" s="20">
        <x:v>2367.19</x:v>
      </x:c>
      <x:c r="E756" s="18" t="s">
        <x:v>227</x:v>
      </x:c>
      <x:c r="F756" s="19" t="s">
        <x:v>11</x:v>
      </x:c>
      <x:c r="G756" s="20">
        <x:v>0</x:v>
      </x:c>
      <x:c r="H756" s="21"/>
      <x:c r="I756" s="21" t="s">
        <x:v>1229</x:v>
      </x:c>
      <x:c r="J756" s="22">
        <x:v>0</x:v>
      </x:c>
      <x:c r="K756" s="22">
        <x:v>0</x:v>
      </x:c>
      <x:c r="L756" s="23">
        <x:v>0</x:v>
      </x:c>
    </x:row>
    <x:row r="757">
      <x:c r="A757" s="18" t="s">
        <x:v>1757</x:v>
      </x:c>
      <x:c r="B757" s="19" t="s">
        <x:v>1758</x:v>
      </x:c>
      <x:c r="C757" s="20">
        <x:v>70071900</x:v>
      </x:c>
      <x:c r="D757" s="20">
        <x:v>1093</x:v>
      </x:c>
      <x:c r="E757" s="18" t="s">
        <x:v>227</x:v>
      </x:c>
      <x:c r="F757" s="19" t="s">
        <x:v>11</x:v>
      </x:c>
      <x:c r="G757" s="20">
        <x:v>0</x:v>
      </x:c>
      <x:c r="H757" s="21"/>
      <x:c r="I757" s="21" t="s">
        <x:v>1229</x:v>
      </x:c>
      <x:c r="J757" s="22">
        <x:v>0</x:v>
      </x:c>
      <x:c r="K757" s="22">
        <x:v>0</x:v>
      </x:c>
      <x:c r="L757" s="23">
        <x:v>0</x:v>
      </x:c>
    </x:row>
    <x:row r="758">
      <x:c r="A758" s="18" t="s">
        <x:v>1759</x:v>
      </x:c>
      <x:c r="B758" s="19" t="s">
        <x:v>1760</x:v>
      </x:c>
      <x:c r="C758" s="20">
        <x:v>70071900</x:v>
      </x:c>
      <x:c r="D758" s="20">
        <x:v>1090.33</x:v>
      </x:c>
      <x:c r="E758" s="18" t="s">
        <x:v>227</x:v>
      </x:c>
      <x:c r="F758" s="19" t="s">
        <x:v>11</x:v>
      </x:c>
      <x:c r="G758" s="20">
        <x:v>0</x:v>
      </x:c>
      <x:c r="H758" s="21"/>
      <x:c r="I758" s="21" t="s">
        <x:v>1229</x:v>
      </x:c>
      <x:c r="J758" s="22">
        <x:v>0</x:v>
      </x:c>
      <x:c r="K758" s="22">
        <x:v>0</x:v>
      </x:c>
      <x:c r="L758" s="23">
        <x:v>0</x:v>
      </x:c>
    </x:row>
    <x:row r="759">
      <x:c r="A759" s="18" t="s">
        <x:v>1761</x:v>
      </x:c>
      <x:c r="B759" s="19" t="s">
        <x:v>1762</x:v>
      </x:c>
      <x:c r="C759" s="20">
        <x:v>70071900</x:v>
      </x:c>
      <x:c r="D759" s="20">
        <x:v>793.12</x:v>
      </x:c>
      <x:c r="E759" s="18" t="s">
        <x:v>227</x:v>
      </x:c>
      <x:c r="F759" s="19" t="s">
        <x:v>11</x:v>
      </x:c>
      <x:c r="G759" s="20">
        <x:v>0</x:v>
      </x:c>
      <x:c r="H759" s="21"/>
      <x:c r="I759" s="21" t="s">
        <x:v>1229</x:v>
      </x:c>
      <x:c r="J759" s="22">
        <x:v>0</x:v>
      </x:c>
      <x:c r="K759" s="22">
        <x:v>0</x:v>
      </x:c>
      <x:c r="L759" s="23">
        <x:v>0</x:v>
      </x:c>
    </x:row>
    <x:row r="760">
      <x:c r="A760" s="18" t="s">
        <x:v>1763</x:v>
      </x:c>
      <x:c r="B760" s="19" t="s">
        <x:v>1764</x:v>
      </x:c>
      <x:c r="C760" s="20">
        <x:v>70071900</x:v>
      </x:c>
      <x:c r="D760" s="20">
        <x:v>540.29</x:v>
      </x:c>
      <x:c r="E760" s="18" t="s">
        <x:v>227</x:v>
      </x:c>
      <x:c r="F760" s="19" t="s">
        <x:v>11</x:v>
      </x:c>
      <x:c r="G760" s="20">
        <x:v>0</x:v>
      </x:c>
      <x:c r="H760" s="21"/>
      <x:c r="I760" s="21" t="s">
        <x:v>1229</x:v>
      </x:c>
      <x:c r="J760" s="22">
        <x:v>0</x:v>
      </x:c>
      <x:c r="K760" s="22">
        <x:v>0</x:v>
      </x:c>
      <x:c r="L760" s="23">
        <x:v>0</x:v>
      </x:c>
    </x:row>
    <x:row r="761">
      <x:c r="A761" s="18" t="s">
        <x:v>1765</x:v>
      </x:c>
      <x:c r="B761" s="19" t="s">
        <x:v>1766</x:v>
      </x:c>
      <x:c r="C761" s="20">
        <x:v>70071900</x:v>
      </x:c>
      <x:c r="D761" s="20">
        <x:v>331.11</x:v>
      </x:c>
      <x:c r="E761" s="18" t="s">
        <x:v>227</x:v>
      </x:c>
      <x:c r="F761" s="19" t="s">
        <x:v>11</x:v>
      </x:c>
      <x:c r="G761" s="20">
        <x:v>620.07000000000005</x:v>
      </x:c>
      <x:c r="H761" s="21"/>
      <x:c r="I761" s="26" t="s">
        <x:v>1234</x:v>
      </x:c>
      <x:c r="J761" s="22">
        <x:v>0</x:v>
      </x:c>
      <x:c r="K761" s="22">
        <x:v>0</x:v>
      </x:c>
      <x:c r="L761" s="23">
        <x:v>0</x:v>
      </x:c>
    </x:row>
    <x:row r="762">
      <x:c r="A762" s="18" t="s">
        <x:v>1767</x:v>
      </x:c>
      <x:c r="B762" s="19" t="s">
        <x:v>1768</x:v>
      </x:c>
      <x:c r="C762" s="20">
        <x:v>70071900</x:v>
      </x:c>
      <x:c r="D762" s="20">
        <x:v>250.22</x:v>
      </x:c>
      <x:c r="E762" s="18" t="s">
        <x:v>227</x:v>
      </x:c>
      <x:c r="F762" s="19" t="s">
        <x:v>11</x:v>
      </x:c>
      <x:c r="G762" s="20">
        <x:v>685.36</x:v>
      </x:c>
      <x:c r="H762" s="21"/>
      <x:c r="I762" s="26" t="s">
        <x:v>1229</x:v>
      </x:c>
      <x:c r="J762" s="22">
        <x:v>0</x:v>
      </x:c>
      <x:c r="K762" s="22">
        <x:v>0</x:v>
      </x:c>
      <x:c r="L762" s="23">
        <x:v>0</x:v>
      </x:c>
    </x:row>
    <x:row r="763">
      <x:c r="A763" s="18" t="s">
        <x:v>1769</x:v>
      </x:c>
      <x:c r="B763" s="19" t="s">
        <x:v>1770</x:v>
      </x:c>
      <x:c r="C763" s="20">
        <x:v>70071900</x:v>
      </x:c>
      <x:c r="D763" s="20">
        <x:v>492.89</x:v>
      </x:c>
      <x:c r="E763" s="18" t="s">
        <x:v>227</x:v>
      </x:c>
      <x:c r="F763" s="19" t="s">
        <x:v>11</x:v>
      </x:c>
      <x:c r="G763" s="20">
        <x:v>828.96</x:v>
      </x:c>
      <x:c r="H763" s="21"/>
      <x:c r="I763" s="26" t="s">
        <x:v>1234</x:v>
      </x:c>
      <x:c r="J763" s="22">
        <x:v>0</x:v>
      </x:c>
      <x:c r="K763" s="22">
        <x:v>0</x:v>
      </x:c>
      <x:c r="L763" s="23">
        <x:v>0</x:v>
      </x:c>
    </x:row>
    <x:row r="764">
      <x:c r="A764" s="18" t="s">
        <x:v>1771</x:v>
      </x:c>
      <x:c r="B764" s="19" t="s">
        <x:v>1772</x:v>
      </x:c>
      <x:c r="C764" s="20">
        <x:v>70071900</x:v>
      </x:c>
      <x:c r="D764" s="20">
        <x:v>958.6</x:v>
      </x:c>
      <x:c r="E764" s="18" t="s">
        <x:v>227</x:v>
      </x:c>
      <x:c r="F764" s="19" t="s">
        <x:v>11</x:v>
      </x:c>
      <x:c r="G764" s="20">
        <x:v>559.30999999999995</x:v>
      </x:c>
      <x:c r="H764" s="21"/>
      <x:c r="I764" s="26" t="s">
        <x:v>1234</x:v>
      </x:c>
      <x:c r="J764" s="22">
        <x:v>0</x:v>
      </x:c>
      <x:c r="K764" s="22">
        <x:v>0</x:v>
      </x:c>
      <x:c r="L764" s="23">
        <x:v>0</x:v>
      </x:c>
    </x:row>
    <x:row r="765">
      <x:c r="A765" s="18" t="s">
        <x:v>1773</x:v>
      </x:c>
      <x:c r="B765" s="19" t="s">
        <x:v>1774</x:v>
      </x:c>
      <x:c r="C765" s="20">
        <x:v>70071900</x:v>
      </x:c>
      <x:c r="D765" s="20">
        <x:v>465.93</x:v>
      </x:c>
      <x:c r="E765" s="18" t="s">
        <x:v>227</x:v>
      </x:c>
      <x:c r="F765" s="19" t="s">
        <x:v>11</x:v>
      </x:c>
      <x:c r="G765" s="20">
        <x:v>0</x:v>
      </x:c>
      <x:c r="H765" s="21"/>
      <x:c r="I765" s="21" t="s">
        <x:v>1229</x:v>
      </x:c>
      <x:c r="J765" s="22">
        <x:v>0</x:v>
      </x:c>
      <x:c r="K765" s="22">
        <x:v>0</x:v>
      </x:c>
      <x:c r="L765" s="23">
        <x:v>0</x:v>
      </x:c>
    </x:row>
    <x:row r="766">
      <x:c r="A766" s="18" t="s">
        <x:v>1775</x:v>
      </x:c>
      <x:c r="B766" s="19" t="s">
        <x:v>1776</x:v>
      </x:c>
      <x:c r="C766" s="20">
        <x:v>70071900</x:v>
      </x:c>
      <x:c r="D766" s="20">
        <x:v>553.17999999999995</x:v>
      </x:c>
      <x:c r="E766" s="18" t="s">
        <x:v>227</x:v>
      </x:c>
      <x:c r="F766" s="19" t="s">
        <x:v>11</x:v>
      </x:c>
      <x:c r="G766" s="20">
        <x:v>0</x:v>
      </x:c>
      <x:c r="H766" s="21"/>
      <x:c r="I766" s="21" t="s">
        <x:v>1229</x:v>
      </x:c>
      <x:c r="J766" s="22">
        <x:v>0</x:v>
      </x:c>
      <x:c r="K766" s="22">
        <x:v>0</x:v>
      </x:c>
      <x:c r="L766" s="23">
        <x:v>0</x:v>
      </x:c>
    </x:row>
    <x:row r="767">
      <x:c r="A767" s="18" t="s">
        <x:v>1777</x:v>
      </x:c>
      <x:c r="B767" s="19" t="s">
        <x:v>1778</x:v>
      </x:c>
      <x:c r="C767" s="20">
        <x:v>70071900</x:v>
      </x:c>
      <x:c r="D767" s="20">
        <x:v>304.14999999999998</x:v>
      </x:c>
      <x:c r="E767" s="18" t="s">
        <x:v>227</x:v>
      </x:c>
      <x:c r="F767" s="19" t="s">
        <x:v>11</x:v>
      </x:c>
      <x:c r="G767" s="20">
        <x:v>0</x:v>
      </x:c>
      <x:c r="H767" s="21"/>
      <x:c r="I767" s="21" t="s">
        <x:v>1229</x:v>
      </x:c>
      <x:c r="J767" s="23">
        <x:v>2</x:v>
      </x:c>
      <x:c r="K767" s="23">
        <x:v>1049.2</x:v>
      </x:c>
      <x:c r="L767" s="23">
        <x:v>2</x:v>
      </x:c>
    </x:row>
    <x:row r="768">
      <x:c r="A768" s="18" t="s">
        <x:v>1779</x:v>
      </x:c>
      <x:c r="B768" s="19" t="s">
        <x:v>1780</x:v>
      </x:c>
      <x:c r="C768" s="20">
        <x:v>70071900</x:v>
      </x:c>
      <x:c r="D768" s="20">
        <x:v>234.59</x:v>
      </x:c>
      <x:c r="E768" s="18" t="s">
        <x:v>227</x:v>
      </x:c>
      <x:c r="F768" s="19" t="s">
        <x:v>11</x:v>
      </x:c>
      <x:c r="G768" s="20">
        <x:v>1440</x:v>
      </x:c>
      <x:c r="H768" s="21"/>
      <x:c r="I768" s="26" t="s">
        <x:v>1229</x:v>
      </x:c>
      <x:c r="J768" s="22">
        <x:v>0</x:v>
      </x:c>
      <x:c r="K768" s="22">
        <x:v>0</x:v>
      </x:c>
      <x:c r="L768" s="23">
        <x:v>0</x:v>
      </x:c>
    </x:row>
    <x:row r="769">
      <x:c r="A769" s="18" t="s">
        <x:v>1781</x:v>
      </x:c>
      <x:c r="B769" s="19" t="s">
        <x:v>1782</x:v>
      </x:c>
      <x:c r="C769" s="20">
        <x:v>70071900</x:v>
      </x:c>
      <x:c r="D769" s="20">
        <x:v>576.6</x:v>
      </x:c>
      <x:c r="E769" s="18" t="s">
        <x:v>227</x:v>
      </x:c>
      <x:c r="F769" s="19" t="s">
        <x:v>11</x:v>
      </x:c>
      <x:c r="G769" s="20">
        <x:v>0</x:v>
      </x:c>
      <x:c r="H769" s="21"/>
      <x:c r="I769" s="21" t="s">
        <x:v>1229</x:v>
      </x:c>
      <x:c r="J769" s="22">
        <x:v>0</x:v>
      </x:c>
      <x:c r="K769" s="22">
        <x:v>0</x:v>
      </x:c>
      <x:c r="L769" s="23">
        <x:v>0</x:v>
      </x:c>
    </x:row>
    <x:row r="770">
      <x:c r="A770" s="18" t="s">
        <x:v>1783</x:v>
      </x:c>
      <x:c r="B770" s="19" t="s">
        <x:v>1784</x:v>
      </x:c>
      <x:c r="C770" s="20">
        <x:v>70071900</x:v>
      </x:c>
      <x:c r="D770" s="20">
        <x:v>3796.59</x:v>
      </x:c>
      <x:c r="E770" s="18" t="s">
        <x:v>227</x:v>
      </x:c>
      <x:c r="F770" s="19" t="s">
        <x:v>11</x:v>
      </x:c>
      <x:c r="G770" s="20">
        <x:v>0</x:v>
      </x:c>
      <x:c r="H770" s="21"/>
      <x:c r="I770" s="21" t="s">
        <x:v>1229</x:v>
      </x:c>
      <x:c r="J770" s="22">
        <x:v>0</x:v>
      </x:c>
      <x:c r="K770" s="22">
        <x:v>0</x:v>
      </x:c>
      <x:c r="L770" s="23">
        <x:v>0</x:v>
      </x:c>
    </x:row>
    <x:row r="771">
      <x:c r="A771" s="18" t="s">
        <x:v>1785</x:v>
      </x:c>
      <x:c r="B771" s="19" t="s">
        <x:v>1786</x:v>
      </x:c>
      <x:c r="C771" s="20">
        <x:v>70071900</x:v>
      </x:c>
      <x:c r="D771" s="20">
        <x:v>14352.14</x:v>
      </x:c>
      <x:c r="E771" s="18" t="s">
        <x:v>227</x:v>
      </x:c>
      <x:c r="F771" s="19" t="s">
        <x:v>11</x:v>
      </x:c>
      <x:c r="G771" s="20">
        <x:v>0</x:v>
      </x:c>
      <x:c r="H771" s="21"/>
      <x:c r="I771" s="21" t="s">
        <x:v>1229</x:v>
      </x:c>
      <x:c r="J771" s="22">
        <x:v>0</x:v>
      </x:c>
      <x:c r="K771" s="22">
        <x:v>0</x:v>
      </x:c>
      <x:c r="L771" s="23">
        <x:v>0</x:v>
      </x:c>
    </x:row>
    <x:row r="772">
      <x:c r="A772" s="18" t="s">
        <x:v>1787</x:v>
      </x:c>
      <x:c r="B772" s="19" t="s">
        <x:v>1788</x:v>
      </x:c>
      <x:c r="C772" s="20">
        <x:v>70071900</x:v>
      </x:c>
      <x:c r="D772" s="20">
        <x:v>169.33</x:v>
      </x:c>
      <x:c r="E772" s="18" t="s">
        <x:v>227</x:v>
      </x:c>
      <x:c r="F772" s="19" t="s">
        <x:v>11</x:v>
      </x:c>
      <x:c r="G772" s="20">
        <x:v>510.88</x:v>
      </x:c>
      <x:c r="H772" s="21"/>
      <x:c r="I772" s="26" t="s">
        <x:v>1229</x:v>
      </x:c>
      <x:c r="J772" s="22">
        <x:v>0</x:v>
      </x:c>
      <x:c r="K772" s="22">
        <x:v>0</x:v>
      </x:c>
      <x:c r="L772" s="23">
        <x:v>0</x:v>
      </x:c>
    </x:row>
    <x:row r="773">
      <x:c r="A773" s="18" t="s">
        <x:v>1789</x:v>
      </x:c>
      <x:c r="B773" s="19" t="s">
        <x:v>1790</x:v>
      </x:c>
      <x:c r="C773" s="20">
        <x:v>70071900</x:v>
      </x:c>
      <x:c r="D773" s="20">
        <x:v>2318.54</x:v>
      </x:c>
      <x:c r="E773" s="18" t="s">
        <x:v>227</x:v>
      </x:c>
      <x:c r="F773" s="19" t="s">
        <x:v>11</x:v>
      </x:c>
      <x:c r="G773" s="20">
        <x:v>684.25</x:v>
      </x:c>
      <x:c r="H773" s="21"/>
      <x:c r="I773" s="26" t="s">
        <x:v>1234</x:v>
      </x:c>
      <x:c r="J773" s="22">
        <x:v>0</x:v>
      </x:c>
      <x:c r="K773" s="22">
        <x:v>0</x:v>
      </x:c>
      <x:c r="L773" s="23">
        <x:v>0</x:v>
      </x:c>
    </x:row>
    <x:row r="774">
      <x:c r="A774" s="18" t="s">
        <x:v>1791</x:v>
      </x:c>
      <x:c r="B774" s="19" t="s">
        <x:v>1792</x:v>
      </x:c>
      <x:c r="C774" s="20">
        <x:v>70071900</x:v>
      </x:c>
      <x:c r="D774" s="20">
        <x:v>1618.78</x:v>
      </x:c>
      <x:c r="E774" s="18" t="s">
        <x:v>227</x:v>
      </x:c>
      <x:c r="F774" s="19" t="s">
        <x:v>11</x:v>
      </x:c>
      <x:c r="G774" s="20">
        <x:v>340.92</x:v>
      </x:c>
      <x:c r="H774" s="21"/>
      <x:c r="I774" s="26" t="s">
        <x:v>1229</x:v>
      </x:c>
      <x:c r="J774" s="22">
        <x:v>0</x:v>
      </x:c>
      <x:c r="K774" s="22">
        <x:v>0</x:v>
      </x:c>
      <x:c r="L774" s="23">
        <x:v>0</x:v>
      </x:c>
    </x:row>
    <x:row r="775">
      <x:c r="A775" s="18" t="s">
        <x:v>1793</x:v>
      </x:c>
      <x:c r="B775" s="19" t="s">
        <x:v>1794</x:v>
      </x:c>
      <x:c r="C775" s="20">
        <x:v>70071900</x:v>
      </x:c>
      <x:c r="D775" s="20">
        <x:v>5363.86</x:v>
      </x:c>
      <x:c r="E775" s="18" t="s">
        <x:v>227</x:v>
      </x:c>
      <x:c r="F775" s="19" t="s">
        <x:v>11</x:v>
      </x:c>
      <x:c r="G775" s="20">
        <x:v>0</x:v>
      </x:c>
      <x:c r="H775" s="21"/>
      <x:c r="I775" s="21" t="s">
        <x:v>1229</x:v>
      </x:c>
      <x:c r="J775" s="22">
        <x:v>0</x:v>
      </x:c>
      <x:c r="K775" s="22">
        <x:v>0</x:v>
      </x:c>
      <x:c r="L775" s="23">
        <x:v>0</x:v>
      </x:c>
    </x:row>
    <x:row r="776">
      <x:c r="A776" s="18" t="s">
        <x:v>1795</x:v>
      </x:c>
      <x:c r="B776" s="19" t="s">
        <x:v>1796</x:v>
      </x:c>
      <x:c r="C776" s="20">
        <x:v>70071900</x:v>
      </x:c>
      <x:c r="D776" s="20">
        <x:v>3792.42</x:v>
      </x:c>
      <x:c r="E776" s="18" t="s">
        <x:v>227</x:v>
      </x:c>
      <x:c r="F776" s="19" t="s">
        <x:v>11</x:v>
      </x:c>
      <x:c r="G776" s="20">
        <x:v>0</x:v>
      </x:c>
      <x:c r="H776" s="21"/>
      <x:c r="I776" s="21" t="s">
        <x:v>1229</x:v>
      </x:c>
      <x:c r="J776" s="22">
        <x:v>0</x:v>
      </x:c>
      <x:c r="K776" s="22">
        <x:v>0</x:v>
      </x:c>
      <x:c r="L776" s="23">
        <x:v>0</x:v>
      </x:c>
    </x:row>
    <x:row r="777">
      <x:c r="A777" s="18" t="s">
        <x:v>1797</x:v>
      </x:c>
      <x:c r="B777" s="19" t="s">
        <x:v>1798</x:v>
      </x:c>
      <x:c r="C777" s="20">
        <x:v>70071900</x:v>
      </x:c>
      <x:c r="D777" s="20">
        <x:v>2817.5</x:v>
      </x:c>
      <x:c r="E777" s="18" t="s">
        <x:v>227</x:v>
      </x:c>
      <x:c r="F777" s="19" t="s">
        <x:v>11</x:v>
      </x:c>
      <x:c r="G777" s="20">
        <x:v>873.01</x:v>
      </x:c>
      <x:c r="H777" s="21"/>
      <x:c r="I777" s="26" t="s">
        <x:v>1229</x:v>
      </x:c>
      <x:c r="J777" s="22">
        <x:v>0</x:v>
      </x:c>
      <x:c r="K777" s="22">
        <x:v>0</x:v>
      </x:c>
      <x:c r="L777" s="23">
        <x:v>0</x:v>
      </x:c>
    </x:row>
    <x:row r="778">
      <x:c r="A778" s="18" t="s">
        <x:v>1799</x:v>
      </x:c>
      <x:c r="B778" s="19" t="s">
        <x:v>1800</x:v>
      </x:c>
      <x:c r="C778" s="20">
        <x:v>70071900</x:v>
      </x:c>
      <x:c r="D778" s="20">
        <x:v>2707.5</x:v>
      </x:c>
      <x:c r="E778" s="18" t="s">
        <x:v>227</x:v>
      </x:c>
      <x:c r="F778" s="19" t="s">
        <x:v>11</x:v>
      </x:c>
      <x:c r="G778" s="20">
        <x:v>362.32</x:v>
      </x:c>
      <x:c r="H778" s="21"/>
      <x:c r="I778" s="26" t="s">
        <x:v>1234</x:v>
      </x:c>
      <x:c r="J778" s="22">
        <x:v>0</x:v>
      </x:c>
      <x:c r="K778" s="22">
        <x:v>0</x:v>
      </x:c>
      <x:c r="L778" s="23">
        <x:v>0</x:v>
      </x:c>
    </x:row>
    <x:row r="779">
      <x:c r="A779" s="18" t="s">
        <x:v>1801</x:v>
      </x:c>
      <x:c r="B779" s="19" t="s">
        <x:v>1802</x:v>
      </x:c>
      <x:c r="C779" s="20">
        <x:v>70071900</x:v>
      </x:c>
      <x:c r="D779" s="20">
        <x:v>3787.5</x:v>
      </x:c>
      <x:c r="E779" s="18" t="s">
        <x:v>227</x:v>
      </x:c>
      <x:c r="F779" s="19" t="s">
        <x:v>11</x:v>
      </x:c>
      <x:c r="G779" s="20">
        <x:v>374.96</x:v>
      </x:c>
      <x:c r="H779" s="21"/>
      <x:c r="I779" s="26" t="s">
        <x:v>1234</x:v>
      </x:c>
      <x:c r="J779" s="22">
        <x:v>0</x:v>
      </x:c>
      <x:c r="K779" s="22">
        <x:v>0</x:v>
      </x:c>
      <x:c r="L779" s="23">
        <x:v>0</x:v>
      </x:c>
    </x:row>
    <x:row r="780">
      <x:c r="A780" s="18" t="s">
        <x:v>1803</x:v>
      </x:c>
      <x:c r="B780" s="19" t="s">
        <x:v>1804</x:v>
      </x:c>
      <x:c r="C780" s="20">
        <x:v>70071900</x:v>
      </x:c>
      <x:c r="D780" s="20">
        <x:v>430.85</x:v>
      </x:c>
      <x:c r="E780" s="18" t="s">
        <x:v>227</x:v>
      </x:c>
      <x:c r="F780" s="19" t="s">
        <x:v>11</x:v>
      </x:c>
      <x:c r="G780" s="20">
        <x:v>437.88</x:v>
      </x:c>
      <x:c r="H780" s="21"/>
      <x:c r="I780" s="26" t="s">
        <x:v>1229</x:v>
      </x:c>
      <x:c r="J780" s="22">
        <x:v>0</x:v>
      </x:c>
      <x:c r="K780" s="22">
        <x:v>0</x:v>
      </x:c>
      <x:c r="L780" s="23">
        <x:v>0</x:v>
      </x:c>
    </x:row>
    <x:row r="781">
      <x:c r="A781" s="18" t="s">
        <x:v>1805</x:v>
      </x:c>
      <x:c r="B781" s="19" t="s">
        <x:v>1806</x:v>
      </x:c>
      <x:c r="C781" s="20">
        <x:v>70071900</x:v>
      </x:c>
      <x:c r="D781" s="20">
        <x:v>454.06</x:v>
      </x:c>
      <x:c r="E781" s="18" t="s">
        <x:v>227</x:v>
      </x:c>
      <x:c r="F781" s="19" t="s">
        <x:v>11</x:v>
      </x:c>
      <x:c r="G781" s="20">
        <x:v>0</x:v>
      </x:c>
      <x:c r="H781" s="21"/>
      <x:c r="I781" s="21" t="s">
        <x:v>1229</x:v>
      </x:c>
      <x:c r="J781" s="22">
        <x:v>0</x:v>
      </x:c>
      <x:c r="K781" s="22">
        <x:v>0</x:v>
      </x:c>
      <x:c r="L781" s="23">
        <x:v>0</x:v>
      </x:c>
    </x:row>
    <x:row r="782">
      <x:c r="A782" s="18" t="s">
        <x:v>1807</x:v>
      </x:c>
      <x:c r="B782" s="19" t="s">
        <x:v>1808</x:v>
      </x:c>
      <x:c r="C782" s="20">
        <x:v>70071900</x:v>
      </x:c>
      <x:c r="D782" s="20">
        <x:v>340.92</x:v>
      </x:c>
      <x:c r="E782" s="18" t="s">
        <x:v>227</x:v>
      </x:c>
      <x:c r="F782" s="19" t="s">
        <x:v>11</x:v>
      </x:c>
      <x:c r="G782" s="20">
        <x:v>404.5</x:v>
      </x:c>
      <x:c r="H782" s="21"/>
      <x:c r="I782" s="26" t="s">
        <x:v>1229</x:v>
      </x:c>
      <x:c r="J782" s="22">
        <x:v>0</x:v>
      </x:c>
      <x:c r="K782" s="22">
        <x:v>0</x:v>
      </x:c>
      <x:c r="L782" s="23">
        <x:v>0</x:v>
      </x:c>
    </x:row>
    <x:row r="783">
      <x:c r="A783" s="18" t="s">
        <x:v>1809</x:v>
      </x:c>
      <x:c r="B783" s="19" t="s">
        <x:v>1810</x:v>
      </x:c>
      <x:c r="C783" s="20">
        <x:v>70071900</x:v>
      </x:c>
      <x:c r="D783" s="20">
        <x:v>407.25</x:v>
      </x:c>
      <x:c r="E783" s="18" t="s">
        <x:v>227</x:v>
      </x:c>
      <x:c r="F783" s="19" t="s">
        <x:v>11</x:v>
      </x:c>
      <x:c r="G783" s="20">
        <x:v>406.77</x:v>
      </x:c>
      <x:c r="H783" s="21"/>
      <x:c r="I783" s="26" t="s">
        <x:v>1234</x:v>
      </x:c>
      <x:c r="J783" s="22">
        <x:v>0</x:v>
      </x:c>
      <x:c r="K783" s="22">
        <x:v>0</x:v>
      </x:c>
      <x:c r="L783" s="23">
        <x:v>0</x:v>
      </x:c>
    </x:row>
    <x:row r="784">
      <x:c r="A784" s="18" t="s">
        <x:v>1811</x:v>
      </x:c>
      <x:c r="B784" s="19" t="s">
        <x:v>1812</x:v>
      </x:c>
      <x:c r="C784" s="20">
        <x:v>70071900</x:v>
      </x:c>
      <x:c r="D784" s="20">
        <x:v>381.16</x:v>
      </x:c>
      <x:c r="E784" s="18" t="s">
        <x:v>227</x:v>
      </x:c>
      <x:c r="F784" s="19" t="s">
        <x:v>11</x:v>
      </x:c>
      <x:c r="G784" s="20">
        <x:v>438.97</x:v>
      </x:c>
      <x:c r="H784" s="21"/>
      <x:c r="I784" s="26" t="s">
        <x:v>1229</x:v>
      </x:c>
      <x:c r="J784" s="22">
        <x:v>0</x:v>
      </x:c>
      <x:c r="K784" s="22">
        <x:v>0</x:v>
      </x:c>
      <x:c r="L784" s="23">
        <x:v>0</x:v>
      </x:c>
    </x:row>
    <x:row r="785">
      <x:c r="A785" s="18" t="s">
        <x:v>1813</x:v>
      </x:c>
      <x:c r="B785" s="19" t="s">
        <x:v>1814</x:v>
      </x:c>
      <x:c r="C785" s="20">
        <x:v>70071900</x:v>
      </x:c>
      <x:c r="D785" s="20">
        <x:v>438.97</x:v>
      </x:c>
      <x:c r="E785" s="18" t="s">
        <x:v>227</x:v>
      </x:c>
      <x:c r="F785" s="19" t="s">
        <x:v>11</x:v>
      </x:c>
      <x:c r="G785" s="20">
        <x:v>460.63</x:v>
      </x:c>
      <x:c r="H785" s="21"/>
      <x:c r="I785" s="26" t="s">
        <x:v>1234</x:v>
      </x:c>
      <x:c r="J785" s="22">
        <x:v>0</x:v>
      </x:c>
      <x:c r="K785" s="22">
        <x:v>0</x:v>
      </x:c>
      <x:c r="L785" s="23">
        <x:v>0</x:v>
      </x:c>
    </x:row>
    <x:row r="786">
      <x:c r="A786" s="18" t="s">
        <x:v>1815</x:v>
      </x:c>
      <x:c r="B786" s="19" t="s">
        <x:v>1816</x:v>
      </x:c>
      <x:c r="C786" s="20">
        <x:v>70071900</x:v>
      </x:c>
      <x:c r="D786" s="20">
        <x:v>384.42</x:v>
      </x:c>
      <x:c r="E786" s="18" t="s">
        <x:v>227</x:v>
      </x:c>
      <x:c r="F786" s="19" t="s">
        <x:v>11</x:v>
      </x:c>
      <x:c r="G786" s="20">
        <x:v>234.59</x:v>
      </x:c>
      <x:c r="H786" s="21"/>
      <x:c r="I786" s="26" t="s">
        <x:v>1234</x:v>
      </x:c>
      <x:c r="J786" s="22">
        <x:v>0</x:v>
      </x:c>
      <x:c r="K786" s="22">
        <x:v>0</x:v>
      </x:c>
      <x:c r="L786" s="23">
        <x:v>0</x:v>
      </x:c>
    </x:row>
    <x:row r="787">
      <x:c r="A787" s="18" t="s">
        <x:v>1817</x:v>
      </x:c>
      <x:c r="B787" s="19" t="s">
        <x:v>1818</x:v>
      </x:c>
      <x:c r="C787" s="20">
        <x:v>70071900</x:v>
      </x:c>
      <x:c r="D787" s="20">
        <x:v>2462.25</x:v>
      </x:c>
      <x:c r="E787" s="18" t="s">
        <x:v>227</x:v>
      </x:c>
      <x:c r="F787" s="19" t="s">
        <x:v>11</x:v>
      </x:c>
      <x:c r="G787" s="20">
        <x:v>504.47</x:v>
      </x:c>
      <x:c r="H787" s="21"/>
      <x:c r="I787" s="26" t="s">
        <x:v>1234</x:v>
      </x:c>
      <x:c r="J787" s="22">
        <x:v>0</x:v>
      </x:c>
      <x:c r="K787" s="22">
        <x:v>0</x:v>
      </x:c>
      <x:c r="L787" s="23">
        <x:v>0</x:v>
      </x:c>
    </x:row>
    <x:row r="788">
      <x:c r="A788" s="18" t="s">
        <x:v>1819</x:v>
      </x:c>
      <x:c r="B788" s="19" t="s">
        <x:v>1820</x:v>
      </x:c>
      <x:c r="C788" s="20">
        <x:v>70071900</x:v>
      </x:c>
      <x:c r="D788" s="20">
        <x:v>7.8</x:v>
      </x:c>
      <x:c r="E788" s="18" t="s">
        <x:v>227</x:v>
      </x:c>
      <x:c r="F788" s="19" t="s">
        <x:v>11</x:v>
      </x:c>
      <x:c r="G788" s="20">
        <x:v>0</x:v>
      </x:c>
      <x:c r="H788" s="20">
        <x:v>0</x:v>
      </x:c>
      <x:c r="I788" s="21" t="s">
        <x:v>1229</x:v>
      </x:c>
      <x:c r="J788" s="22">
        <x:v>0</x:v>
      </x:c>
      <x:c r="K788" s="22">
        <x:v>0</x:v>
      </x:c>
      <x:c r="L788" s="23">
        <x:v>0</x:v>
      </x:c>
    </x:row>
    <x:row r="789">
      <x:c r="A789" s="18" t="s">
        <x:v>1821</x:v>
      </x:c>
      <x:c r="B789" s="19" t="s">
        <x:v>1822</x:v>
      </x:c>
      <x:c r="C789" s="20">
        <x:v>70071900</x:v>
      </x:c>
      <x:c r="D789" s="20">
        <x:v>374.78</x:v>
      </x:c>
      <x:c r="E789" s="18" t="s">
        <x:v>227</x:v>
      </x:c>
      <x:c r="F789" s="19" t="s">
        <x:v>11</x:v>
      </x:c>
      <x:c r="G789" s="20">
        <x:v>381.16</x:v>
      </x:c>
      <x:c r="H789" s="21"/>
      <x:c r="I789" s="26" t="s">
        <x:v>1229</x:v>
      </x:c>
      <x:c r="J789" s="22">
        <x:v>0</x:v>
      </x:c>
      <x:c r="K789" s="22">
        <x:v>0</x:v>
      </x:c>
      <x:c r="L789" s="23">
        <x:v>0</x:v>
      </x:c>
    </x:row>
    <x:row r="790">
      <x:c r="A790" s="18" t="s">
        <x:v>1823</x:v>
      </x:c>
      <x:c r="B790" s="19" t="s">
        <x:v>1824</x:v>
      </x:c>
      <x:c r="C790" s="20">
        <x:v>70071900</x:v>
      </x:c>
      <x:c r="D790" s="20">
        <x:v>329.57</x:v>
      </x:c>
      <x:c r="E790" s="18" t="s">
        <x:v>227</x:v>
      </x:c>
      <x:c r="F790" s="19" t="s">
        <x:v>11</x:v>
      </x:c>
      <x:c r="G790" s="20">
        <x:v>465</x:v>
      </x:c>
      <x:c r="H790" s="21"/>
      <x:c r="I790" s="26" t="s">
        <x:v>1229</x:v>
      </x:c>
      <x:c r="J790" s="22">
        <x:v>0</x:v>
      </x:c>
      <x:c r="K790" s="22">
        <x:v>0</x:v>
      </x:c>
      <x:c r="L790" s="23">
        <x:v>0</x:v>
      </x:c>
    </x:row>
    <x:row r="791">
      <x:c r="A791" s="18" t="s">
        <x:v>1825</x:v>
      </x:c>
      <x:c r="B791" s="19" t="s">
        <x:v>1826</x:v>
      </x:c>
      <x:c r="C791" s="20">
        <x:v>70071900</x:v>
      </x:c>
      <x:c r="D791" s="20">
        <x:v>3213.13</x:v>
      </x:c>
      <x:c r="E791" s="18" t="s">
        <x:v>227</x:v>
      </x:c>
      <x:c r="F791" s="19" t="s">
        <x:v>11</x:v>
      </x:c>
      <x:c r="G791" s="20">
        <x:v>464.85</x:v>
      </x:c>
      <x:c r="H791" s="21"/>
      <x:c r="I791" s="26" t="s">
        <x:v>1229</x:v>
      </x:c>
      <x:c r="J791" s="22">
        <x:v>0</x:v>
      </x:c>
      <x:c r="K791" s="22">
        <x:v>0</x:v>
      </x:c>
      <x:c r="L791" s="23">
        <x:v>0</x:v>
      </x:c>
    </x:row>
    <x:row r="792">
      <x:c r="A792" s="18" t="s">
        <x:v>1827</x:v>
      </x:c>
      <x:c r="B792" s="19" t="s">
        <x:v>1828</x:v>
      </x:c>
      <x:c r="C792" s="20">
        <x:v>70071900</x:v>
      </x:c>
      <x:c r="D792" s="20">
        <x:v>2123.42</x:v>
      </x:c>
      <x:c r="E792" s="18" t="s">
        <x:v>227</x:v>
      </x:c>
      <x:c r="F792" s="19" t="s">
        <x:v>11</x:v>
      </x:c>
      <x:c r="G792" s="20">
        <x:v>465.93</x:v>
      </x:c>
      <x:c r="H792" s="21"/>
      <x:c r="I792" s="26" t="s">
        <x:v>1234</x:v>
      </x:c>
      <x:c r="J792" s="22">
        <x:v>0</x:v>
      </x:c>
      <x:c r="K792" s="22">
        <x:v>0</x:v>
      </x:c>
      <x:c r="L792" s="23">
        <x:v>0</x:v>
      </x:c>
    </x:row>
    <x:row r="793">
      <x:c r="A793" s="18" t="s">
        <x:v>1829</x:v>
      </x:c>
      <x:c r="B793" s="19" t="s">
        <x:v>1830</x:v>
      </x:c>
      <x:c r="C793" s="20">
        <x:v>70071900</x:v>
      </x:c>
      <x:c r="D793" s="20">
        <x:v>873.01</x:v>
      </x:c>
      <x:c r="E793" s="18" t="s">
        <x:v>227</x:v>
      </x:c>
      <x:c r="F793" s="19" t="s">
        <x:v>11</x:v>
      </x:c>
      <x:c r="G793" s="20">
        <x:v>470.12</x:v>
      </x:c>
      <x:c r="H793" s="21"/>
      <x:c r="I793" s="26" t="s">
        <x:v>1229</x:v>
      </x:c>
      <x:c r="J793" s="22">
        <x:v>0</x:v>
      </x:c>
      <x:c r="K793" s="22">
        <x:v>0</x:v>
      </x:c>
      <x:c r="L793" s="23">
        <x:v>2</x:v>
      </x:c>
    </x:row>
    <x:row r="794">
      <x:c r="A794" s="18" t="s">
        <x:v>1831</x:v>
      </x:c>
      <x:c r="B794" s="19" t="s">
        <x:v>1832</x:v>
      </x:c>
      <x:c r="C794" s="20">
        <x:v>70071900</x:v>
      </x:c>
      <x:c r="D794" s="20">
        <x:v>715.49</x:v>
      </x:c>
      <x:c r="E794" s="18" t="s">
        <x:v>227</x:v>
      </x:c>
      <x:c r="F794" s="19" t="s">
        <x:v>11</x:v>
      </x:c>
      <x:c r="G794" s="20">
        <x:v>423.98</x:v>
      </x:c>
      <x:c r="H794" s="21"/>
      <x:c r="I794" s="26" t="s">
        <x:v>1234</x:v>
      </x:c>
      <x:c r="J794" s="22">
        <x:v>0</x:v>
      </x:c>
      <x:c r="K794" s="22">
        <x:v>0</x:v>
      </x:c>
      <x:c r="L794" s="23">
        <x:v>0</x:v>
      </x:c>
    </x:row>
    <x:row r="795">
      <x:c r="A795" s="18" t="s">
        <x:v>1833</x:v>
      </x:c>
      <x:c r="B795" s="19" t="s">
        <x:v>1834</x:v>
      </x:c>
      <x:c r="C795" s="20">
        <x:v>70071900</x:v>
      </x:c>
      <x:c r="D795" s="20">
        <x:v>4878.2</x:v>
      </x:c>
      <x:c r="E795" s="18" t="s">
        <x:v>227</x:v>
      </x:c>
      <x:c r="F795" s="19" t="s">
        <x:v>11</x:v>
      </x:c>
      <x:c r="G795" s="20">
        <x:v>472.29</x:v>
      </x:c>
      <x:c r="H795" s="21"/>
      <x:c r="I795" s="26" t="s">
        <x:v>1229</x:v>
      </x:c>
      <x:c r="J795" s="22">
        <x:v>0</x:v>
      </x:c>
      <x:c r="K795" s="22">
        <x:v>0</x:v>
      </x:c>
      <x:c r="L795" s="23">
        <x:v>0</x:v>
      </x:c>
    </x:row>
    <x:row r="796">
      <x:c r="A796" s="18" t="s">
        <x:v>1835</x:v>
      </x:c>
      <x:c r="B796" s="19" t="s">
        <x:v>1836</x:v>
      </x:c>
      <x:c r="C796" s="20">
        <x:v>70071900</x:v>
      </x:c>
      <x:c r="D796" s="20">
        <x:v>2496.71</x:v>
      </x:c>
      <x:c r="E796" s="18" t="s">
        <x:v>227</x:v>
      </x:c>
      <x:c r="F796" s="19" t="s">
        <x:v>11</x:v>
      </x:c>
      <x:c r="G796" s="20">
        <x:v>877.06</x:v>
      </x:c>
      <x:c r="H796" s="21"/>
      <x:c r="I796" s="26" t="s">
        <x:v>1234</x:v>
      </x:c>
      <x:c r="J796" s="22">
        <x:v>0</x:v>
      </x:c>
      <x:c r="K796" s="22">
        <x:v>0</x:v>
      </x:c>
      <x:c r="L796" s="23">
        <x:v>0</x:v>
      </x:c>
    </x:row>
    <x:row r="797">
      <x:c r="A797" s="18" t="s">
        <x:v>1837</x:v>
      </x:c>
      <x:c r="B797" s="19" t="s">
        <x:v>1838</x:v>
      </x:c>
      <x:c r="C797" s="20">
        <x:v>70071900</x:v>
      </x:c>
      <x:c r="D797" s="20">
        <x:v>2708</x:v>
      </x:c>
      <x:c r="E797" s="18" t="s">
        <x:v>227</x:v>
      </x:c>
      <x:c r="F797" s="19" t="s">
        <x:v>11</x:v>
      </x:c>
      <x:c r="G797" s="20">
        <x:v>1883</x:v>
      </x:c>
      <x:c r="H797" s="21"/>
      <x:c r="I797" s="26" t="s">
        <x:v>1229</x:v>
      </x:c>
      <x:c r="J797" s="22">
        <x:v>0</x:v>
      </x:c>
      <x:c r="K797" s="22">
        <x:v>0</x:v>
      </x:c>
      <x:c r="L797" s="23">
        <x:v>0</x:v>
      </x:c>
    </x:row>
    <x:row r="798">
      <x:c r="A798" s="18" t="s">
        <x:v>1839</x:v>
      </x:c>
      <x:c r="B798" s="19" t="s">
        <x:v>1840</x:v>
      </x:c>
      <x:c r="C798" s="20">
        <x:v>70071900</x:v>
      </x:c>
      <x:c r="D798" s="20">
        <x:v>862.5</x:v>
      </x:c>
      <x:c r="E798" s="18" t="s">
        <x:v>227</x:v>
      </x:c>
      <x:c r="F798" s="19" t="s">
        <x:v>11</x:v>
      </x:c>
      <x:c r="G798" s="20">
        <x:v>809.68</x:v>
      </x:c>
      <x:c r="H798" s="21"/>
      <x:c r="I798" s="26" t="s">
        <x:v>1229</x:v>
      </x:c>
      <x:c r="J798" s="22">
        <x:v>0</x:v>
      </x:c>
      <x:c r="K798" s="22">
        <x:v>0</x:v>
      </x:c>
      <x:c r="L798" s="23">
        <x:v>0</x:v>
      </x:c>
    </x:row>
    <x:row r="799">
      <x:c r="A799" s="18" t="s">
        <x:v>1841</x:v>
      </x:c>
      <x:c r="B799" s="19" t="s">
        <x:v>1842</x:v>
      </x:c>
      <x:c r="C799" s="20">
        <x:v>70071900</x:v>
      </x:c>
      <x:c r="D799" s="20">
        <x:v>1675</x:v>
      </x:c>
      <x:c r="E799" s="18" t="s">
        <x:v>227</x:v>
      </x:c>
      <x:c r="F799" s="19" t="s">
        <x:v>11</x:v>
      </x:c>
      <x:c r="G799" s="20">
        <x:v>882.04</x:v>
      </x:c>
      <x:c r="H799" s="20">
        <x:v>10</x:v>
      </x:c>
      <x:c r="I799" s="26" t="s">
        <x:v>1234</x:v>
      </x:c>
      <x:c r="J799" s="22">
        <x:v>0</x:v>
      </x:c>
      <x:c r="K799" s="22">
        <x:v>0</x:v>
      </x:c>
      <x:c r="L799" s="23">
        <x:v>0</x:v>
      </x:c>
    </x:row>
    <x:row r="800">
      <x:c r="A800" s="18" t="s">
        <x:v>1843</x:v>
      </x:c>
      <x:c r="B800" s="19" t="s">
        <x:v>1844</x:v>
      </x:c>
      <x:c r="C800" s="20">
        <x:v>70071900</x:v>
      </x:c>
      <x:c r="D800" s="20">
        <x:v>875</x:v>
      </x:c>
      <x:c r="E800" s="18" t="s">
        <x:v>227</x:v>
      </x:c>
      <x:c r="F800" s="19" t="s">
        <x:v>11</x:v>
      </x:c>
      <x:c r="G800" s="20">
        <x:v>0</x:v>
      </x:c>
      <x:c r="H800" s="20">
        <x:v>10</x:v>
      </x:c>
      <x:c r="I800" s="21" t="s">
        <x:v>1229</x:v>
      </x:c>
      <x:c r="J800" s="22">
        <x:v>0</x:v>
      </x:c>
      <x:c r="K800" s="22">
        <x:v>0</x:v>
      </x:c>
      <x:c r="L800" s="23">
        <x:v>0</x:v>
      </x:c>
    </x:row>
    <x:row r="801">
      <x:c r="A801" s="18" t="s">
        <x:v>1845</x:v>
      </x:c>
      <x:c r="B801" s="19" t="s">
        <x:v>1846</x:v>
      </x:c>
      <x:c r="C801" s="20">
        <x:v>70071900</x:v>
      </x:c>
      <x:c r="D801" s="20">
        <x:v>875</x:v>
      </x:c>
      <x:c r="E801" s="18" t="s">
        <x:v>227</x:v>
      </x:c>
      <x:c r="F801" s="19" t="s">
        <x:v>11</x:v>
      </x:c>
      <x:c r="G801" s="20">
        <x:v>675.56</x:v>
      </x:c>
      <x:c r="H801" s="20">
        <x:v>10</x:v>
      </x:c>
      <x:c r="I801" s="26" t="s">
        <x:v>1229</x:v>
      </x:c>
      <x:c r="J801" s="22">
        <x:v>0</x:v>
      </x:c>
      <x:c r="K801" s="22">
        <x:v>0</x:v>
      </x:c>
      <x:c r="L801" s="23">
        <x:v>0</x:v>
      </x:c>
    </x:row>
    <x:row r="802">
      <x:c r="A802" s="18" t="s">
        <x:v>1847</x:v>
      </x:c>
      <x:c r="B802" s="19" t="s">
        <x:v>1848</x:v>
      </x:c>
      <x:c r="C802" s="20">
        <x:v>70071900</x:v>
      </x:c>
      <x:c r="D802" s="20">
        <x:v>1966</x:v>
      </x:c>
      <x:c r="E802" s="18" t="s">
        <x:v>227</x:v>
      </x:c>
      <x:c r="F802" s="19" t="s">
        <x:v>11</x:v>
      </x:c>
      <x:c r="G802" s="20">
        <x:v>1384</x:v>
      </x:c>
      <x:c r="H802" s="20">
        <x:v>10</x:v>
      </x:c>
      <x:c r="I802" s="26" t="s">
        <x:v>1229</x:v>
      </x:c>
      <x:c r="J802" s="22">
        <x:v>0</x:v>
      </x:c>
      <x:c r="K802" s="22">
        <x:v>0</x:v>
      </x:c>
      <x:c r="L802" s="23">
        <x:v>0</x:v>
      </x:c>
    </x:row>
    <x:row r="803">
      <x:c r="A803" s="18" t="s">
        <x:v>1849</x:v>
      </x:c>
      <x:c r="B803" s="19" t="s">
        <x:v>1850</x:v>
      </x:c>
      <x:c r="C803" s="20">
        <x:v>70071900</x:v>
      </x:c>
      <x:c r="D803" s="20">
        <x:v>1998</x:v>
      </x:c>
      <x:c r="E803" s="18" t="s">
        <x:v>227</x:v>
      </x:c>
      <x:c r="F803" s="19" t="s">
        <x:v>11</x:v>
      </x:c>
      <x:c r="G803" s="20">
        <x:v>980.79</x:v>
      </x:c>
      <x:c r="H803" s="20">
        <x:v>10</x:v>
      </x:c>
      <x:c r="I803" s="26" t="s">
        <x:v>1229</x:v>
      </x:c>
      <x:c r="J803" s="22">
        <x:v>0</x:v>
      </x:c>
      <x:c r="K803" s="22">
        <x:v>0</x:v>
      </x:c>
      <x:c r="L803" s="23">
        <x:v>0</x:v>
      </x:c>
    </x:row>
    <x:row r="804">
      <x:c r="A804" s="18" t="s">
        <x:v>1851</x:v>
      </x:c>
      <x:c r="B804" s="19" t="s">
        <x:v>1852</x:v>
      </x:c>
      <x:c r="C804" s="20">
        <x:v>70071900</x:v>
      </x:c>
      <x:c r="D804" s="20">
        <x:v>1475</x:v>
      </x:c>
      <x:c r="E804" s="18" t="s">
        <x:v>227</x:v>
      </x:c>
      <x:c r="F804" s="19" t="s">
        <x:v>11</x:v>
      </x:c>
      <x:c r="G804" s="20">
        <x:v>482.98</x:v>
      </x:c>
      <x:c r="H804" s="20">
        <x:v>10</x:v>
      </x:c>
      <x:c r="I804" s="26" t="s">
        <x:v>1229</x:v>
      </x:c>
      <x:c r="J804" s="22">
        <x:v>0</x:v>
      </x:c>
      <x:c r="K804" s="22">
        <x:v>0</x:v>
      </x:c>
      <x:c r="L804" s="23">
        <x:v>0</x:v>
      </x:c>
    </x:row>
    <x:row r="805">
      <x:c r="A805" s="18" t="s">
        <x:v>1853</x:v>
      </x:c>
      <x:c r="B805" s="19" t="s">
        <x:v>1854</x:v>
      </x:c>
      <x:c r="C805" s="20">
        <x:v>70071900</x:v>
      </x:c>
      <x:c r="D805" s="20">
        <x:v>3400</x:v>
      </x:c>
      <x:c r="E805" s="18" t="s">
        <x:v>227</x:v>
      </x:c>
      <x:c r="F805" s="19" t="s">
        <x:v>11</x:v>
      </x:c>
      <x:c r="G805" s="20">
        <x:v>491.81</x:v>
      </x:c>
      <x:c r="H805" s="20">
        <x:v>10</x:v>
      </x:c>
      <x:c r="I805" s="26" t="s">
        <x:v>1229</x:v>
      </x:c>
      <x:c r="J805" s="22">
        <x:v>0</x:v>
      </x:c>
      <x:c r="K805" s="22">
        <x:v>0</x:v>
      </x:c>
      <x:c r="L805" s="23">
        <x:v>0</x:v>
      </x:c>
    </x:row>
    <x:row r="806">
      <x:c r="A806" s="18" t="s">
        <x:v>1855</x:v>
      </x:c>
      <x:c r="B806" s="19" t="s">
        <x:v>1856</x:v>
      </x:c>
      <x:c r="C806" s="20">
        <x:v>70071900</x:v>
      </x:c>
      <x:c r="D806" s="20">
        <x:v>3285.98</x:v>
      </x:c>
      <x:c r="E806" s="18" t="s">
        <x:v>227</x:v>
      </x:c>
      <x:c r="F806" s="19" t="s">
        <x:v>11</x:v>
      </x:c>
      <x:c r="G806" s="20">
        <x:v>0</x:v>
      </x:c>
      <x:c r="H806" s="21"/>
      <x:c r="I806" s="21" t="s">
        <x:v>1229</x:v>
      </x:c>
      <x:c r="J806" s="22">
        <x:v>0</x:v>
      </x:c>
      <x:c r="K806" s="22">
        <x:v>0</x:v>
      </x:c>
      <x:c r="L806" s="23">
        <x:v>0</x:v>
      </x:c>
    </x:row>
    <x:row r="807">
      <x:c r="A807" s="18" t="s">
        <x:v>1857</x:v>
      </x:c>
      <x:c r="B807" s="19" t="s">
        <x:v>1858</x:v>
      </x:c>
      <x:c r="C807" s="20">
        <x:v>70071900</x:v>
      </x:c>
      <x:c r="D807" s="20">
        <x:v>2403.16</x:v>
      </x:c>
      <x:c r="E807" s="18" t="s">
        <x:v>227</x:v>
      </x:c>
      <x:c r="F807" s="19" t="s">
        <x:v>11</x:v>
      </x:c>
      <x:c r="G807" s="20">
        <x:v>456.87</x:v>
      </x:c>
      <x:c r="H807" s="21"/>
      <x:c r="I807" s="26" t="s">
        <x:v>1234</x:v>
      </x:c>
      <x:c r="J807" s="22">
        <x:v>0</x:v>
      </x:c>
      <x:c r="K807" s="22">
        <x:v>0</x:v>
      </x:c>
      <x:c r="L807" s="23">
        <x:v>0</x:v>
      </x:c>
    </x:row>
    <x:row r="808">
      <x:c r="A808" s="18" t="s">
        <x:v>1859</x:v>
      </x:c>
      <x:c r="B808" s="19" t="s">
        <x:v>1860</x:v>
      </x:c>
      <x:c r="C808" s="20">
        <x:v>70071900</x:v>
      </x:c>
      <x:c r="D808" s="20">
        <x:v>1201.5899999999999</x:v>
      </x:c>
      <x:c r="E808" s="18" t="s">
        <x:v>227</x:v>
      </x:c>
      <x:c r="F808" s="19" t="s">
        <x:v>11</x:v>
      </x:c>
      <x:c r="G808" s="20">
        <x:v>821.66</x:v>
      </x:c>
      <x:c r="H808" s="21"/>
      <x:c r="I808" s="26" t="s">
        <x:v>1229</x:v>
      </x:c>
      <x:c r="J808" s="22">
        <x:v>0</x:v>
      </x:c>
      <x:c r="K808" s="22">
        <x:v>0</x:v>
      </x:c>
      <x:c r="L808" s="23">
        <x:v>0</x:v>
      </x:c>
    </x:row>
    <x:row r="809">
      <x:c r="A809" s="18" t="s">
        <x:v>1861</x:v>
      </x:c>
      <x:c r="B809" s="19" t="s">
        <x:v>1862</x:v>
      </x:c>
      <x:c r="C809" s="20">
        <x:v>70071900</x:v>
      </x:c>
      <x:c r="D809" s="20">
        <x:v>4020.75</x:v>
      </x:c>
      <x:c r="E809" s="18" t="s">
        <x:v>227</x:v>
      </x:c>
      <x:c r="F809" s="19" t="s">
        <x:v>11</x:v>
      </x:c>
      <x:c r="G809" s="20">
        <x:v>492.89</x:v>
      </x:c>
      <x:c r="H809" s="21"/>
      <x:c r="I809" s="26" t="s">
        <x:v>1234</x:v>
      </x:c>
      <x:c r="J809" s="22">
        <x:v>0</x:v>
      </x:c>
      <x:c r="K809" s="22">
        <x:v>0</x:v>
      </x:c>
      <x:c r="L809" s="23">
        <x:v>0</x:v>
      </x:c>
    </x:row>
    <x:row r="810">
      <x:c r="A810" s="18" t="s">
        <x:v>1863</x:v>
      </x:c>
      <x:c r="B810" s="19" t="s">
        <x:v>1864</x:v>
      </x:c>
      <x:c r="C810" s="20">
        <x:v>70071900</x:v>
      </x:c>
      <x:c r="D810" s="20">
        <x:v>80.010000000000005</x:v>
      </x:c>
      <x:c r="E810" s="18" t="s">
        <x:v>227</x:v>
      </x:c>
      <x:c r="F810" s="19" t="s">
        <x:v>11</x:v>
      </x:c>
      <x:c r="G810" s="20">
        <x:v>497.32</x:v>
      </x:c>
      <x:c r="H810" s="21"/>
      <x:c r="I810" s="26" t="s">
        <x:v>1229</x:v>
      </x:c>
      <x:c r="J810" s="22">
        <x:v>0</x:v>
      </x:c>
      <x:c r="K810" s="22">
        <x:v>0</x:v>
      </x:c>
      <x:c r="L810" s="23">
        <x:v>0</x:v>
      </x:c>
    </x:row>
    <x:row r="811">
      <x:c r="A811" s="18" t="s">
        <x:v>1865</x:v>
      </x:c>
      <x:c r="B811" s="19" t="s">
        <x:v>1866</x:v>
      </x:c>
      <x:c r="C811" s="20">
        <x:v>70071900</x:v>
      </x:c>
      <x:c r="D811" s="20">
        <x:v>5600</x:v>
      </x:c>
      <x:c r="E811" s="18" t="s">
        <x:v>227</x:v>
      </x:c>
      <x:c r="F811" s="19" t="s">
        <x:v>11</x:v>
      </x:c>
      <x:c r="G811" s="20">
        <x:v>512.08000000000004</x:v>
      </x:c>
      <x:c r="H811" s="21"/>
      <x:c r="I811" s="26" t="s">
        <x:v>1229</x:v>
      </x:c>
      <x:c r="J811" s="22">
        <x:v>0</x:v>
      </x:c>
      <x:c r="K811" s="22">
        <x:v>0</x:v>
      </x:c>
      <x:c r="L811" s="23">
        <x:v>0</x:v>
      </x:c>
    </x:row>
    <x:row r="812">
      <x:c r="A812" s="18" t="s">
        <x:v>1867</x:v>
      </x:c>
      <x:c r="B812" s="19" t="s">
        <x:v>1868</x:v>
      </x:c>
      <x:c r="C812" s="20">
        <x:v>70071900</x:v>
      </x:c>
      <x:c r="D812" s="20">
        <x:v>2950</x:v>
      </x:c>
      <x:c r="E812" s="18" t="s">
        <x:v>227</x:v>
      </x:c>
      <x:c r="F812" s="19" t="s">
        <x:v>11</x:v>
      </x:c>
      <x:c r="G812" s="20">
        <x:v>827.89</x:v>
      </x:c>
      <x:c r="H812" s="21"/>
      <x:c r="I812" s="26" t="s">
        <x:v>1234</x:v>
      </x:c>
      <x:c r="J812" s="22">
        <x:v>0</x:v>
      </x:c>
      <x:c r="K812" s="22">
        <x:v>0</x:v>
      </x:c>
      <x:c r="L812" s="23">
        <x:v>0</x:v>
      </x:c>
    </x:row>
    <x:row r="813">
      <x:c r="A813" s="18" t="s">
        <x:v>1869</x:v>
      </x:c>
      <x:c r="B813" s="19" t="s">
        <x:v>1870</x:v>
      </x:c>
      <x:c r="C813" s="20">
        <x:v>70071900</x:v>
      </x:c>
      <x:c r="D813" s="20">
        <x:v>4020.75</x:v>
      </x:c>
      <x:c r="E813" s="18" t="s">
        <x:v>227</x:v>
      </x:c>
      <x:c r="F813" s="19" t="s">
        <x:v>11</x:v>
      </x:c>
      <x:c r="G813" s="20">
        <x:v>762.26</x:v>
      </x:c>
      <x:c r="H813" s="21"/>
      <x:c r="I813" s="26" t="s">
        <x:v>1229</x:v>
      </x:c>
      <x:c r="J813" s="22">
        <x:v>0</x:v>
      </x:c>
      <x:c r="K813" s="22">
        <x:v>0</x:v>
      </x:c>
      <x:c r="L813" s="23">
        <x:v>0</x:v>
      </x:c>
    </x:row>
    <x:row r="814">
      <x:c r="A814" s="18" t="s">
        <x:v>1871</x:v>
      </x:c>
      <x:c r="B814" s="19" t="s">
        <x:v>1872</x:v>
      </x:c>
      <x:c r="C814" s="20">
        <x:v>70071900</x:v>
      </x:c>
      <x:c r="D814" s="20">
        <x:v>9600</x:v>
      </x:c>
      <x:c r="E814" s="18" t="s">
        <x:v>227</x:v>
      </x:c>
      <x:c r="F814" s="19" t="s">
        <x:v>11</x:v>
      </x:c>
      <x:c r="G814" s="20">
        <x:v>497.87</x:v>
      </x:c>
      <x:c r="H814" s="21"/>
      <x:c r="I814" s="26" t="s">
        <x:v>1229</x:v>
      </x:c>
      <x:c r="J814" s="22">
        <x:v>0</x:v>
      </x:c>
      <x:c r="K814" s="22">
        <x:v>0</x:v>
      </x:c>
      <x:c r="L814" s="23">
        <x:v>0</x:v>
      </x:c>
    </x:row>
    <x:row r="815">
      <x:c r="A815" s="18" t="s">
        <x:v>1873</x:v>
      </x:c>
      <x:c r="B815" s="19" t="s">
        <x:v>1874</x:v>
      </x:c>
      <x:c r="C815" s="20">
        <x:v>70071900</x:v>
      </x:c>
      <x:c r="D815" s="20">
        <x:v>1468</x:v>
      </x:c>
      <x:c r="E815" s="18" t="s">
        <x:v>227</x:v>
      </x:c>
      <x:c r="F815" s="19" t="s">
        <x:v>11</x:v>
      </x:c>
      <x:c r="G815" s="20">
        <x:v>512.64</x:v>
      </x:c>
      <x:c r="H815" s="21"/>
      <x:c r="I815" s="26" t="s">
        <x:v>1234</x:v>
      </x:c>
      <x:c r="J815" s="22">
        <x:v>0</x:v>
      </x:c>
      <x:c r="K815" s="22">
        <x:v>0</x:v>
      </x:c>
      <x:c r="L815" s="23">
        <x:v>0</x:v>
      </x:c>
    </x:row>
    <x:row r="816">
      <x:c r="A816" s="18" t="s">
        <x:v>1875</x:v>
      </x:c>
      <x:c r="B816" s="19" t="s">
        <x:v>1876</x:v>
      </x:c>
      <x:c r="C816" s="20">
        <x:v>70071900</x:v>
      </x:c>
      <x:c r="D816" s="20">
        <x:v>857.14</x:v>
      </x:c>
      <x:c r="E816" s="18" t="s">
        <x:v>227</x:v>
      </x:c>
      <x:c r="F816" s="19" t="s">
        <x:v>11</x:v>
      </x:c>
      <x:c r="G816" s="20">
        <x:v>616.35</x:v>
      </x:c>
      <x:c r="H816" s="21"/>
      <x:c r="I816" s="26" t="s">
        <x:v>1229</x:v>
      </x:c>
      <x:c r="J816" s="22">
        <x:v>0</x:v>
      </x:c>
      <x:c r="K816" s="22">
        <x:v>0</x:v>
      </x:c>
      <x:c r="L816" s="23">
        <x:v>0</x:v>
      </x:c>
    </x:row>
    <x:row r="817">
      <x:c r="A817" s="18" t="s">
        <x:v>1877</x:v>
      </x:c>
      <x:c r="B817" s="19" t="s">
        <x:v>1878</x:v>
      </x:c>
      <x:c r="C817" s="20">
        <x:v>70071900</x:v>
      </x:c>
      <x:c r="D817" s="20">
        <x:v>38</x:v>
      </x:c>
      <x:c r="E817" s="18" t="s">
        <x:v>227</x:v>
      </x:c>
      <x:c r="F817" s="19" t="s">
        <x:v>11</x:v>
      </x:c>
      <x:c r="G817" s="20">
        <x:v>499.5</x:v>
      </x:c>
      <x:c r="H817" s="21"/>
      <x:c r="I817" s="26" t="s">
        <x:v>1229</x:v>
      </x:c>
      <x:c r="J817" s="22">
        <x:v>0</x:v>
      </x:c>
      <x:c r="K817" s="22">
        <x:v>0</x:v>
      </x:c>
      <x:c r="L817" s="23">
        <x:v>0</x:v>
      </x:c>
    </x:row>
    <x:row r="818">
      <x:c r="A818" s="18" t="s">
        <x:v>1879</x:v>
      </x:c>
      <x:c r="B818" s="19" t="s">
        <x:v>1880</x:v>
      </x:c>
      <x:c r="C818" s="20">
        <x:v>70071900</x:v>
      </x:c>
      <x:c r="D818" s="20">
        <x:v>2403.16</x:v>
      </x:c>
      <x:c r="E818" s="18" t="s">
        <x:v>227</x:v>
      </x:c>
      <x:c r="F818" s="19" t="s">
        <x:v>11</x:v>
      </x:c>
      <x:c r="G818" s="20">
        <x:v>829.83</x:v>
      </x:c>
      <x:c r="H818" s="21"/>
      <x:c r="I818" s="26" t="s">
        <x:v>1229</x:v>
      </x:c>
      <x:c r="J818" s="22">
        <x:v>0</x:v>
      </x:c>
      <x:c r="K818" s="22">
        <x:v>0</x:v>
      </x:c>
      <x:c r="L818" s="23">
        <x:v>0</x:v>
      </x:c>
    </x:row>
    <x:row r="819">
      <x:c r="A819" s="18" t="s">
        <x:v>1881</x:v>
      </x:c>
      <x:c r="B819" s="19" t="s">
        <x:v>1882</x:v>
      </x:c>
      <x:c r="C819" s="20">
        <x:v>70071900</x:v>
      </x:c>
      <x:c r="D819" s="20">
        <x:v>1288.08</x:v>
      </x:c>
      <x:c r="E819" s="18" t="s">
        <x:v>227</x:v>
      </x:c>
      <x:c r="F819" s="19" t="s">
        <x:v>11</x:v>
      </x:c>
      <x:c r="G819" s="20">
        <x:v>407.25</x:v>
      </x:c>
      <x:c r="H819" s="21"/>
      <x:c r="I819" s="26" t="s">
        <x:v>1229</x:v>
      </x:c>
      <x:c r="J819" s="22">
        <x:v>0</x:v>
      </x:c>
      <x:c r="K819" s="22">
        <x:v>0</x:v>
      </x:c>
      <x:c r="L819" s="23">
        <x:v>0</x:v>
      </x:c>
    </x:row>
    <x:row r="820">
      <x:c r="A820" s="18" t="s">
        <x:v>1883</x:v>
      </x:c>
      <x:c r="B820" s="19" t="s">
        <x:v>1884</x:v>
      </x:c>
      <x:c r="C820" s="20">
        <x:v>70071900</x:v>
      </x:c>
      <x:c r="D820" s="20">
        <x:v>554</x:v>
      </x:c>
      <x:c r="E820" s="18" t="s">
        <x:v>227</x:v>
      </x:c>
      <x:c r="F820" s="19" t="s">
        <x:v>11</x:v>
      </x:c>
      <x:c r="G820" s="20">
        <x:v>621.20000000000005</x:v>
      </x:c>
      <x:c r="H820" s="21"/>
      <x:c r="I820" s="26" t="s">
        <x:v>1229</x:v>
      </x:c>
      <x:c r="J820" s="22">
        <x:v>0</x:v>
      </x:c>
      <x:c r="K820" s="22">
        <x:v>0</x:v>
      </x:c>
      <x:c r="L820" s="23">
        <x:v>0</x:v>
      </x:c>
    </x:row>
    <x:row r="821">
      <x:c r="A821" s="18" t="s">
        <x:v>1885</x:v>
      </x:c>
      <x:c r="B821" s="19" t="s">
        <x:v>1886</x:v>
      </x:c>
      <x:c r="C821" s="20">
        <x:v>70071900</x:v>
      </x:c>
      <x:c r="D821" s="20">
        <x:v>185.77</x:v>
      </x:c>
      <x:c r="E821" s="18" t="s">
        <x:v>227</x:v>
      </x:c>
      <x:c r="F821" s="19" t="s">
        <x:v>11</x:v>
      </x:c>
      <x:c r="G821" s="20">
        <x:v>762.7</x:v>
      </x:c>
      <x:c r="H821" s="21"/>
      <x:c r="I821" s="26" t="s">
        <x:v>1229</x:v>
      </x:c>
      <x:c r="J821" s="22">
        <x:v>0</x:v>
      </x:c>
      <x:c r="K821" s="22">
        <x:v>0</x:v>
      </x:c>
      <x:c r="L821" s="23">
        <x:v>0</x:v>
      </x:c>
    </x:row>
    <x:row r="822">
      <x:c r="A822" s="18" t="s">
        <x:v>1887</x:v>
      </x:c>
      <x:c r="B822" s="19" t="s">
        <x:v>1888</x:v>
      </x:c>
      <x:c r="C822" s="20">
        <x:v>70071900</x:v>
      </x:c>
      <x:c r="D822" s="20">
        <x:v>2100.3000000000002</x:v>
      </x:c>
      <x:c r="E822" s="18" t="s">
        <x:v>227</x:v>
      </x:c>
      <x:c r="F822" s="19" t="s">
        <x:v>11</x:v>
      </x:c>
      <x:c r="G822" s="20">
        <x:v>833.45</x:v>
      </x:c>
      <x:c r="H822" s="21"/>
      <x:c r="I822" s="26" t="s">
        <x:v>1229</x:v>
      </x:c>
      <x:c r="J822" s="22">
        <x:v>0</x:v>
      </x:c>
      <x:c r="K822" s="22">
        <x:v>0</x:v>
      </x:c>
      <x:c r="L822" s="23">
        <x:v>0</x:v>
      </x:c>
    </x:row>
    <x:row r="823">
      <x:c r="A823" s="18" t="s">
        <x:v>1889</x:v>
      </x:c>
      <x:c r="B823" s="19" t="s">
        <x:v>1890</x:v>
      </x:c>
      <x:c r="C823" s="20">
        <x:v>70071900</x:v>
      </x:c>
      <x:c r="D823" s="20">
        <x:v>548</x:v>
      </x:c>
      <x:c r="E823" s="18" t="s">
        <x:v>227</x:v>
      </x:c>
      <x:c r="F823" s="19" t="s">
        <x:v>11</x:v>
      </x:c>
      <x:c r="G823" s="20">
        <x:v>639.25</x:v>
      </x:c>
      <x:c r="H823" s="21"/>
      <x:c r="I823" s="26" t="s">
        <x:v>1229</x:v>
      </x:c>
      <x:c r="J823" s="22">
        <x:v>0</x:v>
      </x:c>
      <x:c r="K823" s="22">
        <x:v>0</x:v>
      </x:c>
      <x:c r="L823" s="23">
        <x:v>0</x:v>
      </x:c>
    </x:row>
    <x:row r="824">
      <x:c r="A824" s="18" t="s">
        <x:v>1891</x:v>
      </x:c>
      <x:c r="B824" s="19" t="s">
        <x:v>1892</x:v>
      </x:c>
      <x:c r="C824" s="20">
        <x:v>70071900</x:v>
      </x:c>
      <x:c r="D824" s="20">
        <x:v>7</x:v>
      </x:c>
      <x:c r="E824" s="18" t="s">
        <x:v>227</x:v>
      </x:c>
      <x:c r="F824" s="19" t="s">
        <x:v>11</x:v>
      </x:c>
      <x:c r="G824" s="20">
        <x:v>673.47</x:v>
      </x:c>
      <x:c r="H824" s="21"/>
      <x:c r="I824" s="26" t="s">
        <x:v>1229</x:v>
      </x:c>
      <x:c r="J824" s="22">
        <x:v>0</x:v>
      </x:c>
      <x:c r="K824" s="22">
        <x:v>0</x:v>
      </x:c>
      <x:c r="L824" s="23">
        <x:v>0</x:v>
      </x:c>
    </x:row>
    <x:row r="825">
      <x:c r="A825" s="18" t="s">
        <x:v>1893</x:v>
      </x:c>
      <x:c r="B825" s="19" t="s">
        <x:v>1894</x:v>
      </x:c>
      <x:c r="C825" s="20">
        <x:v>70071900</x:v>
      </x:c>
      <x:c r="D825" s="20">
        <x:v>7213.69</x:v>
      </x:c>
      <x:c r="E825" s="18" t="s">
        <x:v>227</x:v>
      </x:c>
      <x:c r="F825" s="19" t="s">
        <x:v>11</x:v>
      </x:c>
      <x:c r="G825" s="20">
        <x:v>3486.1</x:v>
      </x:c>
      <x:c r="H825" s="21"/>
      <x:c r="I825" s="26" t="s">
        <x:v>1234</x:v>
      </x:c>
      <x:c r="J825" s="22">
        <x:v>0</x:v>
      </x:c>
      <x:c r="K825" s="22">
        <x:v>0</x:v>
      </x:c>
      <x:c r="L825" s="23">
        <x:v>0</x:v>
      </x:c>
    </x:row>
    <x:row r="826">
      <x:c r="A826" s="18" t="s">
        <x:v>1895</x:v>
      </x:c>
      <x:c r="B826" s="19" t="s">
        <x:v>1896</x:v>
      </x:c>
      <x:c r="C826" s="20">
        <x:v>70071900</x:v>
      </x:c>
      <x:c r="D826" s="20">
        <x:v>2450.27</x:v>
      </x:c>
      <x:c r="E826" s="18" t="s">
        <x:v>227</x:v>
      </x:c>
      <x:c r="F826" s="19" t="s">
        <x:v>11</x:v>
      </x:c>
      <x:c r="G826" s="20">
        <x:v>0</x:v>
      </x:c>
      <x:c r="H826" s="21"/>
      <x:c r="I826" s="21" t="s">
        <x:v>1229</x:v>
      </x:c>
      <x:c r="J826" s="22">
        <x:v>0</x:v>
      </x:c>
      <x:c r="K826" s="22">
        <x:v>0</x:v>
      </x:c>
      <x:c r="L826" s="23">
        <x:v>0</x:v>
      </x:c>
    </x:row>
    <x:row r="827">
      <x:c r="A827" s="18" t="s">
        <x:v>1897</x:v>
      </x:c>
      <x:c r="B827" s="19" t="s">
        <x:v>1898</x:v>
      </x:c>
      <x:c r="C827" s="20">
        <x:v>70071900</x:v>
      </x:c>
      <x:c r="D827" s="20">
        <x:v>1730.27</x:v>
      </x:c>
      <x:c r="E827" s="18" t="s">
        <x:v>227</x:v>
      </x:c>
      <x:c r="F827" s="19" t="s">
        <x:v>11</x:v>
      </x:c>
      <x:c r="G827" s="20">
        <x:v>702.13</x:v>
      </x:c>
      <x:c r="H827" s="21"/>
      <x:c r="I827" s="26" t="s">
        <x:v>1229</x:v>
      </x:c>
      <x:c r="J827" s="22">
        <x:v>0</x:v>
      </x:c>
      <x:c r="K827" s="22">
        <x:v>0</x:v>
      </x:c>
      <x:c r="L827" s="23">
        <x:v>0</x:v>
      </x:c>
    </x:row>
    <x:row r="828">
      <x:c r="A828" s="18" t="s">
        <x:v>1899</x:v>
      </x:c>
      <x:c r="B828" s="19" t="s">
        <x:v>1900</x:v>
      </x:c>
      <x:c r="C828" s="20">
        <x:v>70071900</x:v>
      </x:c>
      <x:c r="D828" s="20">
        <x:v>2750.18</x:v>
      </x:c>
      <x:c r="E828" s="18" t="s">
        <x:v>227</x:v>
      </x:c>
      <x:c r="F828" s="19" t="s">
        <x:v>11</x:v>
      </x:c>
      <x:c r="G828" s="20">
        <x:v>4640.8999999999996</x:v>
      </x:c>
      <x:c r="H828" s="21"/>
      <x:c r="I828" s="26" t="s">
        <x:v>1234</x:v>
      </x:c>
      <x:c r="J828" s="22">
        <x:v>0</x:v>
      </x:c>
      <x:c r="K828" s="22">
        <x:v>0</x:v>
      </x:c>
      <x:c r="L828" s="23">
        <x:v>0</x:v>
      </x:c>
    </x:row>
    <x:row r="829">
      <x:c r="A829" s="18" t="s">
        <x:v>1901</x:v>
      </x:c>
      <x:c r="B829" s="19" t="s">
        <x:v>1902</x:v>
      </x:c>
      <x:c r="C829" s="20">
        <x:v>70071900</x:v>
      </x:c>
      <x:c r="D829" s="20">
        <x:v>158.82</x:v>
      </x:c>
      <x:c r="E829" s="18" t="s">
        <x:v>227</x:v>
      </x:c>
      <x:c r="F829" s="19" t="s">
        <x:v>11</x:v>
      </x:c>
      <x:c r="G829" s="20">
        <x:v>0</x:v>
      </x:c>
      <x:c r="H829" s="21"/>
      <x:c r="I829" s="21" t="s">
        <x:v>1229</x:v>
      </x:c>
      <x:c r="J829" s="22">
        <x:v>0</x:v>
      </x:c>
      <x:c r="K829" s="22">
        <x:v>0</x:v>
      </x:c>
      <x:c r="L829" s="23">
        <x:v>0</x:v>
      </x:c>
    </x:row>
    <x:row r="830">
      <x:c r="A830" s="18" t="s">
        <x:v>1903</x:v>
      </x:c>
      <x:c r="B830" s="19" t="s">
        <x:v>1904</x:v>
      </x:c>
      <x:c r="C830" s="20">
        <x:v>70071900</x:v>
      </x:c>
      <x:c r="D830" s="20">
        <x:v>2.02</x:v>
      </x:c>
      <x:c r="E830" s="18" t="s">
        <x:v>227</x:v>
      </x:c>
      <x:c r="F830" s="19" t="s">
        <x:v>11</x:v>
      </x:c>
      <x:c r="G830" s="20">
        <x:v>2496.6999999999998</x:v>
      </x:c>
      <x:c r="H830" s="21"/>
      <x:c r="I830" s="26" t="s">
        <x:v>1229</x:v>
      </x:c>
      <x:c r="J830" s="22">
        <x:v>0</x:v>
      </x:c>
      <x:c r="K830" s="22">
        <x:v>0</x:v>
      </x:c>
      <x:c r="L830" s="23">
        <x:v>0</x:v>
      </x:c>
    </x:row>
    <x:row r="831">
      <x:c r="A831" s="18" t="s">
        <x:v>1905</x:v>
      </x:c>
      <x:c r="B831" s="19" t="s">
        <x:v>1906</x:v>
      </x:c>
      <x:c r="C831" s="20">
        <x:v>70071900</x:v>
      </x:c>
      <x:c r="D831" s="20">
        <x:v>5728</x:v>
      </x:c>
      <x:c r="E831" s="18" t="s">
        <x:v>227</x:v>
      </x:c>
      <x:c r="F831" s="19" t="s">
        <x:v>11</x:v>
      </x:c>
      <x:c r="G831" s="20">
        <x:v>974.62</x:v>
      </x:c>
      <x:c r="H831" s="21"/>
      <x:c r="I831" s="26" t="s">
        <x:v>1234</x:v>
      </x:c>
      <x:c r="J831" s="22">
        <x:v>0</x:v>
      </x:c>
      <x:c r="K831" s="22">
        <x:v>0</x:v>
      </x:c>
      <x:c r="L831" s="23">
        <x:v>0</x:v>
      </x:c>
    </x:row>
    <x:row r="832">
      <x:c r="A832" s="18" t="s">
        <x:v>1907</x:v>
      </x:c>
      <x:c r="B832" s="19" t="s">
        <x:v>1908</x:v>
      </x:c>
      <x:c r="C832" s="20">
        <x:v>70071900</x:v>
      </x:c>
      <x:c r="D832" s="20">
        <x:v>8</x:v>
      </x:c>
      <x:c r="E832" s="18" t="s">
        <x:v>227</x:v>
      </x:c>
      <x:c r="F832" s="19" t="s">
        <x:v>11</x:v>
      </x:c>
      <x:c r="G832" s="20">
        <x:v>0</x:v>
      </x:c>
      <x:c r="H832" s="21"/>
      <x:c r="I832" s="21" t="s">
        <x:v>1229</x:v>
      </x:c>
      <x:c r="J832" s="22">
        <x:v>0</x:v>
      </x:c>
      <x:c r="K832" s="22">
        <x:v>0</x:v>
      </x:c>
      <x:c r="L832" s="23">
        <x:v>0</x:v>
      </x:c>
    </x:row>
    <x:row r="833">
      <x:c r="A833" s="18" t="s">
        <x:v>1909</x:v>
      </x:c>
      <x:c r="B833" s="19" t="s">
        <x:v>1910</x:v>
      </x:c>
      <x:c r="C833" s="20">
        <x:v>70071900</x:v>
      </x:c>
      <x:c r="D833" s="20">
        <x:v>168</x:v>
      </x:c>
      <x:c r="E833" s="18" t="s">
        <x:v>227</x:v>
      </x:c>
      <x:c r="F833" s="19" t="s">
        <x:v>11</x:v>
      </x:c>
      <x:c r="G833" s="20">
        <x:v>1536.4</x:v>
      </x:c>
      <x:c r="H833" s="21"/>
      <x:c r="I833" s="26" t="s">
        <x:v>1229</x:v>
      </x:c>
      <x:c r="J833" s="22">
        <x:v>0</x:v>
      </x:c>
      <x:c r="K833" s="22">
        <x:v>0</x:v>
      </x:c>
      <x:c r="L833" s="23">
        <x:v>0</x:v>
      </x:c>
    </x:row>
    <x:row r="834">
      <x:c r="A834" s="18" t="s">
        <x:v>1911</x:v>
      </x:c>
      <x:c r="B834" s="19" t="s">
        <x:v>1912</x:v>
      </x:c>
      <x:c r="C834" s="20">
        <x:v>70071900</x:v>
      </x:c>
      <x:c r="D834" s="20">
        <x:v>125</x:v>
      </x:c>
      <x:c r="E834" s="18" t="s">
        <x:v>227</x:v>
      </x:c>
      <x:c r="F834" s="19" t="s">
        <x:v>11</x:v>
      </x:c>
      <x:c r="G834" s="20">
        <x:v>1088.5999999999999</x:v>
      </x:c>
      <x:c r="H834" s="21"/>
      <x:c r="I834" s="26" t="s">
        <x:v>1229</x:v>
      </x:c>
      <x:c r="J834" s="22">
        <x:v>0</x:v>
      </x:c>
      <x:c r="K834" s="22">
        <x:v>0</x:v>
      </x:c>
      <x:c r="L834" s="23">
        <x:v>0</x:v>
      </x:c>
    </x:row>
    <x:row r="835">
      <x:c r="A835" s="18" t="s">
        <x:v>1913</x:v>
      </x:c>
      <x:c r="B835" s="19" t="s">
        <x:v>1914</x:v>
      </x:c>
      <x:c r="C835" s="20">
        <x:v>70071900</x:v>
      </x:c>
      <x:c r="D835" s="20">
        <x:v>340</x:v>
      </x:c>
      <x:c r="E835" s="18" t="s">
        <x:v>227</x:v>
      </x:c>
      <x:c r="F835" s="19" t="s">
        <x:v>11</x:v>
      </x:c>
      <x:c r="G835" s="20">
        <x:v>573.79999999999995</x:v>
      </x:c>
      <x:c r="H835" s="21"/>
      <x:c r="I835" s="26" t="s">
        <x:v>1234</x:v>
      </x:c>
      <x:c r="J835" s="22">
        <x:v>0</x:v>
      </x:c>
      <x:c r="K835" s="22">
        <x:v>0</x:v>
      </x:c>
      <x:c r="L835" s="23">
        <x:v>0</x:v>
      </x:c>
    </x:row>
    <x:row r="836">
      <x:c r="A836" s="18" t="s">
        <x:v>1915</x:v>
      </x:c>
      <x:c r="B836" s="19" t="s">
        <x:v>1916</x:v>
      </x:c>
      <x:c r="C836" s="20">
        <x:v>70071900</x:v>
      </x:c>
      <x:c r="D836" s="20">
        <x:v>5600</x:v>
      </x:c>
      <x:c r="E836" s="18" t="s">
        <x:v>227</x:v>
      </x:c>
      <x:c r="F836" s="19" t="s">
        <x:v>11</x:v>
      </x:c>
      <x:c r="G836" s="20">
        <x:v>1552.5</x:v>
      </x:c>
      <x:c r="H836" s="21"/>
      <x:c r="I836" s="26" t="s">
        <x:v>1229</x:v>
      </x:c>
      <x:c r="J836" s="22">
        <x:v>0</x:v>
      </x:c>
      <x:c r="K836" s="22">
        <x:v>0</x:v>
      </x:c>
      <x:c r="L836" s="23">
        <x:v>0</x:v>
      </x:c>
    </x:row>
    <x:row r="837">
      <x:c r="A837" s="18" t="s">
        <x:v>1917</x:v>
      </x:c>
      <x:c r="B837" s="19" t="s">
        <x:v>1918</x:v>
      </x:c>
      <x:c r="C837" s="20">
        <x:v>70071900</x:v>
      </x:c>
      <x:c r="D837" s="20">
        <x:v>2202.67</x:v>
      </x:c>
      <x:c r="E837" s="18" t="s">
        <x:v>227</x:v>
      </x:c>
      <x:c r="F837" s="19" t="s">
        <x:v>11</x:v>
      </x:c>
      <x:c r="G837" s="20">
        <x:v>0</x:v>
      </x:c>
      <x:c r="H837" s="21"/>
      <x:c r="I837" s="21" t="s">
        <x:v>1229</x:v>
      </x:c>
      <x:c r="J837" s="22">
        <x:v>0</x:v>
      </x:c>
      <x:c r="K837" s="22">
        <x:v>0</x:v>
      </x:c>
      <x:c r="L837" s="23">
        <x:v>0</x:v>
      </x:c>
    </x:row>
    <x:row r="838">
      <x:c r="A838" s="18" t="s">
        <x:v>1919</x:v>
      </x:c>
      <x:c r="B838" s="19" t="s">
        <x:v>1920</x:v>
      </x:c>
      <x:c r="C838" s="20">
        <x:v>70071900</x:v>
      </x:c>
      <x:c r="D838" s="20">
        <x:v>1864.78</x:v>
      </x:c>
      <x:c r="E838" s="18" t="s">
        <x:v>227</x:v>
      </x:c>
      <x:c r="F838" s="19" t="s">
        <x:v>11</x:v>
      </x:c>
      <x:c r="G838" s="20">
        <x:v>0</x:v>
      </x:c>
      <x:c r="H838" s="21"/>
      <x:c r="I838" s="21" t="s">
        <x:v>1229</x:v>
      </x:c>
      <x:c r="J838" s="22">
        <x:v>0</x:v>
      </x:c>
      <x:c r="K838" s="22">
        <x:v>0</x:v>
      </x:c>
      <x:c r="L838" s="23">
        <x:v>0</x:v>
      </x:c>
    </x:row>
    <x:row r="839">
      <x:c r="A839" s="18" t="s">
        <x:v>1921</x:v>
      </x:c>
      <x:c r="B839" s="19" t="s">
        <x:v>1922</x:v>
      </x:c>
      <x:c r="C839" s="20">
        <x:v>70071900</x:v>
      </x:c>
      <x:c r="D839" s="20">
        <x:v>3.35</x:v>
      </x:c>
      <x:c r="E839" s="18" t="s">
        <x:v>227</x:v>
      </x:c>
      <x:c r="F839" s="19" t="s">
        <x:v>11</x:v>
      </x:c>
      <x:c r="G839" s="20">
        <x:v>1138.2</x:v>
      </x:c>
      <x:c r="H839" s="21"/>
      <x:c r="I839" s="26" t="s">
        <x:v>1234</x:v>
      </x:c>
      <x:c r="J839" s="22">
        <x:v>0</x:v>
      </x:c>
      <x:c r="K839" s="22">
        <x:v>0</x:v>
      </x:c>
      <x:c r="L839" s="23">
        <x:v>0</x:v>
      </x:c>
    </x:row>
    <x:row r="840">
      <x:c r="A840" s="18" t="s">
        <x:v>1923</x:v>
      </x:c>
      <x:c r="B840" s="19" t="s">
        <x:v>1924</x:v>
      </x:c>
      <x:c r="C840" s="20">
        <x:v>70071900</x:v>
      </x:c>
      <x:c r="D840" s="20">
        <x:v>106.44</x:v>
      </x:c>
      <x:c r="E840" s="18" t="s">
        <x:v>227</x:v>
      </x:c>
      <x:c r="F840" s="19" t="s">
        <x:v>11</x:v>
      </x:c>
      <x:c r="G840" s="20">
        <x:v>576.6</x:v>
      </x:c>
      <x:c r="H840" s="21"/>
      <x:c r="I840" s="26" t="s">
        <x:v>1234</x:v>
      </x:c>
      <x:c r="J840" s="22">
        <x:v>0</x:v>
      </x:c>
      <x:c r="K840" s="22">
        <x:v>0</x:v>
      </x:c>
      <x:c r="L840" s="23">
        <x:v>0</x:v>
      </x:c>
    </x:row>
    <x:row r="841">
      <x:c r="A841" s="18" t="s">
        <x:v>1925</x:v>
      </x:c>
      <x:c r="B841" s="19" t="s">
        <x:v>1926</x:v>
      </x:c>
      <x:c r="C841" s="20">
        <x:v>70071900</x:v>
      </x:c>
      <x:c r="D841" s="20">
        <x:v>1600</x:v>
      </x:c>
      <x:c r="E841" s="18" t="s">
        <x:v>227</x:v>
      </x:c>
      <x:c r="F841" s="19" t="s">
        <x:v>11</x:v>
      </x:c>
      <x:c r="G841" s="20">
        <x:v>0</x:v>
      </x:c>
      <x:c r="H841" s="21"/>
      <x:c r="I841" s="21" t="s">
        <x:v>1229</x:v>
      </x:c>
      <x:c r="J841" s="22">
        <x:v>0</x:v>
      </x:c>
      <x:c r="K841" s="22">
        <x:v>0</x:v>
      </x:c>
      <x:c r="L841" s="23">
        <x:v>0</x:v>
      </x:c>
    </x:row>
    <x:row r="842">
      <x:c r="A842" s="18" t="s">
        <x:v>1927</x:v>
      </x:c>
      <x:c r="B842" s="19" t="s">
        <x:v>1928</x:v>
      </x:c>
      <x:c r="C842" s="20">
        <x:v>70071900</x:v>
      </x:c>
      <x:c r="D842" s="20">
        <x:v>1201.5899999999999</x:v>
      </x:c>
      <x:c r="E842" s="18" t="s">
        <x:v>227</x:v>
      </x:c>
      <x:c r="F842" s="19" t="s">
        <x:v>11</x:v>
      </x:c>
      <x:c r="G842" s="20">
        <x:v>3940.1</x:v>
      </x:c>
      <x:c r="H842" s="21"/>
      <x:c r="I842" s="26" t="s">
        <x:v>1229</x:v>
      </x:c>
      <x:c r="J842" s="22">
        <x:v>0</x:v>
      </x:c>
      <x:c r="K842" s="22">
        <x:v>0</x:v>
      </x:c>
      <x:c r="L842" s="23">
        <x:v>0</x:v>
      </x:c>
    </x:row>
    <x:row r="843">
      <x:c r="A843" s="18" t="s">
        <x:v>1929</x:v>
      </x:c>
      <x:c r="B843" s="19" t="s">
        <x:v>1930</x:v>
      </x:c>
      <x:c r="C843" s="20">
        <x:v>70071900</x:v>
      </x:c>
      <x:c r="D843" s="20">
        <x:v>4.5</x:v>
      </x:c>
      <x:c r="E843" s="18" t="s">
        <x:v>227</x:v>
      </x:c>
      <x:c r="F843" s="19" t="s">
        <x:v>11</x:v>
      </x:c>
      <x:c r="G843" s="20">
        <x:v>1970</x:v>
      </x:c>
      <x:c r="H843" s="21"/>
      <x:c r="I843" s="26" t="s">
        <x:v>1229</x:v>
      </x:c>
      <x:c r="J843" s="22">
        <x:v>0</x:v>
      </x:c>
      <x:c r="K843" s="22">
        <x:v>0</x:v>
      </x:c>
      <x:c r="L843" s="23">
        <x:v>0</x:v>
      </x:c>
    </x:row>
    <x:row r="844">
      <x:c r="A844" s="18" t="s">
        <x:v>1931</x:v>
      </x:c>
      <x:c r="B844" s="19" t="s">
        <x:v>1932</x:v>
      </x:c>
      <x:c r="C844" s="20">
        <x:v>70071900</x:v>
      </x:c>
      <x:c r="D844" s="20">
        <x:v>816</x:v>
      </x:c>
      <x:c r="E844" s="18" t="s">
        <x:v>227</x:v>
      </x:c>
      <x:c r="F844" s="19" t="s">
        <x:v>11</x:v>
      </x:c>
      <x:c r="G844" s="20">
        <x:v>0</x:v>
      </x:c>
      <x:c r="H844" s="21"/>
      <x:c r="I844" s="21" t="s">
        <x:v>1229</x:v>
      </x:c>
      <x:c r="J844" s="22">
        <x:v>0</x:v>
      </x:c>
      <x:c r="K844" s="22">
        <x:v>0</x:v>
      </x:c>
      <x:c r="L844" s="23">
        <x:v>0</x:v>
      </x:c>
    </x:row>
    <x:row r="845">
      <x:c r="A845" s="18" t="s">
        <x:v>1933</x:v>
      </x:c>
      <x:c r="B845" s="19" t="s">
        <x:v>1934</x:v>
      </x:c>
      <x:c r="C845" s="20">
        <x:v>70071900</x:v>
      </x:c>
      <x:c r="D845" s="20">
        <x:v>188.61</x:v>
      </x:c>
      <x:c r="E845" s="18" t="s">
        <x:v>227</x:v>
      </x:c>
      <x:c r="F845" s="19" t="s">
        <x:v>11</x:v>
      </x:c>
      <x:c r="G845" s="20">
        <x:v>2362.5</x:v>
      </x:c>
      <x:c r="H845" s="21"/>
      <x:c r="I845" s="26" t="s">
        <x:v>1234</x:v>
      </x:c>
      <x:c r="J845" s="22">
        <x:v>0</x:v>
      </x:c>
      <x:c r="K845" s="22">
        <x:v>0</x:v>
      </x:c>
      <x:c r="L845" s="23">
        <x:v>0</x:v>
      </x:c>
    </x:row>
    <x:row r="846">
      <x:c r="A846" s="18" t="s">
        <x:v>1935</x:v>
      </x:c>
      <x:c r="B846" s="19" t="s">
        <x:v>1936</x:v>
      </x:c>
      <x:c r="C846" s="20">
        <x:v>70071900</x:v>
      </x:c>
      <x:c r="D846" s="20">
        <x:v>4580</x:v>
      </x:c>
      <x:c r="E846" s="18" t="s">
        <x:v>227</x:v>
      </x:c>
      <x:c r="F846" s="19" t="s">
        <x:v>11</x:v>
      </x:c>
      <x:c r="G846" s="20">
        <x:v>0</x:v>
      </x:c>
      <x:c r="H846" s="21"/>
      <x:c r="I846" s="21" t="s">
        <x:v>1229</x:v>
      </x:c>
      <x:c r="J846" s="22">
        <x:v>0</x:v>
      </x:c>
      <x:c r="K846" s="22">
        <x:v>0</x:v>
      </x:c>
      <x:c r="L846" s="23">
        <x:v>0</x:v>
      </x:c>
    </x:row>
    <x:row r="847">
      <x:c r="A847" s="18" t="s">
        <x:v>1937</x:v>
      </x:c>
      <x:c r="B847" s="19" t="s">
        <x:v>1938</x:v>
      </x:c>
      <x:c r="C847" s="20">
        <x:v>70071900</x:v>
      </x:c>
      <x:c r="D847" s="20">
        <x:v>2728.39</x:v>
      </x:c>
      <x:c r="E847" s="18" t="s">
        <x:v>227</x:v>
      </x:c>
      <x:c r="F847" s="19" t="s">
        <x:v>11</x:v>
      </x:c>
      <x:c r="G847" s="20">
        <x:v>0</x:v>
      </x:c>
      <x:c r="H847" s="21"/>
      <x:c r="I847" s="21" t="s">
        <x:v>1229</x:v>
      </x:c>
      <x:c r="J847" s="22">
        <x:v>0</x:v>
      </x:c>
      <x:c r="K847" s="22">
        <x:v>0</x:v>
      </x:c>
      <x:c r="L847" s="23">
        <x:v>0</x:v>
      </x:c>
    </x:row>
    <x:row r="848">
      <x:c r="A848" s="18" t="s">
        <x:v>1939</x:v>
      </x:c>
      <x:c r="B848" s="19" t="s">
        <x:v>1940</x:v>
      </x:c>
      <x:c r="C848" s="20">
        <x:v>70071900</x:v>
      </x:c>
      <x:c r="D848" s="20">
        <x:v>1929.45</x:v>
      </x:c>
      <x:c r="E848" s="18" t="s">
        <x:v>227</x:v>
      </x:c>
      <x:c r="F848" s="19" t="s">
        <x:v>11</x:v>
      </x:c>
      <x:c r="G848" s="20">
        <x:v>0</x:v>
      </x:c>
      <x:c r="H848" s="21"/>
      <x:c r="I848" s="21" t="s">
        <x:v>1229</x:v>
      </x:c>
      <x:c r="J848" s="22">
        <x:v>0</x:v>
      </x:c>
      <x:c r="K848" s="22">
        <x:v>0</x:v>
      </x:c>
      <x:c r="L848" s="23">
        <x:v>0</x:v>
      </x:c>
    </x:row>
    <x:row r="849">
      <x:c r="A849" s="18" t="s">
        <x:v>1941</x:v>
      </x:c>
      <x:c r="B849" s="19" t="s">
        <x:v>1942</x:v>
      </x:c>
      <x:c r="C849" s="20">
        <x:v>70071900</x:v>
      </x:c>
      <x:c r="D849" s="20">
        <x:v>73.38</x:v>
      </x:c>
      <x:c r="E849" s="18" t="s">
        <x:v>227</x:v>
      </x:c>
      <x:c r="F849" s="19" t="s">
        <x:v>11</x:v>
      </x:c>
      <x:c r="G849" s="20">
        <x:v>553.17999999999995</x:v>
      </x:c>
      <x:c r="H849" s="21"/>
      <x:c r="I849" s="26" t="s">
        <x:v>1234</x:v>
      </x:c>
      <x:c r="J849" s="22">
        <x:v>0</x:v>
      </x:c>
      <x:c r="K849" s="22">
        <x:v>0</x:v>
      </x:c>
      <x:c r="L849" s="23">
        <x:v>0</x:v>
      </x:c>
    </x:row>
    <x:row r="850">
      <x:c r="A850" s="18" t="s">
        <x:v>1943</x:v>
      </x:c>
      <x:c r="B850" s="19" t="s">
        <x:v>1944</x:v>
      </x:c>
      <x:c r="C850" s="20">
        <x:v>70071900</x:v>
      </x:c>
      <x:c r="D850" s="20">
        <x:v>3600</x:v>
      </x:c>
      <x:c r="E850" s="18" t="s">
        <x:v>227</x:v>
      </x:c>
      <x:c r="F850" s="19" t="s">
        <x:v>11</x:v>
      </x:c>
      <x:c r="G850" s="20">
        <x:v>556.15</x:v>
      </x:c>
      <x:c r="H850" s="21"/>
      <x:c r="I850" s="26" t="s">
        <x:v>1229</x:v>
      </x:c>
      <x:c r="J850" s="22">
        <x:v>0</x:v>
      </x:c>
      <x:c r="K850" s="22">
        <x:v>0</x:v>
      </x:c>
      <x:c r="L850" s="23">
        <x:v>0</x:v>
      </x:c>
    </x:row>
    <x:row r="851">
      <x:c r="A851" s="18" t="s">
        <x:v>1945</x:v>
      </x:c>
      <x:c r="B851" s="19" t="s">
        <x:v>1946</x:v>
      </x:c>
      <x:c r="C851" s="20">
        <x:v>70071900</x:v>
      </x:c>
      <x:c r="D851" s="20">
        <x:v>249</x:v>
      </x:c>
      <x:c r="E851" s="18" t="s">
        <x:v>227</x:v>
      </x:c>
      <x:c r="F851" s="19" t="s">
        <x:v>11</x:v>
      </x:c>
      <x:c r="G851" s="20">
        <x:v>0</x:v>
      </x:c>
      <x:c r="H851" s="21"/>
      <x:c r="I851" s="21" t="s">
        <x:v>1229</x:v>
      </x:c>
      <x:c r="J851" s="22">
        <x:v>0</x:v>
      </x:c>
      <x:c r="K851" s="22">
        <x:v>0</x:v>
      </x:c>
      <x:c r="L851" s="23">
        <x:v>0</x:v>
      </x:c>
    </x:row>
    <x:row r="852">
      <x:c r="A852" s="18" t="s">
        <x:v>1947</x:v>
      </x:c>
      <x:c r="B852" s="19" t="s">
        <x:v>1948</x:v>
      </x:c>
      <x:c r="C852" s="20">
        <x:v>70071900</x:v>
      </x:c>
      <x:c r="D852" s="20">
        <x:v>2848</x:v>
      </x:c>
      <x:c r="E852" s="18" t="s">
        <x:v>227</x:v>
      </x:c>
      <x:c r="F852" s="19" t="s">
        <x:v>11</x:v>
      </x:c>
      <x:c r="G852" s="20">
        <x:v>0</x:v>
      </x:c>
      <x:c r="H852" s="21"/>
      <x:c r="I852" s="21" t="s">
        <x:v>1229</x:v>
      </x:c>
      <x:c r="J852" s="22">
        <x:v>0</x:v>
      </x:c>
      <x:c r="K852" s="22">
        <x:v>0</x:v>
      </x:c>
      <x:c r="L852" s="23">
        <x:v>0</x:v>
      </x:c>
    </x:row>
    <x:row r="853">
      <x:c r="A853" s="18" t="s">
        <x:v>1949</x:v>
      </x:c>
      <x:c r="B853" s="19" t="s">
        <x:v>1950</x:v>
      </x:c>
      <x:c r="C853" s="20">
        <x:v>70071900</x:v>
      </x:c>
      <x:c r="D853" s="20">
        <x:v>90.01</x:v>
      </x:c>
      <x:c r="E853" s="18" t="s">
        <x:v>227</x:v>
      </x:c>
      <x:c r="F853" s="19" t="s">
        <x:v>11</x:v>
      </x:c>
      <x:c r="G853" s="20">
        <x:v>0</x:v>
      </x:c>
      <x:c r="H853" s="21"/>
      <x:c r="I853" s="21" t="s">
        <x:v>1229</x:v>
      </x:c>
      <x:c r="J853" s="23">
        <x:v>6</x:v>
      </x:c>
      <x:c r="K853" s="23">
        <x:v>3317.6</x:v>
      </x:c>
      <x:c r="L853" s="23">
        <x:v>0</x:v>
      </x:c>
    </x:row>
    <x:row r="854">
      <x:c r="A854" s="18" t="s">
        <x:v>1951</x:v>
      </x:c>
      <x:c r="B854" s="19" t="s">
        <x:v>1952</x:v>
      </x:c>
      <x:c r="C854" s="20">
        <x:v>70071900</x:v>
      </x:c>
      <x:c r="D854" s="20">
        <x:v>120.8</x:v>
      </x:c>
      <x:c r="E854" s="18" t="s">
        <x:v>227</x:v>
      </x:c>
      <x:c r="F854" s="19" t="s">
        <x:v>11</x:v>
      </x:c>
      <x:c r="G854" s="20">
        <x:v>0</x:v>
      </x:c>
      <x:c r="H854" s="21"/>
      <x:c r="I854" s="21" t="s">
        <x:v>1229</x:v>
      </x:c>
      <x:c r="J854" s="22">
        <x:v>0</x:v>
      </x:c>
      <x:c r="K854" s="22">
        <x:v>0</x:v>
      </x:c>
      <x:c r="L854" s="23">
        <x:v>0</x:v>
      </x:c>
    </x:row>
    <x:row r="855">
      <x:c r="A855" s="18" t="s">
        <x:v>1953</x:v>
      </x:c>
      <x:c r="B855" s="19" t="s">
        <x:v>1954</x:v>
      </x:c>
      <x:c r="C855" s="20">
        <x:v>70071900</x:v>
      </x:c>
      <x:c r="D855" s="20">
        <x:v>1114.7</x:v>
      </x:c>
      <x:c r="E855" s="18" t="s">
        <x:v>227</x:v>
      </x:c>
      <x:c r="F855" s="19" t="s">
        <x:v>11</x:v>
      </x:c>
      <x:c r="G855" s="20">
        <x:v>531.03</x:v>
      </x:c>
      <x:c r="H855" s="21"/>
      <x:c r="I855" s="26" t="s">
        <x:v>1234</x:v>
      </x:c>
      <x:c r="J855" s="22">
        <x:v>0</x:v>
      </x:c>
      <x:c r="K855" s="22">
        <x:v>0</x:v>
      </x:c>
      <x:c r="L855" s="23">
        <x:v>0</x:v>
      </x:c>
    </x:row>
    <x:row r="856">
      <x:c r="A856" s="18" t="s">
        <x:v>1955</x:v>
      </x:c>
      <x:c r="B856" s="19" t="s">
        <x:v>1956</x:v>
      </x:c>
      <x:c r="C856" s="20">
        <x:v>70071900</x:v>
      </x:c>
      <x:c r="D856" s="20">
        <x:v>787.5</x:v>
      </x:c>
      <x:c r="E856" s="18" t="s">
        <x:v>227</x:v>
      </x:c>
      <x:c r="F856" s="19" t="s">
        <x:v>11</x:v>
      </x:c>
      <x:c r="G856" s="20">
        <x:v>0</x:v>
      </x:c>
      <x:c r="H856" s="21"/>
      <x:c r="I856" s="21" t="s">
        <x:v>1229</x:v>
      </x:c>
      <x:c r="J856" s="22">
        <x:v>0</x:v>
      </x:c>
      <x:c r="K856" s="22">
        <x:v>0</x:v>
      </x:c>
      <x:c r="L856" s="23">
        <x:v>0</x:v>
      </x:c>
    </x:row>
    <x:row r="857">
      <x:c r="A857" s="18" t="s">
        <x:v>1957</x:v>
      </x:c>
      <x:c r="B857" s="19" t="s">
        <x:v>1958</x:v>
      </x:c>
      <x:c r="C857" s="20">
        <x:v>70071900</x:v>
      </x:c>
      <x:c r="D857" s="20">
        <x:v>756</x:v>
      </x:c>
      <x:c r="E857" s="18" t="s">
        <x:v>227</x:v>
      </x:c>
      <x:c r="F857" s="19" t="s">
        <x:v>11</x:v>
      </x:c>
      <x:c r="G857" s="20">
        <x:v>0</x:v>
      </x:c>
      <x:c r="H857" s="21"/>
      <x:c r="I857" s="21" t="s">
        <x:v>1229</x:v>
      </x:c>
      <x:c r="J857" s="22">
        <x:v>0</x:v>
      </x:c>
      <x:c r="K857" s="22">
        <x:v>0</x:v>
      </x:c>
      <x:c r="L857" s="23">
        <x:v>0</x:v>
      </x:c>
    </x:row>
    <x:row r="858">
      <x:c r="A858" s="18" t="s">
        <x:v>1959</x:v>
      </x:c>
      <x:c r="B858" s="19" t="s">
        <x:v>1960</x:v>
      </x:c>
      <x:c r="C858" s="20">
        <x:v>35061000</x:v>
      </x:c>
      <x:c r="D858" s="20">
        <x:v>593</x:v>
      </x:c>
      <x:c r="E858" s="18" t="s">
        <x:v>227</x:v>
      </x:c>
      <x:c r="F858" s="19" t="s">
        <x:v>236</x:v>
      </x:c>
      <x:c r="G858" s="20">
        <x:v>0</x:v>
      </x:c>
      <x:c r="H858" s="21"/>
      <x:c r="I858" s="21" t="s">
        <x:v>1961</x:v>
      </x:c>
      <x:c r="J858" s="23">
        <x:v>137.94999999999999</x:v>
      </x:c>
      <x:c r="K858" s="23">
        <x:v>85529</x:v>
      </x:c>
      <x:c r="L858" s="23">
        <x:v>128.94999999999999</x:v>
      </x:c>
    </x:row>
    <x:row r="859">
      <x:c r="A859" s="18" t="s">
        <x:v>1962</x:v>
      </x:c>
      <x:c r="B859" s="19" t="s">
        <x:v>1963</x:v>
      </x:c>
      <x:c r="C859" s="20">
        <x:v>39073090</x:v>
      </x:c>
      <x:c r="D859" s="20">
        <x:v>147</x:v>
      </x:c>
      <x:c r="E859" s="18" t="s">
        <x:v>227</x:v>
      </x:c>
      <x:c r="F859" s="19" t="s">
        <x:v>82</x:v>
      </x:c>
      <x:c r="G859" s="20">
        <x:v>2439.8000000000002</x:v>
      </x:c>
      <x:c r="H859" s="21"/>
      <x:c r="I859" s="26" t="s">
        <x:v>791</x:v>
      </x:c>
      <x:c r="J859" s="23">
        <x:v>24.1</x:v>
      </x:c>
      <x:c r="K859" s="23">
        <x:v>56153</x:v>
      </x:c>
      <x:c r="L859" s="23">
        <x:v>0.03</x:v>
      </x:c>
    </x:row>
    <x:row r="860">
      <x:c r="A860" s="18" t="s">
        <x:v>1964</x:v>
      </x:c>
      <x:c r="B860" s="19" t="s">
        <x:v>1965</x:v>
      </x:c>
      <x:c r="C860" s="20">
        <x:v>35061000</x:v>
      </x:c>
      <x:c r="D860" s="20">
        <x:v>1120.2</x:v>
      </x:c>
      <x:c r="E860" s="18" t="s">
        <x:v>227</x:v>
      </x:c>
      <x:c r="F860" s="19" t="s">
        <x:v>236</x:v>
      </x:c>
      <x:c r="G860" s="20">
        <x:v>400</x:v>
      </x:c>
      <x:c r="H860" s="21"/>
      <x:c r="I860" s="26" t="s">
        <x:v>1961</x:v>
      </x:c>
      <x:c r="J860" s="23">
        <x:v>31.31</x:v>
      </x:c>
      <x:c r="K860" s="23">
        <x:v>12524</x:v>
      </x:c>
      <x:c r="L860" s="23">
        <x:v>142.41999999999999</x:v>
      </x:c>
    </x:row>
    <x:row r="861">
      <x:c r="A861" s="18" t="s">
        <x:v>1966</x:v>
      </x:c>
      <x:c r="B861" s="19" t="s">
        <x:v>1967</x:v>
      </x:c>
      <x:c r="C861" s="20">
        <x:v>35061000</x:v>
      </x:c>
      <x:c r="D861" s="20">
        <x:v>2373.33</x:v>
      </x:c>
      <x:c r="E861" s="18" t="s">
        <x:v>227</x:v>
      </x:c>
      <x:c r="F861" s="19" t="s">
        <x:v>236</x:v>
      </x:c>
      <x:c r="G861" s="20">
        <x:v>0</x:v>
      </x:c>
      <x:c r="H861" s="21"/>
      <x:c r="I861" s="21" t="s">
        <x:v>1968</x:v>
      </x:c>
      <x:c r="J861" s="23">
        <x:v>100</x:v>
      </x:c>
      <x:c r="K861" s="23">
        <x:v>37500</x:v>
      </x:c>
      <x:c r="L861" s="23">
        <x:v>100</x:v>
      </x:c>
    </x:row>
    <x:row r="862">
      <x:c r="A862" s="18" t="s">
        <x:v>1969</x:v>
      </x:c>
      <x:c r="B862" s="19" t="s">
        <x:v>1970</x:v>
      </x:c>
      <x:c r="C862" s="20">
        <x:v>35061000</x:v>
      </x:c>
      <x:c r="D862" s="20">
        <x:v>1616</x:v>
      </x:c>
      <x:c r="E862" s="18" t="s">
        <x:v>227</x:v>
      </x:c>
      <x:c r="F862" s="19" t="s">
        <x:v>87</x:v>
      </x:c>
      <x:c r="G862" s="20">
        <x:v>130</x:v>
      </x:c>
      <x:c r="H862" s="21"/>
      <x:c r="I862" s="26" t="s">
        <x:v>1971</x:v>
      </x:c>
      <x:c r="J862" s="23">
        <x:v>65</x:v>
      </x:c>
      <x:c r="K862" s="23">
        <x:v>8450</x:v>
      </x:c>
      <x:c r="L862" s="23">
        <x:v>18</x:v>
      </x:c>
    </x:row>
    <x:row r="863">
      <x:c r="A863" s="18" t="s">
        <x:v>1972</x:v>
      </x:c>
      <x:c r="B863" s="19" t="s">
        <x:v>1973</x:v>
      </x:c>
      <x:c r="C863" s="20">
        <x:v>35061000</x:v>
      </x:c>
      <x:c r="D863" s="20">
        <x:v>125</x:v>
      </x:c>
      <x:c r="E863" s="18" t="s">
        <x:v>227</x:v>
      </x:c>
      <x:c r="F863" s="19" t="s">
        <x:v>11</x:v>
      </x:c>
      <x:c r="G863" s="20">
        <x:v>0</x:v>
      </x:c>
      <x:c r="H863" s="21"/>
      <x:c r="I863" s="21" t="s">
        <x:v>1974</x:v>
      </x:c>
      <x:c r="J863" s="23">
        <x:v>5</x:v>
      </x:c>
      <x:c r="K863" s="23">
        <x:v>26250</x:v>
      </x:c>
      <x:c r="L863" s="23">
        <x:v>10</x:v>
      </x:c>
    </x:row>
    <x:row r="864">
      <x:c r="A864" s="18" t="s">
        <x:v>1975</x:v>
      </x:c>
      <x:c r="B864" s="19" t="s">
        <x:v>1976</x:v>
      </x:c>
      <x:c r="C864" s="20">
        <x:v>35061000</x:v>
      </x:c>
      <x:c r="D864" s="20">
        <x:v>78</x:v>
      </x:c>
      <x:c r="E864" s="18" t="s">
        <x:v>227</x:v>
      </x:c>
      <x:c r="F864" s="19" t="s">
        <x:v>11</x:v>
      </x:c>
      <x:c r="G864" s="20">
        <x:v>1965</x:v>
      </x:c>
      <x:c r="H864" s="21"/>
      <x:c r="I864" s="26" t="s">
        <x:v>1974</x:v>
      </x:c>
      <x:c r="J864" s="23">
        <x:v>10</x:v>
      </x:c>
      <x:c r="K864" s="23">
        <x:v>15500</x:v>
      </x:c>
      <x:c r="L864" s="23">
        <x:v>3</x:v>
      </x:c>
    </x:row>
    <x:row r="865">
      <x:c r="A865" s="18" t="s">
        <x:v>1977</x:v>
      </x:c>
      <x:c r="B865" s="19" t="s">
        <x:v>1978</x:v>
      </x:c>
      <x:c r="C865" s="20">
        <x:v>35061000</x:v>
      </x:c>
      <x:c r="D865" s="20">
        <x:v>11.81</x:v>
      </x:c>
      <x:c r="E865" s="18" t="s">
        <x:v>227</x:v>
      </x:c>
      <x:c r="F865" s="19" t="s">
        <x:v>82</x:v>
      </x:c>
      <x:c r="G865" s="20">
        <x:v>12288</x:v>
      </x:c>
      <x:c r="H865" s="21"/>
      <x:c r="I865" s="26" t="s">
        <x:v>791</x:v>
      </x:c>
      <x:c r="J865" s="23">
        <x:v>2.8180000000000001</x:v>
      </x:c>
      <x:c r="K865" s="23">
        <x:v>30568.14</x:v>
      </x:c>
      <x:c r="L865" s="23">
        <x:v>5.4539999999999997</x:v>
      </x:c>
    </x:row>
    <x:row r="866">
      <x:c r="A866" s="18" t="s">
        <x:v>1979</x:v>
      </x:c>
      <x:c r="B866" s="19" t="s">
        <x:v>1980</x:v>
      </x:c>
      <x:c r="C866" s="20">
        <x:v>35061000</x:v>
      </x:c>
      <x:c r="D866" s="20">
        <x:v>1288.08</x:v>
      </x:c>
      <x:c r="E866" s="18" t="s">
        <x:v>227</x:v>
      </x:c>
      <x:c r="F866" s="19" t="s">
        <x:v>11</x:v>
      </x:c>
      <x:c r="G866" s="20">
        <x:v>0</x:v>
      </x:c>
      <x:c r="H866" s="21"/>
      <x:c r="I866" s="21" t="s">
        <x:v>1974</x:v>
      </x:c>
      <x:c r="J866" s="23">
        <x:v>4</x:v>
      </x:c>
      <x:c r="K866" s="23">
        <x:v>34000</x:v>
      </x:c>
      <x:c r="L866" s="23">
        <x:v>4</x:v>
      </x:c>
    </x:row>
    <x:row r="867">
      <x:c r="A867" s="18" t="s">
        <x:v>1981</x:v>
      </x:c>
      <x:c r="B867" s="19" t="s">
        <x:v>1982</x:v>
      </x:c>
      <x:c r="C867" s="20">
        <x:v>35061000</x:v>
      </x:c>
      <x:c r="D867" s="20">
        <x:v>323.99</x:v>
      </x:c>
      <x:c r="E867" s="18" t="s">
        <x:v>227</x:v>
      </x:c>
      <x:c r="F867" s="19" t="s">
        <x:v>236</x:v>
      </x:c>
      <x:c r="G867" s="20">
        <x:v>0</x:v>
      </x:c>
      <x:c r="H867" s="21"/>
      <x:c r="I867" s="21" t="s">
        <x:v>1961</x:v>
      </x:c>
      <x:c r="J867" s="23">
        <x:v>5.867</x:v>
      </x:c>
      <x:c r="K867" s="23">
        <x:v>15547.55</x:v>
      </x:c>
      <x:c r="L867" s="23">
        <x:v>5.7869999999999999</x:v>
      </x:c>
    </x:row>
    <x:row r="868">
      <x:c r="A868" s="18" t="s">
        <x:v>1983</x:v>
      </x:c>
      <x:c r="B868" s="19" t="s">
        <x:v>1984</x:v>
      </x:c>
      <x:c r="C868" s="20">
        <x:v>32141000</x:v>
      </x:c>
      <x:c r="D868" s="20">
        <x:v>152.82</x:v>
      </x:c>
      <x:c r="E868" s="18" t="s">
        <x:v>227</x:v>
      </x:c>
      <x:c r="F868" s="19" t="s">
        <x:v>1985</x:v>
      </x:c>
      <x:c r="G868" s="20">
        <x:v>847.46</x:v>
      </x:c>
      <x:c r="H868" s="21"/>
      <x:c r="I868" s="26" t="s">
        <x:v>791</x:v>
      </x:c>
      <x:c r="J868" s="23">
        <x:v>5</x:v>
      </x:c>
      <x:c r="K868" s="23">
        <x:v>4237.3</x:v>
      </x:c>
      <x:c r="L868" s="23">
        <x:v>100</x:v>
      </x:c>
    </x:row>
    <x:row r="869">
      <x:c r="A869" s="18" t="s">
        <x:v>1986</x:v>
      </x:c>
      <x:c r="B869" s="19" t="s">
        <x:v>1987</x:v>
      </x:c>
      <x:c r="C869" s="20">
        <x:v>35061000</x:v>
      </x:c>
      <x:c r="D869" s="20">
        <x:v>224.69</x:v>
      </x:c>
      <x:c r="E869" s="18" t="s">
        <x:v>227</x:v>
      </x:c>
      <x:c r="F869" s="19" t="s">
        <x:v>82</x:v>
      </x:c>
      <x:c r="G869" s="20">
        <x:v>0</x:v>
      </x:c>
      <x:c r="H869" s="21"/>
      <x:c r="I869" s="21"/>
      <x:c r="J869" s="23">
        <x:v>3</x:v>
      </x:c>
      <x:c r="K869" s="23">
        <x:v>1779.69</x:v>
      </x:c>
      <x:c r="L869" s="23">
        <x:v>3</x:v>
      </x:c>
    </x:row>
    <x:row r="870">
      <x:c r="A870" s="18" t="s">
        <x:v>1988</x:v>
      </x:c>
      <x:c r="B870" s="19" t="s">
        <x:v>1989</x:v>
      </x:c>
      <x:c r="C870" s="20">
        <x:v>35061000</x:v>
      </x:c>
      <x:c r="D870" s="20">
        <x:v>450</x:v>
      </x:c>
      <x:c r="E870" s="18" t="s">
        <x:v>227</x:v>
      </x:c>
      <x:c r="F870" s="19" t="s">
        <x:v>11</x:v>
      </x:c>
      <x:c r="G870" s="20">
        <x:v>255</x:v>
      </x:c>
      <x:c r="H870" s="21"/>
      <x:c r="I870" s="26" t="s">
        <x:v>791</x:v>
      </x:c>
      <x:c r="J870" s="23">
        <x:v>493</x:v>
      </x:c>
      <x:c r="K870" s="23">
        <x:v>123315</x:v>
      </x:c>
      <x:c r="L870" s="23">
        <x:v>21</x:v>
      </x:c>
    </x:row>
    <x:row r="871">
      <x:c r="A871" s="18" t="s">
        <x:v>1990</x:v>
      </x:c>
      <x:c r="B871" s="19" t="s">
        <x:v>1991</x:v>
      </x:c>
      <x:c r="C871" s="20">
        <x:v>35061000</x:v>
      </x:c>
      <x:c r="D871" s="20">
        <x:v>3150</x:v>
      </x:c>
      <x:c r="E871" s="18" t="s">
        <x:v>227</x:v>
      </x:c>
      <x:c r="F871" s="19" t="s">
        <x:v>11</x:v>
      </x:c>
      <x:c r="G871" s="20">
        <x:v>0</x:v>
      </x:c>
      <x:c r="H871" s="21"/>
      <x:c r="I871" s="21" t="s">
        <x:v>1974</x:v>
      </x:c>
      <x:c r="J871" s="22">
        <x:v>0</x:v>
      </x:c>
      <x:c r="K871" s="22">
        <x:v>0</x:v>
      </x:c>
      <x:c r="L871" s="23">
        <x:v>0</x:v>
      </x:c>
    </x:row>
    <x:row r="872">
      <x:c r="A872" s="18" t="s">
        <x:v>1992</x:v>
      </x:c>
      <x:c r="B872" s="19" t="s">
        <x:v>1993</x:v>
      </x:c>
      <x:c r="C872" s="20">
        <x:v>81089090</x:v>
      </x:c>
      <x:c r="D872" s="20">
        <x:v>880</x:v>
      </x:c>
      <x:c r="E872" s="18"/>
      <x:c r="F872" s="19" t="s">
        <x:v>82</x:v>
      </x:c>
      <x:c r="G872" s="20">
        <x:v>0</x:v>
      </x:c>
      <x:c r="H872" s="21"/>
      <x:c r="I872" s="21"/>
      <x:c r="J872" s="22">
        <x:v>0</x:v>
      </x:c>
      <x:c r="K872" s="22">
        <x:v>0</x:v>
      </x:c>
      <x:c r="L872" s="23">
        <x:v>0</x:v>
      </x:c>
    </x:row>
    <x:row r="873">
      <x:c r="A873" s="18" t="s">
        <x:v>1994</x:v>
      </x:c>
      <x:c r="B873" s="19" t="s">
        <x:v>1995</x:v>
      </x:c>
      <x:c r="C873" s="20">
        <x:v>83024110</x:v>
      </x:c>
      <x:c r="D873" s="20">
        <x:v>0.48</x:v>
      </x:c>
      <x:c r="E873" s="18" t="s">
        <x:v>227</x:v>
      </x:c>
      <x:c r="F873" s="19" t="s">
        <x:v>11</x:v>
      </x:c>
      <x:c r="G873" s="20">
        <x:v>0</x:v>
      </x:c>
      <x:c r="H873" s="21"/>
      <x:c r="I873" s="21" t="s">
        <x:v>255</x:v>
      </x:c>
      <x:c r="J873" s="23">
        <x:v>63</x:v>
      </x:c>
      <x:c r="K873" s="23">
        <x:v>36382.5</x:v>
      </x:c>
      <x:c r="L873" s="23">
        <x:v>63</x:v>
      </x:c>
    </x:row>
    <x:row r="874">
      <x:c r="A874" s="18" t="s">
        <x:v>1996</x:v>
      </x:c>
      <x:c r="B874" s="19" t="s">
        <x:v>1997</x:v>
      </x:c>
      <x:c r="C874" s="20">
        <x:v>83024110</x:v>
      </x:c>
      <x:c r="D874" s="20">
        <x:v>140</x:v>
      </x:c>
      <x:c r="E874" s="18" t="s">
        <x:v>227</x:v>
      </x:c>
      <x:c r="F874" s="19" t="s">
        <x:v>11</x:v>
      </x:c>
      <x:c r="G874" s="20">
        <x:v>862.5</x:v>
      </x:c>
      <x:c r="H874" s="21"/>
      <x:c r="I874" s="26" t="s">
        <x:v>255</x:v>
      </x:c>
      <x:c r="J874" s="22">
        <x:v>0</x:v>
      </x:c>
      <x:c r="K874" s="22">
        <x:v>0</x:v>
      </x:c>
      <x:c r="L874" s="23">
        <x:v>20</x:v>
      </x:c>
    </x:row>
    <x:row r="875">
      <x:c r="A875" s="18" t="s">
        <x:v>1998</x:v>
      </x:c>
      <x:c r="B875" s="19" t="s">
        <x:v>1999</x:v>
      </x:c>
      <x:c r="C875" s="20">
        <x:v>83024110</x:v>
      </x:c>
      <x:c r="D875" s="20">
        <x:v>1165</x:v>
      </x:c>
      <x:c r="E875" s="18" t="s">
        <x:v>227</x:v>
      </x:c>
      <x:c r="F875" s="19" t="s">
        <x:v>11</x:v>
      </x:c>
      <x:c r="G875" s="20">
        <x:v>0</x:v>
      </x:c>
      <x:c r="H875" s="21"/>
      <x:c r="I875" s="21" t="s">
        <x:v>255</x:v>
      </x:c>
      <x:c r="J875" s="22">
        <x:v>0</x:v>
      </x:c>
      <x:c r="K875" s="22">
        <x:v>0</x:v>
      </x:c>
      <x:c r="L875" s="23">
        <x:v>0</x:v>
      </x:c>
    </x:row>
    <x:row r="876">
      <x:c r="A876" s="18" t="s">
        <x:v>2000</x:v>
      </x:c>
      <x:c r="B876" s="19" t="s">
        <x:v>2001</x:v>
      </x:c>
      <x:c r="C876" s="20">
        <x:v>44219990</x:v>
      </x:c>
      <x:c r="D876" s="20">
        <x:v>2373.33</x:v>
      </x:c>
      <x:c r="E876" s="18" t="s">
        <x:v>227</x:v>
      </x:c>
      <x:c r="F876" s="19" t="s">
        <x:v>11</x:v>
      </x:c>
      <x:c r="G876" s="20">
        <x:v>0</x:v>
      </x:c>
      <x:c r="H876" s="21"/>
      <x:c r="I876" s="21" t="s">
        <x:v>255</x:v>
      </x:c>
      <x:c r="J876" s="22">
        <x:v>0</x:v>
      </x:c>
      <x:c r="K876" s="22">
        <x:v>0</x:v>
      </x:c>
      <x:c r="L876" s="23">
        <x:v>0</x:v>
      </x:c>
    </x:row>
    <x:row r="877">
      <x:c r="A877" s="18" t="s">
        <x:v>2002</x:v>
      </x:c>
      <x:c r="B877" s="19" t="s">
        <x:v>2003</x:v>
      </x:c>
      <x:c r="C877" s="20">
        <x:v>83024200</x:v>
      </x:c>
      <x:c r="D877" s="20">
        <x:v>869.09</x:v>
      </x:c>
      <x:c r="E877" s="18" t="s">
        <x:v>227</x:v>
      </x:c>
      <x:c r="F877" s="19" t="s">
        <x:v>11</x:v>
      </x:c>
      <x:c r="G877" s="20">
        <x:v>0</x:v>
      </x:c>
      <x:c r="H877" s="21"/>
      <x:c r="I877" s="21" t="s">
        <x:v>255</x:v>
      </x:c>
      <x:c r="J877" s="22">
        <x:v>0</x:v>
      </x:c>
      <x:c r="K877" s="22">
        <x:v>0</x:v>
      </x:c>
      <x:c r="L877" s="23">
        <x:v>0</x:v>
      </x:c>
    </x:row>
    <x:row r="878">
      <x:c r="A878" s="18" t="s">
        <x:v>2004</x:v>
      </x:c>
      <x:c r="B878" s="19" t="s">
        <x:v>2005</x:v>
      </x:c>
      <x:c r="C878" s="20">
        <x:v>44219990</x:v>
      </x:c>
      <x:c r="D878" s="20">
        <x:v>448</x:v>
      </x:c>
      <x:c r="E878" s="18" t="s">
        <x:v>227</x:v>
      </x:c>
      <x:c r="F878" s="19" t="s">
        <x:v>11</x:v>
      </x:c>
      <x:c r="G878" s="20">
        <x:v>418</x:v>
      </x:c>
      <x:c r="H878" s="21"/>
      <x:c r="I878" s="26" t="s">
        <x:v>255</x:v>
      </x:c>
      <x:c r="J878" s="22">
        <x:v>0</x:v>
      </x:c>
      <x:c r="K878" s="22">
        <x:v>0</x:v>
      </x:c>
      <x:c r="L878" s="23">
        <x:v>0</x:v>
      </x:c>
    </x:row>
    <x:row r="879">
      <x:c r="A879" s="18" t="s">
        <x:v>2006</x:v>
      </x:c>
      <x:c r="B879" s="19" t="s">
        <x:v>2007</x:v>
      </x:c>
      <x:c r="C879" s="20">
        <x:v>83024110</x:v>
      </x:c>
      <x:c r="D879" s="20">
        <x:v>335.71</x:v>
      </x:c>
      <x:c r="E879" s="18" t="s">
        <x:v>227</x:v>
      </x:c>
      <x:c r="F879" s="19" t="s">
        <x:v>11</x:v>
      </x:c>
      <x:c r="G879" s="20">
        <x:v>0</x:v>
      </x:c>
      <x:c r="H879" s="21"/>
      <x:c r="I879" s="21" t="s">
        <x:v>255</x:v>
      </x:c>
      <x:c r="J879" s="23">
        <x:v>14</x:v>
      </x:c>
      <x:c r="K879" s="23">
        <x:v>10850</x:v>
      </x:c>
      <x:c r="L879" s="23">
        <x:v>0</x:v>
      </x:c>
    </x:row>
    <x:row r="880">
      <x:c r="A880" s="18" t="s">
        <x:v>2008</x:v>
      </x:c>
      <x:c r="B880" s="19" t="s">
        <x:v>2009</x:v>
      </x:c>
      <x:c r="C880" s="20">
        <x:v>83024200</x:v>
      </x:c>
      <x:c r="D880" s="20">
        <x:v>644</x:v>
      </x:c>
      <x:c r="E880" s="18" t="s">
        <x:v>227</x:v>
      </x:c>
      <x:c r="F880" s="19" t="s">
        <x:v>11</x:v>
      </x:c>
      <x:c r="G880" s="20">
        <x:v>0</x:v>
      </x:c>
      <x:c r="H880" s="21"/>
      <x:c r="I880" s="21" t="s">
        <x:v>255</x:v>
      </x:c>
      <x:c r="J880" s="23">
        <x:v>10</x:v>
      </x:c>
      <x:c r="K880" s="23">
        <x:v>5775</x:v>
      </x:c>
      <x:c r="L880" s="23">
        <x:v>10</x:v>
      </x:c>
    </x:row>
    <x:row r="881">
      <x:c r="A881" s="18" t="s">
        <x:v>2010</x:v>
      </x:c>
      <x:c r="B881" s="19" t="s">
        <x:v>2011</x:v>
      </x:c>
      <x:c r="C881" s="20">
        <x:v>83024110</x:v>
      </x:c>
      <x:c r="D881" s="20">
        <x:v>4325.71</x:v>
      </x:c>
      <x:c r="E881" s="18" t="s">
        <x:v>227</x:v>
      </x:c>
      <x:c r="F881" s="19" t="s">
        <x:v>11</x:v>
      </x:c>
      <x:c r="G881" s="20">
        <x:v>0</x:v>
      </x:c>
      <x:c r="H881" s="21"/>
      <x:c r="I881" s="21"/>
      <x:c r="J881" s="23">
        <x:v>1</x:v>
      </x:c>
      <x:c r="K881" s="23">
        <x:v>190</x:v>
      </x:c>
      <x:c r="L881" s="23">
        <x:v>1</x:v>
      </x:c>
    </x:row>
    <x:row r="882">
      <x:c r="A882" s="18" t="s">
        <x:v>2012</x:v>
      </x:c>
      <x:c r="B882" s="19" t="s">
        <x:v>2013</x:v>
      </x:c>
      <x:c r="C882" s="20">
        <x:v>83024200</x:v>
      </x:c>
      <x:c r="D882" s="20">
        <x:v>102.5</x:v>
      </x:c>
      <x:c r="E882" s="18" t="s">
        <x:v>227</x:v>
      </x:c>
      <x:c r="F882" s="19" t="s">
        <x:v>11</x:v>
      </x:c>
      <x:c r="G882" s="20">
        <x:v>0</x:v>
      </x:c>
      <x:c r="H882" s="21"/>
      <x:c r="I882" s="21" t="s">
        <x:v>255</x:v>
      </x:c>
      <x:c r="J882" s="23">
        <x:v>7</x:v>
      </x:c>
      <x:c r="K882" s="23">
        <x:v>2135</x:v>
      </x:c>
      <x:c r="L882" s="23">
        <x:v>0</x:v>
      </x:c>
    </x:row>
    <x:row r="883">
      <x:c r="A883" s="18" t="s">
        <x:v>2014</x:v>
      </x:c>
      <x:c r="B883" s="19" t="s">
        <x:v>2015</x:v>
      </x:c>
      <x:c r="C883" s="20">
        <x:v>83024110</x:v>
      </x:c>
      <x:c r="D883" s="20">
        <x:v>1.25</x:v>
      </x:c>
      <x:c r="E883" s="18" t="s">
        <x:v>227</x:v>
      </x:c>
      <x:c r="F883" s="19" t="s">
        <x:v>11</x:v>
      </x:c>
      <x:c r="G883" s="20">
        <x:v>1320</x:v>
      </x:c>
      <x:c r="H883" s="21"/>
      <x:c r="I883" s="26" t="s">
        <x:v>2016</x:v>
      </x:c>
      <x:c r="J883" s="22">
        <x:v>0</x:v>
      </x:c>
      <x:c r="K883" s="22">
        <x:v>0</x:v>
      </x:c>
      <x:c r="L883" s="23">
        <x:v>0</x:v>
      </x:c>
    </x:row>
    <x:row r="884">
      <x:c r="A884" s="18" t="s">
        <x:v>2017</x:v>
      </x:c>
      <x:c r="B884" s="19" t="s">
        <x:v>2018</x:v>
      </x:c>
      <x:c r="C884" s="20">
        <x:v>83024110</x:v>
      </x:c>
      <x:c r="D884" s="20">
        <x:v>587</x:v>
      </x:c>
      <x:c r="E884" s="18" t="s">
        <x:v>227</x:v>
      </x:c>
      <x:c r="F884" s="19" t="s">
        <x:v>11</x:v>
      </x:c>
      <x:c r="G884" s="20">
        <x:v>0</x:v>
      </x:c>
      <x:c r="H884" s="21"/>
      <x:c r="I884" s="21" t="s">
        <x:v>2019</x:v>
      </x:c>
      <x:c r="J884" s="23">
        <x:v>9</x:v>
      </x:c>
      <x:c r="K884" s="23">
        <x:v>5062.5</x:v>
      </x:c>
      <x:c r="L884" s="23">
        <x:v>9</x:v>
      </x:c>
    </x:row>
    <x:row r="885">
      <x:c r="A885" s="18" t="s">
        <x:v>2020</x:v>
      </x:c>
      <x:c r="B885" s="19" t="s">
        <x:v>2021</x:v>
      </x:c>
      <x:c r="C885" s="20">
        <x:v>83024110</x:v>
      </x:c>
      <x:c r="D885" s="20">
        <x:v>796.67</x:v>
      </x:c>
      <x:c r="E885" s="18" t="s">
        <x:v>227</x:v>
      </x:c>
      <x:c r="F885" s="19" t="s">
        <x:v>11</x:v>
      </x:c>
      <x:c r="G885" s="20">
        <x:v>0</x:v>
      </x:c>
      <x:c r="H885" s="21"/>
      <x:c r="I885" s="21" t="s">
        <x:v>2022</x:v>
      </x:c>
      <x:c r="J885" s="23">
        <x:v>2</x:v>
      </x:c>
      <x:c r="K885" s="23">
        <x:v>957</x:v>
      </x:c>
      <x:c r="L885" s="23">
        <x:v>2</x:v>
      </x:c>
    </x:row>
    <x:row r="886">
      <x:c r="A886" s="18" t="s">
        <x:v>2023</x:v>
      </x:c>
      <x:c r="B886" s="19" t="s">
        <x:v>2024</x:v>
      </x:c>
      <x:c r="C886" s="20">
        <x:v>83024110</x:v>
      </x:c>
      <x:c r="D886" s="20">
        <x:v>3410.26</x:v>
      </x:c>
      <x:c r="E886" s="18" t="s">
        <x:v>227</x:v>
      </x:c>
      <x:c r="F886" s="19" t="s">
        <x:v>11</x:v>
      </x:c>
      <x:c r="G886" s="20">
        <x:v>0</x:v>
      </x:c>
      <x:c r="H886" s="21"/>
      <x:c r="I886" s="21" t="s">
        <x:v>2025</x:v>
      </x:c>
      <x:c r="J886" s="22">
        <x:v>0</x:v>
      </x:c>
      <x:c r="K886" s="22">
        <x:v>0</x:v>
      </x:c>
      <x:c r="L886" s="23">
        <x:v>0</x:v>
      </x:c>
    </x:row>
    <x:row r="887">
      <x:c r="A887" s="18" t="s">
        <x:v>2026</x:v>
      </x:c>
      <x:c r="B887" s="19" t="s">
        <x:v>2027</x:v>
      </x:c>
      <x:c r="C887" s="20">
        <x:v>83024110</x:v>
      </x:c>
      <x:c r="D887" s="20">
        <x:v>2411.65</x:v>
      </x:c>
      <x:c r="E887" s="18" t="s">
        <x:v>227</x:v>
      </x:c>
      <x:c r="F887" s="19" t="s">
        <x:v>11</x:v>
      </x:c>
      <x:c r="G887" s="20">
        <x:v>1540</x:v>
      </x:c>
      <x:c r="H887" s="21"/>
      <x:c r="I887" s="26" t="s">
        <x:v>2016</x:v>
      </x:c>
      <x:c r="J887" s="22">
        <x:v>0</x:v>
      </x:c>
      <x:c r="K887" s="22">
        <x:v>0</x:v>
      </x:c>
      <x:c r="L887" s="23">
        <x:v>0</x:v>
      </x:c>
    </x:row>
    <x:row r="888">
      <x:c r="A888" s="18" t="s">
        <x:v>2028</x:v>
      </x:c>
      <x:c r="B888" s="19" t="s">
        <x:v>2029</x:v>
      </x:c>
      <x:c r="C888" s="20">
        <x:v>83024110</x:v>
      </x:c>
      <x:c r="D888" s="20">
        <x:v>130</x:v>
      </x:c>
      <x:c r="E888" s="18" t="s">
        <x:v>227</x:v>
      </x:c>
      <x:c r="F888" s="19" t="s">
        <x:v>11</x:v>
      </x:c>
      <x:c r="G888" s="20">
        <x:v>2772</x:v>
      </x:c>
      <x:c r="H888" s="21"/>
      <x:c r="I888" s="26" t="s">
        <x:v>2030</x:v>
      </x:c>
      <x:c r="J888" s="23">
        <x:v>1</x:v>
      </x:c>
      <x:c r="K888" s="23">
        <x:v>1175</x:v>
      </x:c>
      <x:c r="L888" s="23">
        <x:v>1</x:v>
      </x:c>
    </x:row>
    <x:row r="889">
      <x:c r="A889" s="18" t="s">
        <x:v>2031</x:v>
      </x:c>
      <x:c r="B889" s="19" t="s">
        <x:v>2032</x:v>
      </x:c>
      <x:c r="C889" s="20">
        <x:v>83024110</x:v>
      </x:c>
      <x:c r="D889" s="20">
        <x:v>2594.5500000000002</x:v>
      </x:c>
      <x:c r="E889" s="18" t="s">
        <x:v>227</x:v>
      </x:c>
      <x:c r="F889" s="19" t="s">
        <x:v>11</x:v>
      </x:c>
      <x:c r="G889" s="20">
        <x:v>0</x:v>
      </x:c>
      <x:c r="H889" s="21"/>
      <x:c r="I889" s="21" t="s">
        <x:v>2022</x:v>
      </x:c>
      <x:c r="J889" s="23">
        <x:v>48</x:v>
      </x:c>
      <x:c r="K889" s="23">
        <x:v>6360</x:v>
      </x:c>
      <x:c r="L889" s="23">
        <x:v>48</x:v>
      </x:c>
    </x:row>
    <x:row r="890">
      <x:c r="A890" s="18" t="s">
        <x:v>2033</x:v>
      </x:c>
      <x:c r="B890" s="19" t="s">
        <x:v>2034</x:v>
      </x:c>
      <x:c r="C890" s="20">
        <x:v>83024110</x:v>
      </x:c>
      <x:c r="D890" s="20">
        <x:v>1410</x:v>
      </x:c>
      <x:c r="E890" s="18" t="s">
        <x:v>227</x:v>
      </x:c>
      <x:c r="F890" s="19" t="s">
        <x:v>11</x:v>
      </x:c>
      <x:c r="G890" s="20">
        <x:v>0</x:v>
      </x:c>
      <x:c r="H890" s="21"/>
      <x:c r="I890" s="21" t="s">
        <x:v>2019</x:v>
      </x:c>
      <x:c r="J890" s="23">
        <x:v>2</x:v>
      </x:c>
      <x:c r="K890" s="23">
        <x:v>846</x:v>
      </x:c>
      <x:c r="L890" s="23">
        <x:v>2</x:v>
      </x:c>
    </x:row>
    <x:row r="891">
      <x:c r="A891" s="18" t="s">
        <x:v>2035</x:v>
      </x:c>
      <x:c r="B891" s="19" t="s">
        <x:v>2036</x:v>
      </x:c>
      <x:c r="C891" s="20">
        <x:v>83024110</x:v>
      </x:c>
      <x:c r="D891" s="20">
        <x:v>24</x:v>
      </x:c>
      <x:c r="E891" s="18" t="s">
        <x:v>227</x:v>
      </x:c>
      <x:c r="F891" s="19" t="s">
        <x:v>11</x:v>
      </x:c>
      <x:c r="G891" s="20">
        <x:v>0</x:v>
      </x:c>
      <x:c r="H891" s="21"/>
      <x:c r="I891" s="21"/>
      <x:c r="J891" s="22">
        <x:v>0</x:v>
      </x:c>
      <x:c r="K891" s="22">
        <x:v>0</x:v>
      </x:c>
      <x:c r="L891" s="23">
        <x:v>0</x:v>
      </x:c>
    </x:row>
    <x:row r="892">
      <x:c r="A892" s="18" t="s">
        <x:v>2037</x:v>
      </x:c>
      <x:c r="B892" s="19" t="s">
        <x:v>2038</x:v>
      </x:c>
      <x:c r="C892" s="20">
        <x:v>83024110</x:v>
      </x:c>
      <x:c r="D892" s="20">
        <x:v>857.14</x:v>
      </x:c>
      <x:c r="E892" s="18" t="s">
        <x:v>227</x:v>
      </x:c>
      <x:c r="F892" s="19" t="s">
        <x:v>11</x:v>
      </x:c>
      <x:c r="G892" s="20">
        <x:v>0</x:v>
      </x:c>
      <x:c r="H892" s="21"/>
      <x:c r="I892" s="21" t="s">
        <x:v>2039</x:v>
      </x:c>
      <x:c r="J892" s="23">
        <x:v>18</x:v>
      </x:c>
      <x:c r="K892" s="23">
        <x:v>12150</x:v>
      </x:c>
      <x:c r="L892" s="23">
        <x:v>18</x:v>
      </x:c>
    </x:row>
    <x:row r="893">
      <x:c r="A893" s="18" t="s">
        <x:v>2040</x:v>
      </x:c>
      <x:c r="B893" s="19" t="s">
        <x:v>2041</x:v>
      </x:c>
      <x:c r="C893" s="20">
        <x:v>83024110</x:v>
      </x:c>
      <x:c r="D893" s="20">
        <x:v>25.71</x:v>
      </x:c>
      <x:c r="E893" s="18" t="s">
        <x:v>227</x:v>
      </x:c>
      <x:c r="F893" s="19" t="s">
        <x:v>11</x:v>
      </x:c>
      <x:c r="G893" s="20">
        <x:v>0</x:v>
      </x:c>
      <x:c r="H893" s="21"/>
      <x:c r="I893" s="21" t="s">
        <x:v>2022</x:v>
      </x:c>
      <x:c r="J893" s="22">
        <x:v>0</x:v>
      </x:c>
      <x:c r="K893" s="22">
        <x:v>0</x:v>
      </x:c>
      <x:c r="L893" s="23">
        <x:v>0</x:v>
      </x:c>
    </x:row>
    <x:row r="894">
      <x:c r="A894" s="18" t="s">
        <x:v>2042</x:v>
      </x:c>
      <x:c r="B894" s="19" t="s">
        <x:v>2043</x:v>
      </x:c>
      <x:c r="C894" s="20">
        <x:v>83024110</x:v>
      </x:c>
      <x:c r="D894" s="20">
        <x:v>730.87</x:v>
      </x:c>
      <x:c r="E894" s="18" t="s">
        <x:v>227</x:v>
      </x:c>
      <x:c r="F894" s="19" t="s">
        <x:v>11</x:v>
      </x:c>
      <x:c r="G894" s="20">
        <x:v>0</x:v>
      </x:c>
      <x:c r="H894" s="21"/>
      <x:c r="I894" s="21" t="s">
        <x:v>2025</x:v>
      </x:c>
      <x:c r="J894" s="23">
        <x:v>3</x:v>
      </x:c>
      <x:c r="K894" s="23">
        <x:v>3795</x:v>
      </x:c>
      <x:c r="L894" s="23">
        <x:v>3</x:v>
      </x:c>
    </x:row>
    <x:row r="895">
      <x:c r="A895" s="18" t="s">
        <x:v>2044</x:v>
      </x:c>
      <x:c r="B895" s="19" t="s">
        <x:v>2045</x:v>
      </x:c>
      <x:c r="C895" s="20">
        <x:v>83024110</x:v>
      </x:c>
      <x:c r="D895" s="20">
        <x:v>54</x:v>
      </x:c>
      <x:c r="E895" s="18" t="s">
        <x:v>227</x:v>
      </x:c>
      <x:c r="F895" s="19" t="s">
        <x:v>11</x:v>
      </x:c>
      <x:c r="G895" s="20">
        <x:v>0</x:v>
      </x:c>
      <x:c r="H895" s="21"/>
      <x:c r="I895" s="21" t="s">
        <x:v>2025</x:v>
      </x:c>
      <x:c r="J895" s="23">
        <x:v>2</x:v>
      </x:c>
      <x:c r="K895" s="23">
        <x:v>2090</x:v>
      </x:c>
      <x:c r="L895" s="23">
        <x:v>2</x:v>
      </x:c>
    </x:row>
    <x:row r="896">
      <x:c r="A896" s="18" t="s">
        <x:v>2046</x:v>
      </x:c>
      <x:c r="B896" s="19" t="s">
        <x:v>2047</x:v>
      </x:c>
      <x:c r="C896" s="20">
        <x:v>83024110</x:v>
      </x:c>
      <x:c r="D896" s="20">
        <x:v>390</x:v>
      </x:c>
      <x:c r="E896" s="18" t="s">
        <x:v>227</x:v>
      </x:c>
      <x:c r="F896" s="19" t="s">
        <x:v>11</x:v>
      </x:c>
      <x:c r="G896" s="20">
        <x:v>0</x:v>
      </x:c>
      <x:c r="H896" s="21"/>
      <x:c r="I896" s="21" t="s">
        <x:v>2019</x:v>
      </x:c>
      <x:c r="J896" s="22">
        <x:v>0</x:v>
      </x:c>
      <x:c r="K896" s="22">
        <x:v>0</x:v>
      </x:c>
      <x:c r="L896" s="23">
        <x:v>0</x:v>
      </x:c>
    </x:row>
    <x:row r="897">
      <x:c r="A897" s="18" t="s">
        <x:v>2048</x:v>
      </x:c>
      <x:c r="B897" s="19" t="s">
        <x:v>2049</x:v>
      </x:c>
      <x:c r="C897" s="20">
        <x:v>83024110</x:v>
      </x:c>
      <x:c r="D897" s="20">
        <x:v>250</x:v>
      </x:c>
      <x:c r="E897" s="18" t="s">
        <x:v>227</x:v>
      </x:c>
      <x:c r="F897" s="19" t="s">
        <x:v>11</x:v>
      </x:c>
      <x:c r="G897" s="20">
        <x:v>0</x:v>
      </x:c>
      <x:c r="H897" s="21"/>
      <x:c r="I897" s="21"/>
      <x:c r="J897" s="22">
        <x:v>0</x:v>
      </x:c>
      <x:c r="K897" s="22">
        <x:v>0</x:v>
      </x:c>
      <x:c r="L897" s="23">
        <x:v>0</x:v>
      </x:c>
    </x:row>
    <x:row r="898">
      <x:c r="A898" s="18" t="s">
        <x:v>2050</x:v>
      </x:c>
      <x:c r="B898" s="19" t="s">
        <x:v>2051</x:v>
      </x:c>
      <x:c r="C898" s="20">
        <x:v>83024110</x:v>
      </x:c>
      <x:c r="D898" s="20">
        <x:v>130</x:v>
      </x:c>
      <x:c r="E898" s="18" t="s">
        <x:v>227</x:v>
      </x:c>
      <x:c r="F898" s="19" t="s">
        <x:v>11</x:v>
      </x:c>
      <x:c r="G898" s="20">
        <x:v>0</x:v>
      </x:c>
      <x:c r="H898" s="21"/>
      <x:c r="I898" s="21" t="s">
        <x:v>2022</x:v>
      </x:c>
      <x:c r="J898" s="23">
        <x:v>10</x:v>
      </x:c>
      <x:c r="K898" s="23">
        <x:v>2720</x:v>
      </x:c>
      <x:c r="L898" s="23">
        <x:v>10</x:v>
      </x:c>
    </x:row>
    <x:row r="899">
      <x:c r="A899" s="18" t="s">
        <x:v>2052</x:v>
      </x:c>
      <x:c r="B899" s="19" t="s">
        <x:v>2053</x:v>
      </x:c>
      <x:c r="C899" s="20">
        <x:v>83024110</x:v>
      </x:c>
      <x:c r="D899" s="20">
        <x:v>2408.92</x:v>
      </x:c>
      <x:c r="E899" s="18" t="s">
        <x:v>227</x:v>
      </x:c>
      <x:c r="F899" s="19" t="s">
        <x:v>82</x:v>
      </x:c>
      <x:c r="G899" s="20">
        <x:v>0</x:v>
      </x:c>
      <x:c r="H899" s="21"/>
      <x:c r="I899" s="21" t="s">
        <x:v>2054</x:v>
      </x:c>
      <x:c r="J899" s="22">
        <x:v>0</x:v>
      </x:c>
      <x:c r="K899" s="22">
        <x:v>0</x:v>
      </x:c>
      <x:c r="L899" s="23">
        <x:v>0</x:v>
      </x:c>
    </x:row>
    <x:row r="900">
      <x:c r="A900" s="18" t="s">
        <x:v>2055</x:v>
      </x:c>
      <x:c r="B900" s="19" t="s">
        <x:v>2056</x:v>
      </x:c>
      <x:c r="C900" s="20">
        <x:v>83024110</x:v>
      </x:c>
      <x:c r="D900" s="20">
        <x:v>2018.52</x:v>
      </x:c>
      <x:c r="E900" s="18" t="s">
        <x:v>227</x:v>
      </x:c>
      <x:c r="F900" s="19" t="s">
        <x:v>11</x:v>
      </x:c>
      <x:c r="G900" s="20">
        <x:v>0</x:v>
      </x:c>
      <x:c r="H900" s="21"/>
      <x:c r="I900" s="21" t="s">
        <x:v>2019</x:v>
      </x:c>
      <x:c r="J900" s="22">
        <x:v>0</x:v>
      </x:c>
      <x:c r="K900" s="22">
        <x:v>0</x:v>
      </x:c>
      <x:c r="L900" s="23">
        <x:v>0</x:v>
      </x:c>
    </x:row>
    <x:row r="901">
      <x:c r="A901" s="18" t="s">
        <x:v>2057</x:v>
      </x:c>
      <x:c r="B901" s="19" t="s">
        <x:v>2058</x:v>
      </x:c>
      <x:c r="C901" s="20">
        <x:v>83024110</x:v>
      </x:c>
      <x:c r="D901" s="20">
        <x:v>7.56</x:v>
      </x:c>
      <x:c r="E901" s="18" t="s">
        <x:v>227</x:v>
      </x:c>
      <x:c r="F901" s="19" t="s">
        <x:v>11</x:v>
      </x:c>
      <x:c r="G901" s="20">
        <x:v>0</x:v>
      </x:c>
      <x:c r="H901" s="21"/>
      <x:c r="I901" s="21" t="s">
        <x:v>2019</x:v>
      </x:c>
      <x:c r="J901" s="22">
        <x:v>0</x:v>
      </x:c>
      <x:c r="K901" s="22">
        <x:v>0</x:v>
      </x:c>
      <x:c r="L901" s="23">
        <x:v>0</x:v>
      </x:c>
    </x:row>
    <x:row r="902">
      <x:c r="A902" s="18" t="s">
        <x:v>2059</x:v>
      </x:c>
      <x:c r="B902" s="19" t="s">
        <x:v>2060</x:v>
      </x:c>
      <x:c r="C902" s="20">
        <x:v>83024110</x:v>
      </x:c>
      <x:c r="D902" s="20">
        <x:v>1282.33</x:v>
      </x:c>
      <x:c r="E902" s="18" t="s">
        <x:v>227</x:v>
      </x:c>
      <x:c r="F902" s="19" t="s">
        <x:v>11</x:v>
      </x:c>
      <x:c r="G902" s="20">
        <x:v>0</x:v>
      </x:c>
      <x:c r="H902" s="21"/>
      <x:c r="I902" s="21" t="s">
        <x:v>2061</x:v>
      </x:c>
      <x:c r="J902" s="22">
        <x:v>0</x:v>
      </x:c>
      <x:c r="K902" s="22">
        <x:v>0</x:v>
      </x:c>
      <x:c r="L902" s="23">
        <x:v>0</x:v>
      </x:c>
    </x:row>
    <x:row r="903">
      <x:c r="A903" s="18" t="s">
        <x:v>2062</x:v>
      </x:c>
      <x:c r="B903" s="19" t="s">
        <x:v>2063</x:v>
      </x:c>
      <x:c r="C903" s="20">
        <x:v>83024110</x:v>
      </x:c>
      <x:c r="D903" s="20">
        <x:v>9.2100000000000009</x:v>
      </x:c>
      <x:c r="E903" s="18" t="s">
        <x:v>227</x:v>
      </x:c>
      <x:c r="F903" s="19" t="s">
        <x:v>11</x:v>
      </x:c>
      <x:c r="G903" s="20">
        <x:v>0</x:v>
      </x:c>
      <x:c r="H903" s="21"/>
      <x:c r="I903" s="21" t="s">
        <x:v>2061</x:v>
      </x:c>
      <x:c r="J903" s="22">
        <x:v>0</x:v>
      </x:c>
      <x:c r="K903" s="22">
        <x:v>0</x:v>
      </x:c>
      <x:c r="L903" s="23">
        <x:v>0</x:v>
      </x:c>
    </x:row>
    <x:row r="904">
      <x:c r="A904" s="18" t="s">
        <x:v>2064</x:v>
      </x:c>
      <x:c r="B904" s="19" t="s">
        <x:v>2065</x:v>
      </x:c>
      <x:c r="C904" s="20">
        <x:v>83024110</x:v>
      </x:c>
      <x:c r="D904" s="20">
        <x:v>450</x:v>
      </x:c>
      <x:c r="E904" s="18" t="s">
        <x:v>227</x:v>
      </x:c>
      <x:c r="F904" s="19" t="s">
        <x:v>11</x:v>
      </x:c>
      <x:c r="G904" s="20">
        <x:v>2299</x:v>
      </x:c>
      <x:c r="H904" s="21"/>
      <x:c r="I904" s="26" t="s">
        <x:v>2061</x:v>
      </x:c>
      <x:c r="J904" s="22">
        <x:v>0</x:v>
      </x:c>
      <x:c r="K904" s="22">
        <x:v>0</x:v>
      </x:c>
      <x:c r="L904" s="23">
        <x:v>0</x:v>
      </x:c>
    </x:row>
    <x:row r="905">
      <x:c r="A905" s="18" t="s">
        <x:v>2066</x:v>
      </x:c>
      <x:c r="B905" s="19" t="s">
        <x:v>2067</x:v>
      </x:c>
      <x:c r="C905" s="20">
        <x:v>83024110</x:v>
      </x:c>
      <x:c r="D905" s="20">
        <x:v>4325.82</x:v>
      </x:c>
      <x:c r="E905" s="18" t="s">
        <x:v>227</x:v>
      </x:c>
      <x:c r="F905" s="19" t="s">
        <x:v>11</x:v>
      </x:c>
      <x:c r="G905" s="20">
        <x:v>2599</x:v>
      </x:c>
      <x:c r="H905" s="21"/>
      <x:c r="I905" s="26" t="s">
        <x:v>2061</x:v>
      </x:c>
      <x:c r="J905" s="22">
        <x:v>0</x:v>
      </x:c>
      <x:c r="K905" s="22">
        <x:v>0</x:v>
      </x:c>
      <x:c r="L905" s="23">
        <x:v>0</x:v>
      </x:c>
    </x:row>
    <x:row r="906">
      <x:c r="A906" s="18" t="s">
        <x:v>2068</x:v>
      </x:c>
      <x:c r="B906" s="19" t="s">
        <x:v>2069</x:v>
      </x:c>
      <x:c r="C906" s="20">
        <x:v>83024110</x:v>
      </x:c>
      <x:c r="D906" s="20">
        <x:v>4598.72</x:v>
      </x:c>
      <x:c r="E906" s="18" t="s">
        <x:v>227</x:v>
      </x:c>
      <x:c r="F906" s="19" t="s">
        <x:v>11</x:v>
      </x:c>
      <x:c r="G906" s="20">
        <x:v>2999</x:v>
      </x:c>
      <x:c r="H906" s="21"/>
      <x:c r="I906" s="26" t="s">
        <x:v>2061</x:v>
      </x:c>
      <x:c r="J906" s="22">
        <x:v>0</x:v>
      </x:c>
      <x:c r="K906" s="22">
        <x:v>0</x:v>
      </x:c>
      <x:c r="L906" s="23">
        <x:v>0</x:v>
      </x:c>
    </x:row>
    <x:row r="907">
      <x:c r="A907" s="18" t="s">
        <x:v>2070</x:v>
      </x:c>
      <x:c r="B907" s="19" t="s">
        <x:v>2071</x:v>
      </x:c>
      <x:c r="C907" s="20">
        <x:v>83024110</x:v>
      </x:c>
      <x:c r="D907" s="20">
        <x:v>15.5</x:v>
      </x:c>
      <x:c r="E907" s="18" t="s">
        <x:v>227</x:v>
      </x:c>
      <x:c r="F907" s="19" t="s">
        <x:v>11</x:v>
      </x:c>
      <x:c r="G907" s="20">
        <x:v>0</x:v>
      </x:c>
      <x:c r="H907" s="21"/>
      <x:c r="I907" s="21" t="s">
        <x:v>2022</x:v>
      </x:c>
      <x:c r="J907" s="23">
        <x:v>6</x:v>
      </x:c>
      <x:c r="K907" s="23">
        <x:v>19371</x:v>
      </x:c>
      <x:c r="L907" s="23">
        <x:v>6</x:v>
      </x:c>
    </x:row>
    <x:row r="908">
      <x:c r="A908" s="18" t="s">
        <x:v>2072</x:v>
      </x:c>
      <x:c r="B908" s="19" t="s">
        <x:v>2073</x:v>
      </x:c>
      <x:c r="C908" s="20">
        <x:v>83024110</x:v>
      </x:c>
      <x:c r="D908" s="20">
        <x:v>240.1</x:v>
      </x:c>
      <x:c r="E908" s="18" t="s">
        <x:v>227</x:v>
      </x:c>
      <x:c r="F908" s="19" t="s">
        <x:v>11</x:v>
      </x:c>
      <x:c r="G908" s="20">
        <x:v>0</x:v>
      </x:c>
      <x:c r="H908" s="21"/>
      <x:c r="I908" s="21" t="s">
        <x:v>255</x:v>
      </x:c>
      <x:c r="J908" s="22">
        <x:v>0</x:v>
      </x:c>
      <x:c r="K908" s="22">
        <x:v>0</x:v>
      </x:c>
      <x:c r="L908" s="23">
        <x:v>0</x:v>
      </x:c>
    </x:row>
    <x:row r="909">
      <x:c r="A909" s="18" t="s">
        <x:v>2074</x:v>
      </x:c>
      <x:c r="B909" s="19" t="s">
        <x:v>2075</x:v>
      </x:c>
      <x:c r="C909" s="20">
        <x:v>83024110</x:v>
      </x:c>
      <x:c r="D909" s="20">
        <x:v>11</x:v>
      </x:c>
      <x:c r="E909" s="18" t="s">
        <x:v>227</x:v>
      </x:c>
      <x:c r="F909" s="19" t="s">
        <x:v>11</x:v>
      </x:c>
      <x:c r="G909" s="20">
        <x:v>775</x:v>
      </x:c>
      <x:c r="H909" s="21"/>
      <x:c r="I909" s="26" t="s">
        <x:v>255</x:v>
      </x:c>
      <x:c r="J909" s="22">
        <x:v>0</x:v>
      </x:c>
      <x:c r="K909" s="22">
        <x:v>0</x:v>
      </x:c>
      <x:c r="L909" s="23">
        <x:v>0</x:v>
      </x:c>
    </x:row>
    <x:row r="910">
      <x:c r="A910" s="18" t="s">
        <x:v>2076</x:v>
      </x:c>
      <x:c r="B910" s="19" t="s">
        <x:v>2077</x:v>
      </x:c>
      <x:c r="C910" s="20">
        <x:v>83024110</x:v>
      </x:c>
      <x:c r="D910" s="20">
        <x:v>1370</x:v>
      </x:c>
      <x:c r="E910" s="18" t="s">
        <x:v>227</x:v>
      </x:c>
      <x:c r="F910" s="19" t="s">
        <x:v>11</x:v>
      </x:c>
      <x:c r="G910" s="20">
        <x:v>0</x:v>
      </x:c>
      <x:c r="H910" s="21"/>
      <x:c r="I910" s="21" t="s">
        <x:v>2022</x:v>
      </x:c>
      <x:c r="J910" s="22">
        <x:v>0</x:v>
      </x:c>
      <x:c r="K910" s="22">
        <x:v>0</x:v>
      </x:c>
      <x:c r="L910" s="23">
        <x:v>0</x:v>
      </x:c>
    </x:row>
    <x:row r="911">
      <x:c r="A911" s="18" t="s">
        <x:v>2078</x:v>
      </x:c>
      <x:c r="B911" s="19" t="s">
        <x:v>2079</x:v>
      </x:c>
      <x:c r="C911" s="20">
        <x:v>83024110</x:v>
      </x:c>
      <x:c r="D911" s="20">
        <x:v>600</x:v>
      </x:c>
      <x:c r="E911" s="18" t="s">
        <x:v>227</x:v>
      </x:c>
      <x:c r="F911" s="19" t="s">
        <x:v>11</x:v>
      </x:c>
      <x:c r="G911" s="20">
        <x:v>0</x:v>
      </x:c>
      <x:c r="H911" s="21"/>
      <x:c r="I911" s="21" t="s">
        <x:v>854</x:v>
      </x:c>
      <x:c r="J911" s="23">
        <x:v>28</x:v>
      </x:c>
      <x:c r="K911" s="23">
        <x:v>15680</x:v>
      </x:c>
      <x:c r="L911" s="23">
        <x:v>4</x:v>
      </x:c>
    </x:row>
    <x:row r="912">
      <x:c r="A912" s="18" t="s">
        <x:v>2080</x:v>
      </x:c>
      <x:c r="B912" s="19" t="s">
        <x:v>2081</x:v>
      </x:c>
      <x:c r="C912" s="20">
        <x:v>83024110</x:v>
      </x:c>
      <x:c r="D912" s="20">
        <x:v>746.67</x:v>
      </x:c>
      <x:c r="E912" s="18" t="s">
        <x:v>227</x:v>
      </x:c>
      <x:c r="F912" s="19" t="s">
        <x:v>11</x:v>
      </x:c>
      <x:c r="G912" s="20">
        <x:v>0</x:v>
      </x:c>
      <x:c r="H912" s="21"/>
      <x:c r="I912" s="21"/>
      <x:c r="J912" s="23">
        <x:v>4</x:v>
      </x:c>
      <x:c r="K912" s="23">
        <x:v>800</x:v>
      </x:c>
      <x:c r="L912" s="23">
        <x:v>4</x:v>
      </x:c>
    </x:row>
    <x:row r="913">
      <x:c r="A913" s="18" t="s">
        <x:v>2082</x:v>
      </x:c>
      <x:c r="B913" s="19" t="s">
        <x:v>2083</x:v>
      </x:c>
      <x:c r="C913" s="20">
        <x:v>83024110</x:v>
      </x:c>
      <x:c r="D913" s="20">
        <x:v>934</x:v>
      </x:c>
      <x:c r="E913" s="18" t="s">
        <x:v>227</x:v>
      </x:c>
      <x:c r="F913" s="19" t="s">
        <x:v>11</x:v>
      </x:c>
      <x:c r="G913" s="20">
        <x:v>0</x:v>
      </x:c>
      <x:c r="H913" s="21"/>
      <x:c r="I913" s="21" t="s">
        <x:v>2022</x:v>
      </x:c>
      <x:c r="J913" s="22">
        <x:v>0</x:v>
      </x:c>
      <x:c r="K913" s="22">
        <x:v>0</x:v>
      </x:c>
      <x:c r="L913" s="23">
        <x:v>0</x:v>
      </x:c>
    </x:row>
    <x:row r="914">
      <x:c r="A914" s="18" t="s">
        <x:v>2084</x:v>
      </x:c>
      <x:c r="B914" s="19" t="s">
        <x:v>2085</x:v>
      </x:c>
      <x:c r="C914" s="20">
        <x:v>83024110</x:v>
      </x:c>
      <x:c r="D914" s="20">
        <x:v>306.08</x:v>
      </x:c>
      <x:c r="E914" s="18" t="s">
        <x:v>227</x:v>
      </x:c>
      <x:c r="F914" s="19" t="s">
        <x:v>11</x:v>
      </x:c>
      <x:c r="G914" s="20">
        <x:v>0</x:v>
      </x:c>
      <x:c r="H914" s="21"/>
      <x:c r="I914" s="21" t="s">
        <x:v>252</x:v>
      </x:c>
      <x:c r="J914" s="22">
        <x:v>0</x:v>
      </x:c>
      <x:c r="K914" s="22">
        <x:v>0</x:v>
      </x:c>
      <x:c r="L914" s="23">
        <x:v>0</x:v>
      </x:c>
    </x:row>
    <x:row r="915">
      <x:c r="A915" s="18" t="s">
        <x:v>2086</x:v>
      </x:c>
      <x:c r="B915" s="19" t="s">
        <x:v>2087</x:v>
      </x:c>
      <x:c r="C915" s="20">
        <x:v>83024110</x:v>
      </x:c>
      <x:c r="D915" s="20">
        <x:v>125</x:v>
      </x:c>
      <x:c r="E915" s="18" t="s">
        <x:v>227</x:v>
      </x:c>
      <x:c r="F915" s="19" t="s">
        <x:v>11</x:v>
      </x:c>
      <x:c r="G915" s="20">
        <x:v>0</x:v>
      </x:c>
      <x:c r="H915" s="21"/>
      <x:c r="I915" s="21"/>
      <x:c r="J915" s="22">
        <x:v>0</x:v>
      </x:c>
      <x:c r="K915" s="22">
        <x:v>0</x:v>
      </x:c>
      <x:c r="L915" s="23">
        <x:v>-84</x:v>
      </x:c>
    </x:row>
    <x:row r="916">
      <x:c r="A916" s="18" t="s">
        <x:v>2088</x:v>
      </x:c>
      <x:c r="B916" s="19" t="s">
        <x:v>2089</x:v>
      </x:c>
      <x:c r="C916" s="20">
        <x:v>73269099</x:v>
      </x:c>
      <x:c r="D916" s="20">
        <x:v>2439</x:v>
      </x:c>
      <x:c r="E916" s="18" t="s">
        <x:v>227</x:v>
      </x:c>
      <x:c r="F916" s="19" t="s">
        <x:v>82</x:v>
      </x:c>
      <x:c r="G916" s="20">
        <x:v>55</x:v>
      </x:c>
      <x:c r="H916" s="21"/>
      <x:c r="I916" s="26" t="s">
        <x:v>233</x:v>
      </x:c>
      <x:c r="J916" s="23">
        <x:v>1231</x:v>
      </x:c>
      <x:c r="K916" s="23">
        <x:v>67705</x:v>
      </x:c>
      <x:c r="L916" s="23">
        <x:v>255</x:v>
      </x:c>
    </x:row>
    <x:row r="917">
      <x:c r="A917" s="18" t="s">
        <x:v>2090</x:v>
      </x:c>
      <x:c r="B917" s="19" t="s">
        <x:v>2091</x:v>
      </x:c>
      <x:c r="C917" s="20">
        <x:v>73269099</x:v>
      </x:c>
      <x:c r="D917" s="20">
        <x:v>7287.21</x:v>
      </x:c>
      <x:c r="E917" s="18" t="s">
        <x:v>227</x:v>
      </x:c>
      <x:c r="F917" s="19" t="s">
        <x:v>11</x:v>
      </x:c>
      <x:c r="G917" s="20">
        <x:v>85</x:v>
      </x:c>
      <x:c r="H917" s="21"/>
      <x:c r="I917" s="26" t="s">
        <x:v>965</x:v>
      </x:c>
      <x:c r="J917" s="23">
        <x:v>756</x:v>
      </x:c>
      <x:c r="K917" s="23">
        <x:v>65884</x:v>
      </x:c>
      <x:c r="L917" s="23">
        <x:v>1006</x:v>
      </x:c>
    </x:row>
    <x:row r="918">
      <x:c r="A918" s="18" t="s">
        <x:v>2092</x:v>
      </x:c>
      <x:c r="B918" s="19" t="s">
        <x:v>2093</x:v>
      </x:c>
      <x:c r="C918" s="20">
        <x:v>73269099</x:v>
      </x:c>
      <x:c r="D918" s="20">
        <x:v>15.5</x:v>
      </x:c>
      <x:c r="E918" s="18" t="s">
        <x:v>227</x:v>
      </x:c>
      <x:c r="F918" s="19" t="s">
        <x:v>11</x:v>
      </x:c>
      <x:c r="G918" s="20">
        <x:v>191</x:v>
      </x:c>
      <x:c r="H918" s="21"/>
      <x:c r="I918" s="26" t="s">
        <x:v>965</x:v>
      </x:c>
      <x:c r="J918" s="23">
        <x:v>359</x:v>
      </x:c>
      <x:c r="K918" s="23">
        <x:v>68688</x:v>
      </x:c>
      <x:c r="L918" s="23">
        <x:v>466</x:v>
      </x:c>
    </x:row>
    <x:row r="919">
      <x:c r="A919" s="18" t="s">
        <x:v>2094</x:v>
      </x:c>
      <x:c r="B919" s="19" t="s">
        <x:v>2095</x:v>
      </x:c>
      <x:c r="C919" s="20">
        <x:v>73269099</x:v>
      </x:c>
      <x:c r="D919" s="20">
        <x:v>362.34</x:v>
      </x:c>
      <x:c r="E919" s="18" t="s">
        <x:v>227</x:v>
      </x:c>
      <x:c r="F919" s="19" t="s">
        <x:v>11</x:v>
      </x:c>
      <x:c r="G919" s="20">
        <x:v>191</x:v>
      </x:c>
      <x:c r="H919" s="21"/>
      <x:c r="I919" s="26" t="s">
        <x:v>965</x:v>
      </x:c>
      <x:c r="J919" s="23">
        <x:v>369</x:v>
      </x:c>
      <x:c r="K919" s="23">
        <x:v>70608</x:v>
      </x:c>
      <x:c r="L919" s="23">
        <x:v>476</x:v>
      </x:c>
    </x:row>
    <x:row r="920">
      <x:c r="A920" s="18" t="s">
        <x:v>2096</x:v>
      </x:c>
      <x:c r="B920" s="19" t="s">
        <x:v>2097</x:v>
      </x:c>
      <x:c r="C920" s="20">
        <x:v>73269099</x:v>
      </x:c>
      <x:c r="D920" s="20">
        <x:v>6</x:v>
      </x:c>
      <x:c r="E920" s="18" t="s">
        <x:v>227</x:v>
      </x:c>
      <x:c r="F920" s="19" t="s">
        <x:v>11</x:v>
      </x:c>
      <x:c r="G920" s="20">
        <x:v>155</x:v>
      </x:c>
      <x:c r="H920" s="21"/>
      <x:c r="I920" s="26" t="s">
        <x:v>272</x:v>
      </x:c>
      <x:c r="J920" s="23">
        <x:v>60</x:v>
      </x:c>
      <x:c r="K920" s="23">
        <x:v>9300</x:v>
      </x:c>
      <x:c r="L920" s="23">
        <x:v>10</x:v>
      </x:c>
    </x:row>
    <x:row r="921">
      <x:c r="A921" s="18" t="s">
        <x:v>2098</x:v>
      </x:c>
      <x:c r="B921" s="19" t="s">
        <x:v>2099</x:v>
      </x:c>
      <x:c r="C921" s="20">
        <x:v>73269099</x:v>
      </x:c>
      <x:c r="D921" s="20">
        <x:v>5875</x:v>
      </x:c>
      <x:c r="E921" s="18" t="s">
        <x:v>227</x:v>
      </x:c>
      <x:c r="F921" s="19" t="s">
        <x:v>11</x:v>
      </x:c>
      <x:c r="G921" s="20">
        <x:v>155</x:v>
      </x:c>
      <x:c r="H921" s="21"/>
      <x:c r="I921" s="26" t="s">
        <x:v>272</x:v>
      </x:c>
      <x:c r="J921" s="23">
        <x:v>52</x:v>
      </x:c>
      <x:c r="K921" s="23">
        <x:v>8060</x:v>
      </x:c>
      <x:c r="L921" s="23">
        <x:v>2</x:v>
      </x:c>
    </x:row>
    <x:row r="922">
      <x:c r="A922" s="18" t="s">
        <x:v>2100</x:v>
      </x:c>
      <x:c r="B922" s="19" t="s">
        <x:v>2101</x:v>
      </x:c>
      <x:c r="C922" s="20">
        <x:v>73269099</x:v>
      </x:c>
      <x:c r="D922" s="20">
        <x:v>1468</x:v>
      </x:c>
      <x:c r="E922" s="18" t="s">
        <x:v>227</x:v>
      </x:c>
      <x:c r="F922" s="19" t="s">
        <x:v>41</x:v>
      </x:c>
      <x:c r="G922" s="20">
        <x:v>0</x:v>
      </x:c>
      <x:c r="H922" s="21"/>
      <x:c r="I922" s="21" t="s">
        <x:v>252</x:v>
      </x:c>
      <x:c r="J922" s="23">
        <x:v>52.2</x:v>
      </x:c>
      <x:c r="K922" s="23">
        <x:v>9403.25</x:v>
      </x:c>
      <x:c r="L922" s="23">
        <x:v>3.2</x:v>
      </x:c>
    </x:row>
    <x:row r="923">
      <x:c r="A923" s="18" t="s">
        <x:v>2102</x:v>
      </x:c>
      <x:c r="B923" s="19" t="s">
        <x:v>2103</x:v>
      </x:c>
      <x:c r="C923" s="20">
        <x:v>76042930</x:v>
      </x:c>
      <x:c r="D923" s="20">
        <x:v>975</x:v>
      </x:c>
      <x:c r="E923" s="18" t="s">
        <x:v>227</x:v>
      </x:c>
      <x:c r="F923" s="19" t="s">
        <x:v>41</x:v>
      </x:c>
      <x:c r="G923" s="20">
        <x:v>167.89</x:v>
      </x:c>
      <x:c r="H923" s="21"/>
      <x:c r="I923" s="26" t="s">
        <x:v>245</x:v>
      </x:c>
      <x:c r="J923" s="23">
        <x:v>186</x:v>
      </x:c>
      <x:c r="K923" s="23">
        <x:v>36599.74</x:v>
      </x:c>
      <x:c r="L923" s="23">
        <x:v>1801</x:v>
      </x:c>
    </x:row>
    <x:row r="924">
      <x:c r="A924" s="18" t="s">
        <x:v>2104</x:v>
      </x:c>
      <x:c r="B924" s="19" t="s">
        <x:v>2105</x:v>
      </x:c>
      <x:c r="C924" s="20">
        <x:v>73239390</x:v>
      </x:c>
      <x:c r="D924" s="20">
        <x:v>382.98</x:v>
      </x:c>
      <x:c r="E924" s="18" t="s">
        <x:v>227</x:v>
      </x:c>
      <x:c r="F924" s="19" t="s">
        <x:v>11</x:v>
      </x:c>
      <x:c r="G924" s="20">
        <x:v>0</x:v>
      </x:c>
      <x:c r="H924" s="21"/>
      <x:c r="I924" s="21" t="s">
        <x:v>2106</x:v>
      </x:c>
      <x:c r="J924" s="22">
        <x:v>0</x:v>
      </x:c>
      <x:c r="K924" s="22">
        <x:v>0</x:v>
      </x:c>
      <x:c r="L924" s="23">
        <x:v>0</x:v>
      </x:c>
    </x:row>
    <x:row r="925">
      <x:c r="A925" s="18" t="s">
        <x:v>2107</x:v>
      </x:c>
      <x:c r="B925" s="19" t="s">
        <x:v>2108</x:v>
      </x:c>
      <x:c r="C925" s="20">
        <x:v>73239390</x:v>
      </x:c>
      <x:c r="D925" s="20">
        <x:v>7.5</x:v>
      </x:c>
      <x:c r="E925" s="18" t="s">
        <x:v>227</x:v>
      </x:c>
      <x:c r="F925" s="19" t="s">
        <x:v>11</x:v>
      </x:c>
      <x:c r="G925" s="20">
        <x:v>0</x:v>
      </x:c>
      <x:c r="H925" s="21"/>
      <x:c r="I925" s="21" t="s">
        <x:v>2106</x:v>
      </x:c>
      <x:c r="J925" s="22">
        <x:v>0</x:v>
      </x:c>
      <x:c r="K925" s="22">
        <x:v>0</x:v>
      </x:c>
      <x:c r="L925" s="23">
        <x:v>0</x:v>
      </x:c>
    </x:row>
    <x:row r="926">
      <x:c r="A926" s="18" t="s">
        <x:v>2109</x:v>
      </x:c>
      <x:c r="B926" s="19" t="s">
        <x:v>2110</x:v>
      </x:c>
      <x:c r="C926" s="20">
        <x:v>73239390</x:v>
      </x:c>
      <x:c r="D926" s="20">
        <x:v>46</x:v>
      </x:c>
      <x:c r="E926" s="18" t="s">
        <x:v>227</x:v>
      </x:c>
      <x:c r="F926" s="19" t="s">
        <x:v>11</x:v>
      </x:c>
      <x:c r="G926" s="20">
        <x:v>0</x:v>
      </x:c>
      <x:c r="H926" s="21"/>
      <x:c r="I926" s="21" t="s">
        <x:v>2106</x:v>
      </x:c>
      <x:c r="J926" s="22">
        <x:v>0</x:v>
      </x:c>
      <x:c r="K926" s="22">
        <x:v>0</x:v>
      </x:c>
      <x:c r="L926" s="23">
        <x:v>0</x:v>
      </x:c>
    </x:row>
    <x:row r="927">
      <x:c r="A927" s="18" t="s">
        <x:v>2111</x:v>
      </x:c>
      <x:c r="B927" s="19" t="s">
        <x:v>2112</x:v>
      </x:c>
      <x:c r="C927" s="20">
        <x:v>73239390</x:v>
      </x:c>
      <x:c r="D927" s="20">
        <x:v>15.5</x:v>
      </x:c>
      <x:c r="E927" s="18" t="s">
        <x:v>227</x:v>
      </x:c>
      <x:c r="F927" s="19" t="s">
        <x:v>11</x:v>
      </x:c>
      <x:c r="G927" s="20">
        <x:v>0</x:v>
      </x:c>
      <x:c r="H927" s="21"/>
      <x:c r="I927" s="21" t="s">
        <x:v>2106</x:v>
      </x:c>
      <x:c r="J927" s="22">
        <x:v>0</x:v>
      </x:c>
      <x:c r="K927" s="22">
        <x:v>0</x:v>
      </x:c>
      <x:c r="L927" s="23">
        <x:v>0</x:v>
      </x:c>
    </x:row>
    <x:row r="928">
      <x:c r="A928" s="18" t="s">
        <x:v>2113</x:v>
      </x:c>
      <x:c r="B928" s="19" t="s">
        <x:v>2114</x:v>
      </x:c>
      <x:c r="C928" s="20">
        <x:v>85311010</x:v>
      </x:c>
      <x:c r="D928" s="20">
        <x:v>14500</x:v>
      </x:c>
      <x:c r="E928" s="18" t="s">
        <x:v>227</x:v>
      </x:c>
      <x:c r="F928" s="19" t="s">
        <x:v>11</x:v>
      </x:c>
      <x:c r="G928" s="20">
        <x:v>0</x:v>
      </x:c>
      <x:c r="H928" s="21"/>
      <x:c r="I928" s="21" t="s">
        <x:v>2115</x:v>
      </x:c>
      <x:c r="J928" s="22">
        <x:v>0</x:v>
      </x:c>
      <x:c r="K928" s="22">
        <x:v>0</x:v>
      </x:c>
      <x:c r="L928" s="23">
        <x:v>0</x:v>
      </x:c>
    </x:row>
    <x:row r="929">
      <x:c r="A929" s="18" t="s">
        <x:v>2116</x:v>
      </x:c>
      <x:c r="B929" s="19" t="s">
        <x:v>2117</x:v>
      </x:c>
      <x:c r="C929" s="20">
        <x:v>85311010</x:v>
      </x:c>
      <x:c r="D929" s="20">
        <x:v>1105.42</x:v>
      </x:c>
      <x:c r="E929" s="18" t="s">
        <x:v>227</x:v>
      </x:c>
      <x:c r="F929" s="19" t="s">
        <x:v>11</x:v>
      </x:c>
      <x:c r="G929" s="20">
        <x:v>0</x:v>
      </x:c>
      <x:c r="H929" s="21"/>
      <x:c r="I929" s="21" t="s">
        <x:v>2118</x:v>
      </x:c>
      <x:c r="J929" s="22">
        <x:v>0</x:v>
      </x:c>
      <x:c r="K929" s="22">
        <x:v>0</x:v>
      </x:c>
      <x:c r="L929" s="23">
        <x:v>0</x:v>
      </x:c>
    </x:row>
    <x:row r="930">
      <x:c r="A930" s="18" t="s">
        <x:v>2119</x:v>
      </x:c>
      <x:c r="B930" s="19" t="s">
        <x:v>2120</x:v>
      </x:c>
      <x:c r="C930" s="20">
        <x:v>85311010</x:v>
      </x:c>
      <x:c r="D930" s="20">
        <x:v>0.55000000000000004</x:v>
      </x:c>
      <x:c r="E930" s="18" t="s">
        <x:v>227</x:v>
      </x:c>
      <x:c r="F930" s="19" t="s">
        <x:v>11</x:v>
      </x:c>
      <x:c r="G930" s="20">
        <x:v>0</x:v>
      </x:c>
      <x:c r="H930" s="21"/>
      <x:c r="I930" s="21" t="s">
        <x:v>2118</x:v>
      </x:c>
      <x:c r="J930" s="22">
        <x:v>0</x:v>
      </x:c>
      <x:c r="K930" s="22">
        <x:v>0</x:v>
      </x:c>
      <x:c r="L930" s="23">
        <x:v>0</x:v>
      </x:c>
    </x:row>
    <x:row r="931">
      <x:c r="A931" s="18" t="s">
        <x:v>2121</x:v>
      </x:c>
      <x:c r="B931" s="19" t="s">
        <x:v>2122</x:v>
      </x:c>
      <x:c r="C931" s="20">
        <x:v>44111400</x:v>
      </x:c>
      <x:c r="D931" s="20">
        <x:v>0.52</x:v>
      </x:c>
      <x:c r="E931" s="18" t="s">
        <x:v>227</x:v>
      </x:c>
      <x:c r="F931" s="19" t="s">
        <x:v>11</x:v>
      </x:c>
      <x:c r="G931" s="20">
        <x:v>2306.4</x:v>
      </x:c>
      <x:c r="H931" s="21"/>
      <x:c r="I931" s="26" t="s">
        <x:v>2118</x:v>
      </x:c>
      <x:c r="J931" s="22">
        <x:v>0</x:v>
      </x:c>
      <x:c r="K931" s="22">
        <x:v>0</x:v>
      </x:c>
      <x:c r="L931" s="23">
        <x:v>5</x:v>
      </x:c>
    </x:row>
    <x:row r="932">
      <x:c r="A932" s="18" t="s">
        <x:v>2123</x:v>
      </x:c>
      <x:c r="B932" s="19" t="s">
        <x:v>2124</x:v>
      </x:c>
      <x:c r="C932" s="20">
        <x:v>44111400</x:v>
      </x:c>
      <x:c r="D932" s="20">
        <x:v>64.28</x:v>
      </x:c>
      <x:c r="E932" s="18" t="s">
        <x:v>227</x:v>
      </x:c>
      <x:c r="F932" s="19" t="s">
        <x:v>11</x:v>
      </x:c>
      <x:c r="G932" s="20">
        <x:v>1230.2</x:v>
      </x:c>
      <x:c r="H932" s="21"/>
      <x:c r="I932" s="26" t="s">
        <x:v>2118</x:v>
      </x:c>
      <x:c r="J932" s="22">
        <x:v>0</x:v>
      </x:c>
      <x:c r="K932" s="22">
        <x:v>0</x:v>
      </x:c>
      <x:c r="L932" s="23">
        <x:v>5</x:v>
      </x:c>
    </x:row>
    <x:row r="933">
      <x:c r="A933" s="18" t="s">
        <x:v>2125</x:v>
      </x:c>
      <x:c r="B933" s="19" t="s">
        <x:v>2126</x:v>
      </x:c>
      <x:c r="C933" s="20">
        <x:v>83021090</x:v>
      </x:c>
      <x:c r="D933" s="20">
        <x:v>278.45999999999998</x:v>
      </x:c>
      <x:c r="E933" s="18" t="s">
        <x:v>227</x:v>
      </x:c>
      <x:c r="F933" s="19" t="s">
        <x:v>11</x:v>
      </x:c>
      <x:c r="G933" s="20">
        <x:v>430.72</x:v>
      </x:c>
      <x:c r="H933" s="21"/>
      <x:c r="I933" s="26" t="s">
        <x:v>1209</x:v>
      </x:c>
      <x:c r="J933" s="22">
        <x:v>0</x:v>
      </x:c>
      <x:c r="K933" s="22">
        <x:v>0</x:v>
      </x:c>
      <x:c r="L933" s="23">
        <x:v>0</x:v>
      </x:c>
    </x:row>
    <x:row r="934">
      <x:c r="A934" s="18" t="s">
        <x:v>2127</x:v>
      </x:c>
      <x:c r="B934" s="19" t="s">
        <x:v>2128</x:v>
      </x:c>
      <x:c r="C934" s="20">
        <x:v>83021090</x:v>
      </x:c>
      <x:c r="D934" s="20">
        <x:v>3172.58</x:v>
      </x:c>
      <x:c r="E934" s="18" t="s">
        <x:v>227</x:v>
      </x:c>
      <x:c r="F934" s="19" t="s">
        <x:v>82</x:v>
      </x:c>
      <x:c r="G934" s="20">
        <x:v>0</x:v>
      </x:c>
      <x:c r="H934" s="21"/>
      <x:c r="I934" s="21" t="s">
        <x:v>1051</x:v>
      </x:c>
      <x:c r="J934" s="23">
        <x:v>230</x:v>
      </x:c>
      <x:c r="K934" s="23">
        <x:v>31386.79</x:v>
      </x:c>
      <x:c r="L934" s="23">
        <x:v>124</x:v>
      </x:c>
    </x:row>
    <x:row r="935">
      <x:c r="A935" s="18" t="s">
        <x:v>2129</x:v>
      </x:c>
      <x:c r="B935" s="19" t="s">
        <x:v>2130</x:v>
      </x:c>
      <x:c r="C935" s="20">
        <x:v>83021090</x:v>
      </x:c>
      <x:c r="D935" s="20">
        <x:v>175.63</x:v>
      </x:c>
      <x:c r="E935" s="18" t="s">
        <x:v>227</x:v>
      </x:c>
      <x:c r="F935" s="19" t="s">
        <x:v>11</x:v>
      </x:c>
      <x:c r="G935" s="20">
        <x:v>49.75</x:v>
      </x:c>
      <x:c r="H935" s="21"/>
      <x:c r="I935" s="26" t="s">
        <x:v>2131</x:v>
      </x:c>
      <x:c r="J935" s="23">
        <x:v>1425</x:v>
      </x:c>
      <x:c r="K935" s="23">
        <x:v>70893.75</x:v>
      </x:c>
      <x:c r="L935" s="23">
        <x:v>2720</x:v>
      </x:c>
    </x:row>
    <x:row r="936">
      <x:c r="A936" s="18" t="s">
        <x:v>2132</x:v>
      </x:c>
      <x:c r="B936" s="19" t="s">
        <x:v>2133</x:v>
      </x:c>
      <x:c r="C936" s="20">
        <x:v>83021090</x:v>
      </x:c>
      <x:c r="D936" s="20">
        <x:v>85</x:v>
      </x:c>
      <x:c r="E936" s="18" t="s">
        <x:v>227</x:v>
      </x:c>
      <x:c r="F936" s="19" t="s">
        <x:v>82</x:v>
      </x:c>
      <x:c r="G936" s="20">
        <x:v>0</x:v>
      </x:c>
      <x:c r="H936" s="21"/>
      <x:c r="I936" s="21" t="s">
        <x:v>1051</x:v>
      </x:c>
      <x:c r="J936" s="23">
        <x:v>693</x:v>
      </x:c>
      <x:c r="K936" s="23">
        <x:v>49512.84</x:v>
      </x:c>
      <x:c r="L936" s="23">
        <x:v>175</x:v>
      </x:c>
    </x:row>
    <x:row r="937">
      <x:c r="A937" s="18" t="s">
        <x:v>2134</x:v>
      </x:c>
      <x:c r="B937" s="19" t="s">
        <x:v>2135</x:v>
      </x:c>
      <x:c r="C937" s="20">
        <x:v>83021090</x:v>
      </x:c>
      <x:c r="D937" s="20">
        <x:v>730.87</x:v>
      </x:c>
      <x:c r="E937" s="18" t="s">
        <x:v>227</x:v>
      </x:c>
      <x:c r="F937" s="19" t="s">
        <x:v>82</x:v>
      </x:c>
      <x:c r="G937" s="20">
        <x:v>0</x:v>
      </x:c>
      <x:c r="H937" s="21"/>
      <x:c r="I937" s="21" t="s">
        <x:v>1051</x:v>
      </x:c>
      <x:c r="J937" s="23">
        <x:v>498</x:v>
      </x:c>
      <x:c r="K937" s="23">
        <x:v>38961.919999999998</x:v>
      </x:c>
      <x:c r="L937" s="23">
        <x:v>498</x:v>
      </x:c>
    </x:row>
    <x:row r="938">
      <x:c r="A938" s="18" t="s">
        <x:v>2136</x:v>
      </x:c>
      <x:c r="B938" s="19" t="s">
        <x:v>2137</x:v>
      </x:c>
      <x:c r="C938" s="20">
        <x:v>83021090</x:v>
      </x:c>
      <x:c r="D938" s="20">
        <x:v>2373.33</x:v>
      </x:c>
      <x:c r="E938" s="18" t="s">
        <x:v>227</x:v>
      </x:c>
      <x:c r="F938" s="19" t="s">
        <x:v>82</x:v>
      </x:c>
      <x:c r="G938" s="20">
        <x:v>0</x:v>
      </x:c>
      <x:c r="H938" s="21"/>
      <x:c r="I938" s="21" t="s">
        <x:v>1051</x:v>
      </x:c>
      <x:c r="J938" s="23">
        <x:v>9</x:v>
      </x:c>
      <x:c r="K938" s="23">
        <x:v>1033.1099999999999</x:v>
      </x:c>
      <x:c r="L938" s="23">
        <x:v>11</x:v>
      </x:c>
    </x:row>
    <x:row r="939">
      <x:c r="A939" s="18" t="s">
        <x:v>2138</x:v>
      </x:c>
      <x:c r="B939" s="19" t="s">
        <x:v>2139</x:v>
      </x:c>
      <x:c r="C939" s="20">
        <x:v>83021090</x:v>
      </x:c>
      <x:c r="D939" s="20">
        <x:v>150</x:v>
      </x:c>
      <x:c r="E939" s="18" t="s">
        <x:v>227</x:v>
      </x:c>
      <x:c r="F939" s="19" t="s">
        <x:v>82</x:v>
      </x:c>
      <x:c r="G939" s="20">
        <x:v>109.83</x:v>
      </x:c>
      <x:c r="H939" s="21"/>
      <x:c r="I939" s="26" t="s">
        <x:v>1051</x:v>
      </x:c>
      <x:c r="J939" s="23">
        <x:v>133</x:v>
      </x:c>
      <x:c r="K939" s="23">
        <x:v>5548.19</x:v>
      </x:c>
      <x:c r="L939" s="23">
        <x:v>43</x:v>
      </x:c>
    </x:row>
    <x:row r="940">
      <x:c r="A940" s="18" t="s">
        <x:v>2140</x:v>
      </x:c>
      <x:c r="B940" s="19" t="s">
        <x:v>130</x:v>
      </x:c>
      <x:c r="C940" s="20">
        <x:v>83021090</x:v>
      </x:c>
      <x:c r="D940" s="20">
        <x:v>704</x:v>
      </x:c>
      <x:c r="E940" s="18" t="s">
        <x:v>227</x:v>
      </x:c>
      <x:c r="F940" s="19" t="s">
        <x:v>82</x:v>
      </x:c>
      <x:c r="G940" s="20">
        <x:v>417.01</x:v>
      </x:c>
      <x:c r="H940" s="21"/>
      <x:c r="I940" s="26" t="s">
        <x:v>272</x:v>
      </x:c>
      <x:c r="J940" s="23">
        <x:v>10</x:v>
      </x:c>
      <x:c r="K940" s="23">
        <x:v>4170.1000000000004</x:v>
      </x:c>
      <x:c r="L940" s="23">
        <x:v>95</x:v>
      </x:c>
    </x:row>
    <x:row r="941">
      <x:c r="A941" s="18" t="s">
        <x:v>2141</x:v>
      </x:c>
      <x:c r="B941" s="19" t="s">
        <x:v>2142</x:v>
      </x:c>
      <x:c r="C941" s="20">
        <x:v>83021090</x:v>
      </x:c>
      <x:c r="D941" s="20">
        <x:v>474.04</x:v>
      </x:c>
      <x:c r="E941" s="18" t="s">
        <x:v>227</x:v>
      </x:c>
      <x:c r="F941" s="19" t="s">
        <x:v>82</x:v>
      </x:c>
      <x:c r="G941" s="20">
        <x:v>0</x:v>
      </x:c>
      <x:c r="H941" s="21"/>
      <x:c r="I941" s="21" t="s">
        <x:v>275</x:v>
      </x:c>
      <x:c r="J941" s="23">
        <x:v>6</x:v>
      </x:c>
      <x:c r="K941" s="23">
        <x:v>21960</x:v>
      </x:c>
      <x:c r="L941" s="23">
        <x:v>6</x:v>
      </x:c>
    </x:row>
    <x:row r="942">
      <x:c r="A942" s="18" t="s">
        <x:v>2143</x:v>
      </x:c>
      <x:c r="B942" s="19" t="s">
        <x:v>2144</x:v>
      </x:c>
      <x:c r="C942" s="20">
        <x:v>83021090</x:v>
      </x:c>
      <x:c r="D942" s="20">
        <x:v>223.05</x:v>
      </x:c>
      <x:c r="E942" s="18" t="s">
        <x:v>227</x:v>
      </x:c>
      <x:c r="F942" s="19" t="s">
        <x:v>11</x:v>
      </x:c>
      <x:c r="G942" s="20">
        <x:v>934</x:v>
      </x:c>
      <x:c r="H942" s="21"/>
      <x:c r="I942" s="26" t="s">
        <x:v>2145</x:v>
      </x:c>
      <x:c r="J942" s="23">
        <x:v>2</x:v>
      </x:c>
      <x:c r="K942" s="23">
        <x:v>485.68</x:v>
      </x:c>
      <x:c r="L942" s="23">
        <x:v>5</x:v>
      </x:c>
    </x:row>
    <x:row r="943">
      <x:c r="A943" s="18" t="s">
        <x:v>2146</x:v>
      </x:c>
      <x:c r="B943" s="19" t="s">
        <x:v>2147</x:v>
      </x:c>
      <x:c r="C943" s="20">
        <x:v>83021090</x:v>
      </x:c>
      <x:c r="D943" s="20">
        <x:v>341.84</x:v>
      </x:c>
      <x:c r="E943" s="18" t="s">
        <x:v>227</x:v>
      </x:c>
      <x:c r="F943" s="19" t="s">
        <x:v>82</x:v>
      </x:c>
      <x:c r="G943" s="20">
        <x:v>80.010000000000005</x:v>
      </x:c>
      <x:c r="H943" s="21"/>
      <x:c r="I943" s="26" t="s">
        <x:v>272</x:v>
      </x:c>
      <x:c r="J943" s="23">
        <x:v>74</x:v>
      </x:c>
      <x:c r="K943" s="23">
        <x:v>5920.74</x:v>
      </x:c>
      <x:c r="L943" s="23">
        <x:v>183</x:v>
      </x:c>
    </x:row>
    <x:row r="944">
      <x:c r="A944" s="18" t="s">
        <x:v>2148</x:v>
      </x:c>
      <x:c r="B944" s="19" t="s">
        <x:v>2149</x:v>
      </x:c>
      <x:c r="C944" s="20">
        <x:v>83021090</x:v>
      </x:c>
      <x:c r="D944" s="20">
        <x:v>16</x:v>
      </x:c>
      <x:c r="E944" s="18" t="s">
        <x:v>227</x:v>
      </x:c>
      <x:c r="F944" s="19" t="s">
        <x:v>82</x:v>
      </x:c>
      <x:c r="G944" s="20">
        <x:v>30.03</x:v>
      </x:c>
      <x:c r="H944" s="21"/>
      <x:c r="I944" s="26" t="s">
        <x:v>272</x:v>
      </x:c>
      <x:c r="J944" s="23">
        <x:v>6</x:v>
      </x:c>
      <x:c r="K944" s="23">
        <x:v>180.18</x:v>
      </x:c>
      <x:c r="L944" s="23">
        <x:v>93</x:v>
      </x:c>
    </x:row>
    <x:row r="945">
      <x:c r="A945" s="18" t="s">
        <x:v>2150</x:v>
      </x:c>
      <x:c r="B945" s="19" t="s">
        <x:v>2151</x:v>
      </x:c>
      <x:c r="C945" s="20">
        <x:v>83021090</x:v>
      </x:c>
      <x:c r="D945" s="20">
        <x:v>2330</x:v>
      </x:c>
      <x:c r="E945" s="18" t="s">
        <x:v>227</x:v>
      </x:c>
      <x:c r="F945" s="19" t="s">
        <x:v>82</x:v>
      </x:c>
      <x:c r="G945" s="20">
        <x:v>0</x:v>
      </x:c>
      <x:c r="H945" s="21"/>
      <x:c r="I945" s="21"/>
      <x:c r="J945" s="23">
        <x:v>3</x:v>
      </x:c>
      <x:c r="K945" s="23">
        <x:v>151.47</x:v>
      </x:c>
      <x:c r="L945" s="23">
        <x:v>3</x:v>
      </x:c>
    </x:row>
    <x:row r="946">
      <x:c r="A946" s="18" t="s">
        <x:v>2152</x:v>
      </x:c>
      <x:c r="B946" s="19" t="s">
        <x:v>2153</x:v>
      </x:c>
      <x:c r="C946" s="20">
        <x:v>83021090</x:v>
      </x:c>
      <x:c r="D946" s="20">
        <x:v>254.61</x:v>
      </x:c>
      <x:c r="E946" s="18" t="s">
        <x:v>227</x:v>
      </x:c>
      <x:c r="F946" s="19" t="s">
        <x:v>11</x:v>
      </x:c>
      <x:c r="G946" s="20">
        <x:v>0</x:v>
      </x:c>
      <x:c r="H946" s="21"/>
      <x:c r="I946" s="21" t="s">
        <x:v>1051</x:v>
      </x:c>
      <x:c r="J946" s="23">
        <x:v>250</x:v>
      </x:c>
      <x:c r="K946" s="23">
        <x:v>300</x:v>
      </x:c>
      <x:c r="L946" s="23">
        <x:v>250</x:v>
      </x:c>
    </x:row>
    <x:row r="947">
      <x:c r="A947" s="18" t="s">
        <x:v>2154</x:v>
      </x:c>
      <x:c r="B947" s="19" t="s">
        <x:v>2155</x:v>
      </x:c>
      <x:c r="C947" s="20">
        <x:v>83021090</x:v>
      </x:c>
      <x:c r="D947" s="20">
        <x:v>853</x:v>
      </x:c>
      <x:c r="E947" s="18" t="s">
        <x:v>227</x:v>
      </x:c>
      <x:c r="F947" s="19" t="s">
        <x:v>11</x:v>
      </x:c>
      <x:c r="G947" s="20">
        <x:v>0</x:v>
      </x:c>
      <x:c r="H947" s="21"/>
      <x:c r="I947" s="21" t="s">
        <x:v>1051</x:v>
      </x:c>
      <x:c r="J947" s="23">
        <x:v>250</x:v>
      </x:c>
      <x:c r="K947" s="23">
        <x:v>300</x:v>
      </x:c>
      <x:c r="L947" s="23">
        <x:v>233</x:v>
      </x:c>
    </x:row>
    <x:row r="948">
      <x:c r="A948" s="18" t="s">
        <x:v>2156</x:v>
      </x:c>
      <x:c r="B948" s="19" t="s">
        <x:v>2157</x:v>
      </x:c>
      <x:c r="C948" s="20">
        <x:v>83021090</x:v>
      </x:c>
      <x:c r="D948" s="20">
        <x:v>5875</x:v>
      </x:c>
      <x:c r="E948" s="18" t="s">
        <x:v>227</x:v>
      </x:c>
      <x:c r="F948" s="19" t="s">
        <x:v>11</x:v>
      </x:c>
      <x:c r="G948" s="20">
        <x:v>0</x:v>
      </x:c>
      <x:c r="H948" s="21"/>
      <x:c r="I948" s="21" t="s">
        <x:v>1051</x:v>
      </x:c>
      <x:c r="J948" s="23">
        <x:v>250</x:v>
      </x:c>
      <x:c r="K948" s="23">
        <x:v>300</x:v>
      </x:c>
      <x:c r="L948" s="23">
        <x:v>250</x:v>
      </x:c>
    </x:row>
    <x:row r="949">
      <x:c r="A949" s="18" t="s">
        <x:v>2158</x:v>
      </x:c>
      <x:c r="B949" s="19" t="s">
        <x:v>2159</x:v>
      </x:c>
      <x:c r="C949" s="20">
        <x:v>83021090</x:v>
      </x:c>
      <x:c r="D949" s="20">
        <x:v>5870</x:v>
      </x:c>
      <x:c r="E949" s="18" t="s">
        <x:v>227</x:v>
      </x:c>
      <x:c r="F949" s="19" t="s">
        <x:v>11</x:v>
      </x:c>
      <x:c r="G949" s="20">
        <x:v>0</x:v>
      </x:c>
      <x:c r="H949" s="21"/>
      <x:c r="I949" s="21" t="s">
        <x:v>1051</x:v>
      </x:c>
      <x:c r="J949" s="23">
        <x:v>245</x:v>
      </x:c>
      <x:c r="K949" s="23">
        <x:v>294</x:v>
      </x:c>
      <x:c r="L949" s="23">
        <x:v>250</x:v>
      </x:c>
    </x:row>
    <x:row r="950">
      <x:c r="A950" s="18" t="s">
        <x:v>2160</x:v>
      </x:c>
      <x:c r="B950" s="19" t="s">
        <x:v>2161</x:v>
      </x:c>
      <x:c r="C950" s="20">
        <x:v>83021090</x:v>
      </x:c>
      <x:c r="D950" s="20">
        <x:v>646</x:v>
      </x:c>
      <x:c r="E950" s="18" t="s">
        <x:v>227</x:v>
      </x:c>
      <x:c r="F950" s="19" t="s">
        <x:v>11</x:v>
      </x:c>
      <x:c r="G950" s="20">
        <x:v>0</x:v>
      </x:c>
      <x:c r="H950" s="21"/>
      <x:c r="I950" s="21" t="s">
        <x:v>1051</x:v>
      </x:c>
      <x:c r="J950" s="23">
        <x:v>250</x:v>
      </x:c>
      <x:c r="K950" s="23">
        <x:v>300</x:v>
      </x:c>
      <x:c r="L950" s="23">
        <x:v>250</x:v>
      </x:c>
    </x:row>
    <x:row r="951">
      <x:c r="A951" s="18" t="s">
        <x:v>2162</x:v>
      </x:c>
      <x:c r="B951" s="19" t="s">
        <x:v>2163</x:v>
      </x:c>
      <x:c r="C951" s="20">
        <x:v>83021090</x:v>
      </x:c>
      <x:c r="D951" s="20">
        <x:v>36.380000000000003</x:v>
      </x:c>
      <x:c r="E951" s="18" t="s">
        <x:v>227</x:v>
      </x:c>
      <x:c r="F951" s="19" t="s">
        <x:v>11</x:v>
      </x:c>
      <x:c r="G951" s="20">
        <x:v>23.98</x:v>
      </x:c>
      <x:c r="H951" s="21"/>
      <x:c r="I951" s="26" t="s">
        <x:v>1209</x:v>
      </x:c>
      <x:c r="J951" s="22">
        <x:v>0</x:v>
      </x:c>
      <x:c r="K951" s="22">
        <x:v>0</x:v>
      </x:c>
      <x:c r="L951" s="23">
        <x:v>0</x:v>
      </x:c>
    </x:row>
    <x:row r="952">
      <x:c r="A952" s="18" t="s">
        <x:v>2164</x:v>
      </x:c>
      <x:c r="B952" s="19" t="s">
        <x:v>2165</x:v>
      </x:c>
      <x:c r="C952" s="20">
        <x:v>83021090</x:v>
      </x:c>
      <x:c r="D952" s="20">
        <x:v>3011</x:v>
      </x:c>
      <x:c r="E952" s="18" t="s">
        <x:v>227</x:v>
      </x:c>
      <x:c r="F952" s="19" t="s">
        <x:v>11</x:v>
      </x:c>
      <x:c r="G952" s="20">
        <x:v>0</x:v>
      </x:c>
      <x:c r="H952" s="21"/>
      <x:c r="I952" s="21" t="s">
        <x:v>1051</x:v>
      </x:c>
      <x:c r="J952" s="23">
        <x:v>250</x:v>
      </x:c>
      <x:c r="K952" s="23">
        <x:v>300</x:v>
      </x:c>
      <x:c r="L952" s="23">
        <x:v>250</x:v>
      </x:c>
    </x:row>
    <x:row r="953">
      <x:c r="A953" s="18" t="s">
        <x:v>2166</x:v>
      </x:c>
      <x:c r="B953" s="19" t="s">
        <x:v>2167</x:v>
      </x:c>
      <x:c r="C953" s="20">
        <x:v>83021090</x:v>
      </x:c>
      <x:c r="D953" s="20">
        <x:v>3.1</x:v>
      </x:c>
      <x:c r="E953" s="18" t="s">
        <x:v>227</x:v>
      </x:c>
      <x:c r="F953" s="19" t="s">
        <x:v>11</x:v>
      </x:c>
      <x:c r="G953" s="20">
        <x:v>0</x:v>
      </x:c>
      <x:c r="H953" s="21"/>
      <x:c r="I953" s="21" t="s">
        <x:v>1051</x:v>
      </x:c>
      <x:c r="J953" s="23">
        <x:v>83</x:v>
      </x:c>
      <x:c r="K953" s="23">
        <x:v>14478.52</x:v>
      </x:c>
      <x:c r="L953" s="23">
        <x:v>83</x:v>
      </x:c>
    </x:row>
    <x:row r="954">
      <x:c r="A954" s="18" t="s">
        <x:v>2168</x:v>
      </x:c>
      <x:c r="B954" s="19" t="s">
        <x:v>2169</x:v>
      </x:c>
      <x:c r="C954" s="20">
        <x:v>83021090</x:v>
      </x:c>
      <x:c r="D954" s="20">
        <x:v>822.6</x:v>
      </x:c>
      <x:c r="E954" s="18" t="s">
        <x:v>227</x:v>
      </x:c>
      <x:c r="F954" s="19" t="s">
        <x:v>11</x:v>
      </x:c>
      <x:c r="G954" s="20">
        <x:v>0</x:v>
      </x:c>
      <x:c r="H954" s="21"/>
      <x:c r="I954" s="21" t="s">
        <x:v>1051</x:v>
      </x:c>
      <x:c r="J954" s="22">
        <x:v>0</x:v>
      </x:c>
      <x:c r="K954" s="22">
        <x:v>0</x:v>
      </x:c>
      <x:c r="L954" s="23">
        <x:v>0</x:v>
      </x:c>
    </x:row>
    <x:row r="955">
      <x:c r="A955" s="18" t="s">
        <x:v>2170</x:v>
      </x:c>
      <x:c r="B955" s="19" t="s">
        <x:v>2171</x:v>
      </x:c>
      <x:c r="C955" s="20">
        <x:v>83021090</x:v>
      </x:c>
      <x:c r="D955" s="20">
        <x:v>1265.03</x:v>
      </x:c>
      <x:c r="E955" s="18" t="s">
        <x:v>227</x:v>
      </x:c>
      <x:c r="F955" s="19" t="s">
        <x:v>11</x:v>
      </x:c>
      <x:c r="G955" s="20">
        <x:v>0</x:v>
      </x:c>
      <x:c r="H955" s="21"/>
      <x:c r="I955" s="21" t="s">
        <x:v>2131</x:v>
      </x:c>
      <x:c r="J955" s="22">
        <x:v>0</x:v>
      </x:c>
      <x:c r="K955" s="22">
        <x:v>0</x:v>
      </x:c>
      <x:c r="L955" s="23">
        <x:v>0</x:v>
      </x:c>
    </x:row>
    <x:row r="956">
      <x:c r="A956" s="18" t="s">
        <x:v>2172</x:v>
      </x:c>
      <x:c r="B956" s="19" t="s">
        <x:v>2173</x:v>
      </x:c>
      <x:c r="C956" s="20">
        <x:v>83021090</x:v>
      </x:c>
      <x:c r="D956" s="20">
        <x:v>4018</x:v>
      </x:c>
      <x:c r="E956" s="18" t="s">
        <x:v>227</x:v>
      </x:c>
      <x:c r="F956" s="19" t="s">
        <x:v>11</x:v>
      </x:c>
      <x:c r="G956" s="20">
        <x:v>0</x:v>
      </x:c>
      <x:c r="H956" s="21"/>
      <x:c r="I956" s="21" t="s">
        <x:v>1051</x:v>
      </x:c>
      <x:c r="J956" s="22">
        <x:v>0</x:v>
      </x:c>
      <x:c r="K956" s="22">
        <x:v>0</x:v>
      </x:c>
      <x:c r="L956" s="23">
        <x:v>0</x:v>
      </x:c>
    </x:row>
    <x:row r="957">
      <x:c r="A957" s="18" t="s">
        <x:v>2174</x:v>
      </x:c>
      <x:c r="B957" s="19" t="s">
        <x:v>2175</x:v>
      </x:c>
      <x:c r="C957" s="20">
        <x:v>83021090</x:v>
      </x:c>
      <x:c r="D957" s="20">
        <x:v>21</x:v>
      </x:c>
      <x:c r="E957" s="18" t="s">
        <x:v>227</x:v>
      </x:c>
      <x:c r="F957" s="19" t="s">
        <x:v>11</x:v>
      </x:c>
      <x:c r="G957" s="20">
        <x:v>0</x:v>
      </x:c>
      <x:c r="H957" s="21"/>
      <x:c r="I957" s="21" t="s">
        <x:v>1051</x:v>
      </x:c>
      <x:c r="J957" s="22">
        <x:v>0</x:v>
      </x:c>
      <x:c r="K957" s="22">
        <x:v>0</x:v>
      </x:c>
      <x:c r="L957" s="23">
        <x:v>0</x:v>
      </x:c>
    </x:row>
    <x:row r="958">
      <x:c r="A958" s="18" t="s">
        <x:v>2176</x:v>
      </x:c>
      <x:c r="B958" s="19" t="s">
        <x:v>2177</x:v>
      </x:c>
      <x:c r="C958" s="20">
        <x:v>83021090</x:v>
      </x:c>
      <x:c r="D958" s="20">
        <x:v>1468</x:v>
      </x:c>
      <x:c r="E958" s="18" t="s">
        <x:v>227</x:v>
      </x:c>
      <x:c r="F958" s="19" t="s">
        <x:v>11</x:v>
      </x:c>
      <x:c r="G958" s="20">
        <x:v>0</x:v>
      </x:c>
      <x:c r="H958" s="21"/>
      <x:c r="I958" s="21" t="s">
        <x:v>1051</x:v>
      </x:c>
      <x:c r="J958" s="22">
        <x:v>0</x:v>
      </x:c>
      <x:c r="K958" s="22">
        <x:v>0</x:v>
      </x:c>
      <x:c r="L958" s="23">
        <x:v>0</x:v>
      </x:c>
    </x:row>
    <x:row r="959">
      <x:c r="A959" s="18" t="s">
        <x:v>2178</x:v>
      </x:c>
      <x:c r="B959" s="19" t="s">
        <x:v>2179</x:v>
      </x:c>
      <x:c r="C959" s="20">
        <x:v>83021090</x:v>
      </x:c>
      <x:c r="D959" s="20">
        <x:v>1566</x:v>
      </x:c>
      <x:c r="E959" s="18" t="s">
        <x:v>227</x:v>
      </x:c>
      <x:c r="F959" s="19" t="s">
        <x:v>11</x:v>
      </x:c>
      <x:c r="G959" s="20">
        <x:v>0</x:v>
      </x:c>
      <x:c r="H959" s="21"/>
      <x:c r="I959" s="21" t="s">
        <x:v>1051</x:v>
      </x:c>
      <x:c r="J959" s="22">
        <x:v>0</x:v>
      </x:c>
      <x:c r="K959" s="22">
        <x:v>0</x:v>
      </x:c>
      <x:c r="L959" s="23">
        <x:v>0</x:v>
      </x:c>
    </x:row>
    <x:row r="960">
      <x:c r="A960" s="18" t="s">
        <x:v>2180</x:v>
      </x:c>
      <x:c r="B960" s="19" t="s">
        <x:v>2181</x:v>
      </x:c>
      <x:c r="C960" s="20">
        <x:v>83021090</x:v>
      </x:c>
      <x:c r="D960" s="20">
        <x:v>720</x:v>
      </x:c>
      <x:c r="E960" s="18" t="s">
        <x:v>227</x:v>
      </x:c>
      <x:c r="F960" s="19" t="s">
        <x:v>11</x:v>
      </x:c>
      <x:c r="G960" s="20">
        <x:v>0</x:v>
      </x:c>
      <x:c r="H960" s="21"/>
      <x:c r="I960" s="21" t="s">
        <x:v>1209</x:v>
      </x:c>
      <x:c r="J960" s="22">
        <x:v>0</x:v>
      </x:c>
      <x:c r="K960" s="22">
        <x:v>0</x:v>
      </x:c>
      <x:c r="L960" s="23">
        <x:v>0</x:v>
      </x:c>
    </x:row>
    <x:row r="961">
      <x:c r="A961" s="18" t="s">
        <x:v>2182</x:v>
      </x:c>
      <x:c r="B961" s="19" t="s">
        <x:v>2183</x:v>
      </x:c>
      <x:c r="C961" s="20">
        <x:v>83021090</x:v>
      </x:c>
      <x:c r="D961" s="20">
        <x:v>603.13</x:v>
      </x:c>
      <x:c r="E961" s="18" t="s">
        <x:v>227</x:v>
      </x:c>
      <x:c r="F961" s="19" t="s">
        <x:v>82</x:v>
      </x:c>
      <x:c r="G961" s="20">
        <x:v>145.36000000000001</x:v>
      </x:c>
      <x:c r="H961" s="21"/>
      <x:c r="I961" s="26" t="s">
        <x:v>1051</x:v>
      </x:c>
      <x:c r="J961" s="23">
        <x:v>162</x:v>
      </x:c>
      <x:c r="K961" s="23">
        <x:v>8712.61</x:v>
      </x:c>
      <x:c r="L961" s="23">
        <x:v>10</x:v>
      </x:c>
    </x:row>
    <x:row r="962">
      <x:c r="A962" s="18" t="s">
        <x:v>2184</x:v>
      </x:c>
      <x:c r="B962" s="19" t="s">
        <x:v>2185</x:v>
      </x:c>
      <x:c r="C962" s="20">
        <x:v>83021090</x:v>
      </x:c>
      <x:c r="D962" s="20">
        <x:v>650</x:v>
      </x:c>
      <x:c r="E962" s="18" t="s">
        <x:v>227</x:v>
      </x:c>
      <x:c r="F962" s="19" t="s">
        <x:v>82</x:v>
      </x:c>
      <x:c r="G962" s="20">
        <x:v>0</x:v>
      </x:c>
      <x:c r="H962" s="21"/>
      <x:c r="I962" s="21" t="s">
        <x:v>1051</x:v>
      </x:c>
      <x:c r="J962" s="23">
        <x:v>240</x:v>
      </x:c>
      <x:c r="K962" s="23">
        <x:v>12703</x:v>
      </x:c>
      <x:c r="L962" s="23">
        <x:v>188</x:v>
      </x:c>
    </x:row>
    <x:row r="963">
      <x:c r="A963" s="18" t="s">
        <x:v>2186</x:v>
      </x:c>
      <x:c r="B963" s="19" t="s">
        <x:v>2187</x:v>
      </x:c>
      <x:c r="C963" s="20">
        <x:v>83021090</x:v>
      </x:c>
      <x:c r="D963" s="20">
        <x:v>2561</x:v>
      </x:c>
      <x:c r="E963" s="18" t="s">
        <x:v>227</x:v>
      </x:c>
      <x:c r="F963" s="19" t="s">
        <x:v>11</x:v>
      </x:c>
      <x:c r="G963" s="20">
        <x:v>0</x:v>
      </x:c>
      <x:c r="H963" s="21"/>
      <x:c r="I963" s="21" t="s">
        <x:v>1051</x:v>
      </x:c>
      <x:c r="J963" s="22">
        <x:v>0</x:v>
      </x:c>
      <x:c r="K963" s="22">
        <x:v>0</x:v>
      </x:c>
      <x:c r="L963" s="23">
        <x:v>0</x:v>
      </x:c>
    </x:row>
    <x:row r="964">
      <x:c r="A964" s="18" t="s">
        <x:v>2188</x:v>
      </x:c>
      <x:c r="B964" s="19" t="s">
        <x:v>2189</x:v>
      </x:c>
      <x:c r="C964" s="20">
        <x:v>83021090</x:v>
      </x:c>
      <x:c r="D964" s="20">
        <x:v>1548</x:v>
      </x:c>
      <x:c r="E964" s="18" t="s">
        <x:v>227</x:v>
      </x:c>
      <x:c r="F964" s="19" t="s">
        <x:v>11</x:v>
      </x:c>
      <x:c r="G964" s="20">
        <x:v>0</x:v>
      </x:c>
      <x:c r="H964" s="21"/>
      <x:c r="I964" s="21" t="s">
        <x:v>1051</x:v>
      </x:c>
      <x:c r="J964" s="22">
        <x:v>0</x:v>
      </x:c>
      <x:c r="K964" s="22">
        <x:v>0</x:v>
      </x:c>
      <x:c r="L964" s="23">
        <x:v>0</x:v>
      </x:c>
    </x:row>
    <x:row r="965">
      <x:c r="A965" s="18" t="s">
        <x:v>2190</x:v>
      </x:c>
      <x:c r="B965" s="19" t="s">
        <x:v>2191</x:v>
      </x:c>
      <x:c r="C965" s="20">
        <x:v>83021090</x:v>
      </x:c>
      <x:c r="D965" s="20">
        <x:v>363.16</x:v>
      </x:c>
      <x:c r="E965" s="18" t="s">
        <x:v>227</x:v>
      </x:c>
      <x:c r="F965" s="19" t="s">
        <x:v>11</x:v>
      </x:c>
      <x:c r="G965" s="20">
        <x:v>0</x:v>
      </x:c>
      <x:c r="H965" s="21"/>
      <x:c r="I965" s="21" t="s">
        <x:v>1209</x:v>
      </x:c>
      <x:c r="J965" s="23">
        <x:v>102</x:v>
      </x:c>
      <x:c r="K965" s="23">
        <x:v>12320.66</x:v>
      </x:c>
      <x:c r="L965" s="23">
        <x:v>0</x:v>
      </x:c>
    </x:row>
    <x:row r="966">
      <x:c r="A966" s="18" t="s">
        <x:v>2192</x:v>
      </x:c>
      <x:c r="B966" s="19" t="s">
        <x:v>2193</x:v>
      </x:c>
      <x:c r="C966" s="20">
        <x:v>73211110</x:v>
      </x:c>
      <x:c r="D966" s="20">
        <x:v>473.52</x:v>
      </x:c>
      <x:c r="E966" s="18" t="s">
        <x:v>227</x:v>
      </x:c>
      <x:c r="F966" s="19" t="s">
        <x:v>11</x:v>
      </x:c>
      <x:c r="G966" s="20">
        <x:v>0</x:v>
      </x:c>
      <x:c r="H966" s="21"/>
      <x:c r="I966" s="21" t="s">
        <x:v>2194</x:v>
      </x:c>
      <x:c r="J966" s="23">
        <x:v>1</x:v>
      </x:c>
      <x:c r="K966" s="23">
        <x:v>30425.15</x:v>
      </x:c>
      <x:c r="L966" s="23">
        <x:v>0</x:v>
      </x:c>
    </x:row>
    <x:row r="967">
      <x:c r="A967" s="18" t="s">
        <x:v>2195</x:v>
      </x:c>
      <x:c r="B967" s="19" t="s">
        <x:v>2196</x:v>
      </x:c>
      <x:c r="C967" s="20">
        <x:v>73211110</x:v>
      </x:c>
      <x:c r="D967" s="20">
        <x:v>3350</x:v>
      </x:c>
      <x:c r="E967" s="18" t="s">
        <x:v>227</x:v>
      </x:c>
      <x:c r="F967" s="19" t="s">
        <x:v>11</x:v>
      </x:c>
      <x:c r="G967" s="20">
        <x:v>69292</x:v>
      </x:c>
      <x:c r="H967" s="21"/>
      <x:c r="I967" s="26" t="s">
        <x:v>2194</x:v>
      </x:c>
      <x:c r="J967" s="22">
        <x:v>0</x:v>
      </x:c>
      <x:c r="K967" s="22">
        <x:v>0</x:v>
      </x:c>
      <x:c r="L967" s="23">
        <x:v>0</x:v>
      </x:c>
    </x:row>
    <x:row r="968">
      <x:c r="A968" s="18" t="s">
        <x:v>2197</x:v>
      </x:c>
      <x:c r="B968" s="19" t="s">
        <x:v>2198</x:v>
      </x:c>
      <x:c r="C968" s="20">
        <x:v>73211110</x:v>
      </x:c>
      <x:c r="D968" s="20">
        <x:v>706.67</x:v>
      </x:c>
      <x:c r="E968" s="18" t="s">
        <x:v>227</x:v>
      </x:c>
      <x:c r="F968" s="19" t="s">
        <x:v>11</x:v>
      </x:c>
      <x:c r="G968" s="20">
        <x:v>101490</x:v>
      </x:c>
      <x:c r="H968" s="21"/>
      <x:c r="I968" s="26" t="s">
        <x:v>897</x:v>
      </x:c>
      <x:c r="J968" s="22">
        <x:v>0</x:v>
      </x:c>
      <x:c r="K968" s="22">
        <x:v>0</x:v>
      </x:c>
      <x:c r="L968" s="23">
        <x:v>1</x:v>
      </x:c>
    </x:row>
    <x:row r="969">
      <x:c r="A969" s="18" t="s">
        <x:v>2199</x:v>
      </x:c>
      <x:c r="B969" s="19" t="s">
        <x:v>2200</x:v>
      </x:c>
      <x:c r="C969" s="20">
        <x:v>73211110</x:v>
      </x:c>
      <x:c r="D969" s="20">
        <x:v>2531.59</x:v>
      </x:c>
      <x:c r="E969" s="18" t="s">
        <x:v>227</x:v>
      </x:c>
      <x:c r="F969" s="19" t="s">
        <x:v>11</x:v>
      </x:c>
      <x:c r="G969" s="20">
        <x:v>0</x:v>
      </x:c>
      <x:c r="H969" s="21"/>
      <x:c r="I969" s="21" t="s">
        <x:v>2201</x:v>
      </x:c>
      <x:c r="J969" s="22">
        <x:v>0</x:v>
      </x:c>
      <x:c r="K969" s="22">
        <x:v>0</x:v>
      </x:c>
      <x:c r="L969" s="23">
        <x:v>0</x:v>
      </x:c>
    </x:row>
    <x:row r="970">
      <x:c r="A970" s="18" t="s">
        <x:v>2202</x:v>
      </x:c>
      <x:c r="B970" s="19" t="s">
        <x:v>2203</x:v>
      </x:c>
      <x:c r="C970" s="20">
        <x:v>48089000</x:v>
      </x:c>
      <x:c r="D970" s="20">
        <x:v>1.55</x:v>
      </x:c>
      <x:c r="E970" s="18" t="s">
        <x:v>227</x:v>
      </x:c>
      <x:c r="F970" s="19" t="s">
        <x:v>11</x:v>
      </x:c>
      <x:c r="G970" s="20">
        <x:v>0</x:v>
      </x:c>
      <x:c r="H970" s="21"/>
      <x:c r="I970" s="21"/>
      <x:c r="J970" s="22">
        <x:v>0</x:v>
      </x:c>
      <x:c r="K970" s="22">
        <x:v>0</x:v>
      </x:c>
      <x:c r="L970" s="23">
        <x:v>0</x:v>
      </x:c>
    </x:row>
    <x:row r="971">
      <x:c r="A971" s="18" t="s">
        <x:v>2204</x:v>
      </x:c>
      <x:c r="B971" s="19" t="s">
        <x:v>2205</x:v>
      </x:c>
      <x:c r="C971" s="20">
        <x:v>39269099</x:v>
      </x:c>
      <x:c r="D971" s="20">
        <x:v>866</x:v>
      </x:c>
      <x:c r="E971" s="18" t="s">
        <x:v>227</x:v>
      </x:c>
      <x:c r="F971" s="19" t="s">
        <x:v>11</x:v>
      </x:c>
      <x:c r="G971" s="20">
        <x:v>0</x:v>
      </x:c>
      <x:c r="H971" s="21"/>
      <x:c r="I971" s="21"/>
      <x:c r="J971" s="22">
        <x:v>0</x:v>
      </x:c>
      <x:c r="K971" s="22">
        <x:v>0</x:v>
      </x:c>
      <x:c r="L971" s="23">
        <x:v>0</x:v>
      </x:c>
    </x:row>
    <x:row r="972">
      <x:c r="A972" s="18" t="s">
        <x:v>2206</x:v>
      </x:c>
      <x:c r="B972" s="19" t="s">
        <x:v>2207</x:v>
      </x:c>
      <x:c r="C972" s="20">
        <x:v>76169990</x:v>
      </x:c>
      <x:c r="D972" s="20">
        <x:v>11.53</x:v>
      </x:c>
      <x:c r="E972" s="18" t="s">
        <x:v>227</x:v>
      </x:c>
      <x:c r="F972" s="19" t="s">
        <x:v>11</x:v>
      </x:c>
      <x:c r="G972" s="20">
        <x:v>0</x:v>
      </x:c>
      <x:c r="H972" s="21"/>
      <x:c r="I972" s="21"/>
      <x:c r="J972" s="22">
        <x:v>0</x:v>
      </x:c>
      <x:c r="K972" s="22">
        <x:v>0</x:v>
      </x:c>
      <x:c r="L972" s="23">
        <x:v>0</x:v>
      </x:c>
    </x:row>
    <x:row r="973">
      <x:c r="A973" s="18" t="s">
        <x:v>2208</x:v>
      </x:c>
      <x:c r="B973" s="19" t="s">
        <x:v>2209</x:v>
      </x:c>
      <x:c r="C973" s="20">
        <x:v>76169990</x:v>
      </x:c>
      <x:c r="D973" s="20">
        <x:v>3714.77</x:v>
      </x:c>
      <x:c r="E973" s="18" t="s">
        <x:v>227</x:v>
      </x:c>
      <x:c r="F973" s="19" t="s">
        <x:v>11</x:v>
      </x:c>
      <x:c r="G973" s="20">
        <x:v>0</x:v>
      </x:c>
      <x:c r="H973" s="21"/>
      <x:c r="I973" s="21"/>
      <x:c r="J973" s="22">
        <x:v>0</x:v>
      </x:c>
      <x:c r="K973" s="22">
        <x:v>0</x:v>
      </x:c>
      <x:c r="L973" s="23">
        <x:v>0</x:v>
      </x:c>
    </x:row>
    <x:row r="974">
      <x:c r="A974" s="18" t="s">
        <x:v>2210</x:v>
      </x:c>
      <x:c r="B974" s="19" t="s">
        <x:v>2211</x:v>
      </x:c>
      <x:c r="C974" s="20">
        <x:v>83024110</x:v>
      </x:c>
      <x:c r="D974" s="20">
        <x:v>1028.18</x:v>
      </x:c>
      <x:c r="E974" s="18" t="s">
        <x:v>227</x:v>
      </x:c>
      <x:c r="F974" s="19" t="s">
        <x:v>82</x:v>
      </x:c>
      <x:c r="G974" s="20">
        <x:v>450</x:v>
      </x:c>
      <x:c r="H974" s="21"/>
      <x:c r="I974" s="26" t="s">
        <x:v>233</x:v>
      </x:c>
      <x:c r="J974" s="23">
        <x:v>6</x:v>
      </x:c>
      <x:c r="K974" s="23">
        <x:v>1800</x:v>
      </x:c>
      <x:c r="L974" s="23">
        <x:v>8</x:v>
      </x:c>
    </x:row>
    <x:row r="975">
      <x:c r="A975" s="18" t="s">
        <x:v>2212</x:v>
      </x:c>
      <x:c r="B975" s="19" t="s">
        <x:v>2213</x:v>
      </x:c>
      <x:c r="C975" s="20">
        <x:v>85340020</x:v>
      </x:c>
      <x:c r="D975" s="20">
        <x:v>895</x:v>
      </x:c>
      <x:c r="E975" s="18" t="s">
        <x:v>227</x:v>
      </x:c>
      <x:c r="F975" s="19" t="s">
        <x:v>82</x:v>
      </x:c>
      <x:c r="G975" s="20">
        <x:v>0</x:v>
      </x:c>
      <x:c r="H975" s="21"/>
      <x:c r="I975" s="21" t="s">
        <x:v>2214</x:v>
      </x:c>
      <x:c r="J975" s="23">
        <x:v>49</x:v>
      </x:c>
      <x:c r="K975" s="23">
        <x:v>427685.49</x:v>
      </x:c>
      <x:c r="L975" s="23">
        <x:v>47</x:v>
      </x:c>
    </x:row>
    <x:row r="976">
      <x:c r="A976" s="18" t="s">
        <x:v>2215</x:v>
      </x:c>
      <x:c r="B976" s="19" t="s">
        <x:v>2216</x:v>
      </x:c>
      <x:c r="C976" s="20">
        <x:v>85340020</x:v>
      </x:c>
      <x:c r="D976" s="20">
        <x:v>1370</x:v>
      </x:c>
      <x:c r="E976" s="18" t="s">
        <x:v>227</x:v>
      </x:c>
      <x:c r="F976" s="19" t="s">
        <x:v>11</x:v>
      </x:c>
      <x:c r="G976" s="20">
        <x:v>0</x:v>
      </x:c>
      <x:c r="H976" s="21"/>
      <x:c r="I976" s="21" t="s">
        <x:v>2217</x:v>
      </x:c>
      <x:c r="J976" s="23">
        <x:v>1</x:v>
      </x:c>
      <x:c r="K976" s="23">
        <x:v>24052.07</x:v>
      </x:c>
      <x:c r="L976" s="23">
        <x:v>1</x:v>
      </x:c>
    </x:row>
    <x:row r="977">
      <x:c r="A977" s="18" t="s">
        <x:v>2218</x:v>
      </x:c>
      <x:c r="B977" s="19" t="s">
        <x:v>2219</x:v>
      </x:c>
      <x:c r="C977" s="20">
        <x:v>85166000</x:v>
      </x:c>
      <x:c r="D977" s="20">
        <x:v>9</x:v>
      </x:c>
      <x:c r="E977" s="18" t="s">
        <x:v>227</x:v>
      </x:c>
      <x:c r="F977" s="19" t="s">
        <x:v>11</x:v>
      </x:c>
      <x:c r="G977" s="20">
        <x:v>0</x:v>
      </x:c>
      <x:c r="H977" s="21"/>
      <x:c r="I977" s="21" t="s">
        <x:v>2201</x:v>
      </x:c>
      <x:c r="J977" s="22">
        <x:v>0</x:v>
      </x:c>
      <x:c r="K977" s="22">
        <x:v>0</x:v>
      </x:c>
      <x:c r="L977" s="23">
        <x:v>0</x:v>
      </x:c>
    </x:row>
    <x:row r="978">
      <x:c r="A978" s="18" t="s">
        <x:v>2220</x:v>
      </x:c>
      <x:c r="B978" s="19" t="s">
        <x:v>2221</x:v>
      </x:c>
      <x:c r="C978" s="20">
        <x:v>85166000</x:v>
      </x:c>
      <x:c r="D978" s="20">
        <x:v>1340</x:v>
      </x:c>
      <x:c r="E978" s="18" t="s">
        <x:v>227</x:v>
      </x:c>
      <x:c r="F978" s="19" t="s">
        <x:v>11</x:v>
      </x:c>
      <x:c r="G978" s="20">
        <x:v>71990</x:v>
      </x:c>
      <x:c r="H978" s="21"/>
      <x:c r="I978" s="26" t="s">
        <x:v>897</x:v>
      </x:c>
      <x:c r="J978" s="22">
        <x:v>0</x:v>
      </x:c>
      <x:c r="K978" s="22">
        <x:v>0</x:v>
      </x:c>
      <x:c r="L978" s="23">
        <x:v>1</x:v>
      </x:c>
    </x:row>
    <x:row r="979">
      <x:c r="A979" s="18" t="s">
        <x:v>2222</x:v>
      </x:c>
      <x:c r="B979" s="19" t="s">
        <x:v>2223</x:v>
      </x:c>
      <x:c r="C979" s="20">
        <x:v>85166000</x:v>
      </x:c>
      <x:c r="D979" s="20">
        <x:v>654</x:v>
      </x:c>
      <x:c r="E979" s="18" t="s">
        <x:v>227</x:v>
      </x:c>
      <x:c r="F979" s="19" t="s">
        <x:v>11</x:v>
      </x:c>
      <x:c r="G979" s="20">
        <x:v>11582</x:v>
      </x:c>
      <x:c r="H979" s="21"/>
      <x:c r="I979" s="26" t="s">
        <x:v>2224</x:v>
      </x:c>
      <x:c r="J979" s="22">
        <x:v>0</x:v>
      </x:c>
      <x:c r="K979" s="22">
        <x:v>0</x:v>
      </x:c>
      <x:c r="L979" s="23">
        <x:v>0</x:v>
      </x:c>
    </x:row>
    <x:row r="980">
      <x:c r="A980" s="18" t="s">
        <x:v>2225</x:v>
      </x:c>
      <x:c r="B980" s="19" t="s">
        <x:v>2226</x:v>
      </x:c>
      <x:c r="C980" s="20">
        <x:v>39269099</x:v>
      </x:c>
      <x:c r="D980" s="20">
        <x:v>7.5</x:v>
      </x:c>
      <x:c r="E980" s="18" t="s">
        <x:v>227</x:v>
      </x:c>
      <x:c r="F980" s="19" t="s">
        <x:v>11</x:v>
      </x:c>
      <x:c r="G980" s="20">
        <x:v>0.98</x:v>
      </x:c>
      <x:c r="H980" s="21"/>
      <x:c r="I980" s="26" t="s">
        <x:v>228</x:v>
      </x:c>
      <x:c r="J980" s="23">
        <x:v>13818</x:v>
      </x:c>
      <x:c r="K980" s="23">
        <x:v>13541.64</x:v>
      </x:c>
      <x:c r="L980" s="23">
        <x:v>21084</x:v>
      </x:c>
    </x:row>
    <x:row r="981">
      <x:c r="A981" s="18" t="s">
        <x:v>2227</x:v>
      </x:c>
      <x:c r="B981" s="19" t="s">
        <x:v>2228</x:v>
      </x:c>
      <x:c r="C981" s="20">
        <x:v>73181500</x:v>
      </x:c>
      <x:c r="D981" s="20">
        <x:v>15.5</x:v>
      </x:c>
      <x:c r="E981" s="18" t="s">
        <x:v>227</x:v>
      </x:c>
      <x:c r="F981" s="19" t="s">
        <x:v>11</x:v>
      </x:c>
      <x:c r="G981" s="20">
        <x:v>50.04</x:v>
      </x:c>
      <x:c r="H981" s="21"/>
      <x:c r="I981" s="26" t="s">
        <x:v>837</x:v>
      </x:c>
      <x:c r="J981" s="23">
        <x:v>896</x:v>
      </x:c>
      <x:c r="K981" s="23">
        <x:v>44835.839999999997</x:v>
      </x:c>
      <x:c r="L981" s="23">
        <x:v>584</x:v>
      </x:c>
    </x:row>
    <x:row r="982">
      <x:c r="A982" s="18" t="s">
        <x:v>2229</x:v>
      </x:c>
      <x:c r="B982" s="19" t="s">
        <x:v>99</x:v>
      </x:c>
      <x:c r="C982" s="20">
        <x:v>39269099</x:v>
      </x:c>
      <x:c r="D982" s="20">
        <x:v>15.5</x:v>
      </x:c>
      <x:c r="E982" s="18" t="s">
        <x:v>227</x:v>
      </x:c>
      <x:c r="F982" s="19" t="s">
        <x:v>11</x:v>
      </x:c>
      <x:c r="G982" s="20">
        <x:v>0.4</x:v>
      </x:c>
      <x:c r="H982" s="21"/>
      <x:c r="I982" s="26" t="s">
        <x:v>233</x:v>
      </x:c>
      <x:c r="J982" s="23">
        <x:v>218260</x:v>
      </x:c>
      <x:c r="K982" s="23">
        <x:v>87508.85</x:v>
      </x:c>
      <x:c r="L982" s="23">
        <x:v>110278</x:v>
      </x:c>
    </x:row>
    <x:row r="983">
      <x:c r="A983" s="18" t="s">
        <x:v>2230</x:v>
      </x:c>
      <x:c r="B983" s="19" t="s">
        <x:v>2231</x:v>
      </x:c>
      <x:c r="C983" s="20">
        <x:v>39269099</x:v>
      </x:c>
      <x:c r="D983" s="20">
        <x:v>1.05</x:v>
      </x:c>
      <x:c r="E983" s="18" t="s">
        <x:v>227</x:v>
      </x:c>
      <x:c r="F983" s="19" t="s">
        <x:v>11</x:v>
      </x:c>
      <x:c r="G983" s="20">
        <x:v>0</x:v>
      </x:c>
      <x:c r="H983" s="21"/>
      <x:c r="I983" s="21" t="s">
        <x:v>2232</x:v>
      </x:c>
      <x:c r="J983" s="23">
        <x:v>4639</x:v>
      </x:c>
      <x:c r="K983" s="23">
        <x:v>4407.05</x:v>
      </x:c>
      <x:c r="L983" s="23">
        <x:v>1287</x:v>
      </x:c>
    </x:row>
    <x:row r="984">
      <x:c r="A984" s="18" t="s">
        <x:v>2233</x:v>
      </x:c>
      <x:c r="B984" s="19" t="s">
        <x:v>2234</x:v>
      </x:c>
      <x:c r="C984" s="20">
        <x:v>39269099</x:v>
      </x:c>
      <x:c r="D984" s="20">
        <x:v>32</x:v>
      </x:c>
      <x:c r="E984" s="18" t="s">
        <x:v>227</x:v>
      </x:c>
      <x:c r="F984" s="19" t="s">
        <x:v>11</x:v>
      </x:c>
      <x:c r="G984" s="20">
        <x:v>0</x:v>
      </x:c>
      <x:c r="H984" s="21"/>
      <x:c r="I984" s="21" t="s">
        <x:v>228</x:v>
      </x:c>
      <x:c r="J984" s="23">
        <x:v>11494</x:v>
      </x:c>
      <x:c r="K984" s="23">
        <x:v>18965.099999999999</x:v>
      </x:c>
      <x:c r="L984" s="23">
        <x:v>8821</x:v>
      </x:c>
    </x:row>
    <x:row r="985">
      <x:c r="A985" s="18" t="s">
        <x:v>2235</x:v>
      </x:c>
      <x:c r="B985" s="19" t="s">
        <x:v>2236</x:v>
      </x:c>
      <x:c r="C985" s="20">
        <x:v>83024200</x:v>
      </x:c>
      <x:c r="D985" s="20">
        <x:v>280</x:v>
      </x:c>
      <x:c r="E985" s="18" t="s">
        <x:v>227</x:v>
      </x:c>
      <x:c r="F985" s="19" t="s">
        <x:v>11</x:v>
      </x:c>
      <x:c r="G985" s="20">
        <x:v>0</x:v>
      </x:c>
      <x:c r="H985" s="21"/>
      <x:c r="I985" s="21" t="s">
        <x:v>252</x:v>
      </x:c>
      <x:c r="J985" s="23">
        <x:v>2</x:v>
      </x:c>
      <x:c r="K985" s="23">
        <x:v>11384.5</x:v>
      </x:c>
      <x:c r="L985" s="23">
        <x:v>1</x:v>
      </x:c>
    </x:row>
    <x:row r="986">
      <x:c r="A986" s="18" t="s">
        <x:v>2237</x:v>
      </x:c>
      <x:c r="B986" s="19" t="s">
        <x:v>2238</x:v>
      </x:c>
      <x:c r="C986" s="20">
        <x:v>94039900</x:v>
      </x:c>
      <x:c r="D986" s="20">
        <x:v>383.8</x:v>
      </x:c>
      <x:c r="E986" s="18" t="s">
        <x:v>227</x:v>
      </x:c>
      <x:c r="F986" s="19" t="s">
        <x:v>11</x:v>
      </x:c>
      <x:c r="G986" s="20">
        <x:v>24001</x:v>
      </x:c>
      <x:c r="H986" s="21"/>
      <x:c r="I986" s="26" t="s">
        <x:v>837</x:v>
      </x:c>
      <x:c r="J986" s="22">
        <x:v>0</x:v>
      </x:c>
      <x:c r="K986" s="22">
        <x:v>0</x:v>
      </x:c>
      <x:c r="L986" s="23">
        <x:v>1</x:v>
      </x:c>
    </x:row>
    <x:row r="987">
      <x:c r="A987" s="18" t="s">
        <x:v>2239</x:v>
      </x:c>
      <x:c r="B987" s="19" t="s">
        <x:v>2240</x:v>
      </x:c>
      <x:c r="C987" s="20">
        <x:v>42023210</x:v>
      </x:c>
      <x:c r="D987" s="20">
        <x:v>1700</x:v>
      </x:c>
      <x:c r="E987" s="18" t="s">
        <x:v>227</x:v>
      </x:c>
      <x:c r="F987" s="19" t="s">
        <x:v>11</x:v>
      </x:c>
      <x:c r="G987" s="20">
        <x:v>0</x:v>
      </x:c>
      <x:c r="H987" s="21"/>
      <x:c r="I987" s="21" t="s">
        <x:v>275</x:v>
      </x:c>
      <x:c r="J987" s="23">
        <x:v>5</x:v>
      </x:c>
      <x:c r="K987" s="23">
        <x:v>157500</x:v>
      </x:c>
      <x:c r="L987" s="23">
        <x:v>3</x:v>
      </x:c>
    </x:row>
    <x:row r="988">
      <x:c r="A988" s="18" t="s">
        <x:v>2241</x:v>
      </x:c>
      <x:c r="B988" s="19" t="s">
        <x:v>2242</x:v>
      </x:c>
      <x:c r="C988" s="20">
        <x:v>42023210</x:v>
      </x:c>
      <x:c r="D988" s="20">
        <x:v>1114.7</x:v>
      </x:c>
      <x:c r="E988" s="18" t="s">
        <x:v>227</x:v>
      </x:c>
      <x:c r="F988" s="19" t="s">
        <x:v>82</x:v>
      </x:c>
      <x:c r="G988" s="20">
        <x:v>0</x:v>
      </x:c>
      <x:c r="H988" s="21"/>
      <x:c r="I988" s="21" t="s">
        <x:v>275</x:v>
      </x:c>
      <x:c r="J988" s="22">
        <x:v>0</x:v>
      </x:c>
      <x:c r="K988" s="22">
        <x:v>0</x:v>
      </x:c>
      <x:c r="L988" s="23">
        <x:v>0</x:v>
      </x:c>
    </x:row>
    <x:row r="989">
      <x:c r="A989" s="18" t="s">
        <x:v>2243</x:v>
      </x:c>
      <x:c r="B989" s="19" t="s">
        <x:v>2244</x:v>
      </x:c>
      <x:c r="C989" s="20">
        <x:v>76042990</x:v>
      </x:c>
      <x:c r="D989" s="20">
        <x:v>269.13</x:v>
      </x:c>
      <x:c r="E989" s="18" t="s">
        <x:v>227</x:v>
      </x:c>
      <x:c r="F989" s="19" t="s">
        <x:v>11</x:v>
      </x:c>
      <x:c r="G989" s="20">
        <x:v>3120</x:v>
      </x:c>
      <x:c r="H989" s="21"/>
      <x:c r="I989" s="26" t="s">
        <x:v>275</x:v>
      </x:c>
      <x:c r="J989" s="22">
        <x:v>0</x:v>
      </x:c>
      <x:c r="K989" s="22">
        <x:v>0</x:v>
      </x:c>
      <x:c r="L989" s="23">
        <x:v>1</x:v>
      </x:c>
    </x:row>
    <x:row r="990">
      <x:c r="A990" s="18" t="s">
        <x:v>2245</x:v>
      </x:c>
      <x:c r="B990" s="19" t="s">
        <x:v>2246</x:v>
      </x:c>
      <x:c r="C990" s="20">
        <x:v>76042990</x:v>
      </x:c>
      <x:c r="D990" s="20">
        <x:v>600</x:v>
      </x:c>
      <x:c r="E990" s="18" t="s">
        <x:v>227</x:v>
      </x:c>
      <x:c r="F990" s="19" t="s">
        <x:v>11</x:v>
      </x:c>
      <x:c r="G990" s="20">
        <x:v>0</x:v>
      </x:c>
      <x:c r="H990" s="21"/>
      <x:c r="I990" s="21" t="s">
        <x:v>275</x:v>
      </x:c>
      <x:c r="J990" s="22">
        <x:v>0</x:v>
      </x:c>
      <x:c r="K990" s="22">
        <x:v>0</x:v>
      </x:c>
      <x:c r="L990" s="23">
        <x:v>0</x:v>
      </x:c>
    </x:row>
    <x:row r="991">
      <x:c r="A991" s="18" t="s">
        <x:v>2247</x:v>
      </x:c>
      <x:c r="B991" s="19" t="s">
        <x:v>2248</x:v>
      </x:c>
      <x:c r="C991" s="20">
        <x:v>76042990</x:v>
      </x:c>
      <x:c r="D991" s="20">
        <x:v>15.5</x:v>
      </x:c>
      <x:c r="E991" s="18" t="s">
        <x:v>227</x:v>
      </x:c>
      <x:c r="F991" s="19" t="s">
        <x:v>11</x:v>
      </x:c>
      <x:c r="G991" s="20">
        <x:v>6500</x:v>
      </x:c>
      <x:c r="H991" s="21"/>
      <x:c r="I991" s="26" t="s">
        <x:v>275</x:v>
      </x:c>
      <x:c r="J991" s="22">
        <x:v>0</x:v>
      </x:c>
      <x:c r="K991" s="22">
        <x:v>0</x:v>
      </x:c>
      <x:c r="L991" s="23">
        <x:v>21</x:v>
      </x:c>
    </x:row>
    <x:row r="992">
      <x:c r="A992" s="18" t="s">
        <x:v>2249</x:v>
      </x:c>
      <x:c r="B992" s="19" t="s">
        <x:v>2250</x:v>
      </x:c>
      <x:c r="C992" s="20">
        <x:v>76042990</x:v>
      </x:c>
      <x:c r="D992" s="20">
        <x:v>370.6</x:v>
      </x:c>
      <x:c r="E992" s="18" t="s">
        <x:v>227</x:v>
      </x:c>
      <x:c r="F992" s="19" t="s">
        <x:v>41</x:v>
      </x:c>
      <x:c r="G992" s="20">
        <x:v>323</x:v>
      </x:c>
      <x:c r="H992" s="21"/>
      <x:c r="I992" s="26" t="s">
        <x:v>275</x:v>
      </x:c>
      <x:c r="J992" s="22">
        <x:v>0</x:v>
      </x:c>
      <x:c r="K992" s="22">
        <x:v>0</x:v>
      </x:c>
      <x:c r="L992" s="23">
        <x:v>0</x:v>
      </x:c>
    </x:row>
    <x:row r="993">
      <x:c r="A993" s="18" t="s">
        <x:v>2251</x:v>
      </x:c>
      <x:c r="B993" s="19" t="s">
        <x:v>2252</x:v>
      </x:c>
      <x:c r="C993" s="20">
        <x:v>85381010</x:v>
      </x:c>
      <x:c r="D993" s="20">
        <x:v>660</x:v>
      </x:c>
      <x:c r="E993" s="18" t="s">
        <x:v>227</x:v>
      </x:c>
      <x:c r="F993" s="19" t="s">
        <x:v>11</x:v>
      </x:c>
      <x:c r="G993" s="20">
        <x:v>24</x:v>
      </x:c>
      <x:c r="H993" s="21"/>
      <x:c r="I993" s="26" t="s">
        <x:v>233</x:v>
      </x:c>
      <x:c r="J993" s="23">
        <x:v>169</x:v>
      </x:c>
      <x:c r="K993" s="23">
        <x:v>4056</x:v>
      </x:c>
      <x:c r="L993" s="23">
        <x:v>585</x:v>
      </x:c>
    </x:row>
    <x:row r="994">
      <x:c r="A994" s="18" t="s">
        <x:v>2253</x:v>
      </x:c>
      <x:c r="B994" s="19" t="s">
        <x:v>2254</x:v>
      </x:c>
      <x:c r="C994" s="20">
        <x:v>85381010</x:v>
      </x:c>
      <x:c r="D994" s="20">
        <x:v>600</x:v>
      </x:c>
      <x:c r="E994" s="18" t="s">
        <x:v>227</x:v>
      </x:c>
      <x:c r="F994" s="19" t="s">
        <x:v>11</x:v>
      </x:c>
      <x:c r="G994" s="20">
        <x:v>0</x:v>
      </x:c>
      <x:c r="H994" s="21"/>
      <x:c r="I994" s="21" t="s">
        <x:v>2054</x:v>
      </x:c>
      <x:c r="J994" s="23">
        <x:v>1</x:v>
      </x:c>
      <x:c r="K994" s="23">
        <x:v>125</x:v>
      </x:c>
      <x:c r="L994" s="23">
        <x:v>1</x:v>
      </x:c>
    </x:row>
    <x:row r="995">
      <x:c r="A995" s="18" t="s">
        <x:v>2255</x:v>
      </x:c>
      <x:c r="B995" s="19" t="s">
        <x:v>2256</x:v>
      </x:c>
      <x:c r="C995" s="20">
        <x:v>85381010</x:v>
      </x:c>
      <x:c r="D995" s="20">
        <x:v>704</x:v>
      </x:c>
      <x:c r="E995" s="18" t="s">
        <x:v>227</x:v>
      </x:c>
      <x:c r="F995" s="19" t="s">
        <x:v>11</x:v>
      </x:c>
      <x:c r="G995" s="20">
        <x:v>0</x:v>
      </x:c>
      <x:c r="H995" s="21"/>
      <x:c r="I995" s="21" t="s">
        <x:v>2019</x:v>
      </x:c>
      <x:c r="J995" s="22">
        <x:v>0</x:v>
      </x:c>
      <x:c r="K995" s="22">
        <x:v>0</x:v>
      </x:c>
      <x:c r="L995" s="23">
        <x:v>0</x:v>
      </x:c>
    </x:row>
    <x:row r="996">
      <x:c r="A996" s="18" t="s">
        <x:v>2257</x:v>
      </x:c>
      <x:c r="B996" s="19" t="s">
        <x:v>2258</x:v>
      </x:c>
      <x:c r="C996" s="20">
        <x:v>85381010</x:v>
      </x:c>
      <x:c r="D996" s="20">
        <x:v>1450</x:v>
      </x:c>
      <x:c r="E996" s="18" t="s">
        <x:v>227</x:v>
      </x:c>
      <x:c r="F996" s="19" t="s">
        <x:v>11</x:v>
      </x:c>
      <x:c r="G996" s="20">
        <x:v>0</x:v>
      </x:c>
      <x:c r="H996" s="21"/>
      <x:c r="I996" s="21" t="s">
        <x:v>2030</x:v>
      </x:c>
      <x:c r="J996" s="23">
        <x:v>10</x:v>
      </x:c>
      <x:c r="K996" s="23">
        <x:v>1393.9</x:v>
      </x:c>
      <x:c r="L996" s="23">
        <x:v>10</x:v>
      </x:c>
    </x:row>
    <x:row r="997">
      <x:c r="A997" s="18" t="s">
        <x:v>2259</x:v>
      </x:c>
      <x:c r="B997" s="19" t="s">
        <x:v>2260</x:v>
      </x:c>
      <x:c r="C997" s="20">
        <x:v>85381010</x:v>
      </x:c>
      <x:c r="D997" s="20">
        <x:v>3801.65</x:v>
      </x:c>
      <x:c r="E997" s="18" t="s">
        <x:v>227</x:v>
      </x:c>
      <x:c r="F997" s="19" t="s">
        <x:v>11</x:v>
      </x:c>
      <x:c r="G997" s="20">
        <x:v>0</x:v>
      </x:c>
      <x:c r="H997" s="21"/>
      <x:c r="I997" s="21" t="s">
        <x:v>2030</x:v>
      </x:c>
      <x:c r="J997" s="23">
        <x:v>6</x:v>
      </x:c>
      <x:c r="K997" s="23">
        <x:v>1960.2</x:v>
      </x:c>
      <x:c r="L997" s="23">
        <x:v>6</x:v>
      </x:c>
    </x:row>
    <x:row r="998">
      <x:c r="A998" s="18" t="s">
        <x:v>2261</x:v>
      </x:c>
      <x:c r="B998" s="19" t="s">
        <x:v>2262</x:v>
      </x:c>
      <x:c r="C998" s="20">
        <x:v>85381010</x:v>
      </x:c>
      <x:c r="D998" s="20">
        <x:v>6.5</x:v>
      </x:c>
      <x:c r="E998" s="18" t="s">
        <x:v>227</x:v>
      </x:c>
      <x:c r="F998" s="19" t="s">
        <x:v>11</x:v>
      </x:c>
      <x:c r="G998" s="20">
        <x:v>675</x:v>
      </x:c>
      <x:c r="H998" s="21"/>
      <x:c r="I998" s="26" t="s">
        <x:v>2039</x:v>
      </x:c>
      <x:c r="J998" s="22">
        <x:v>0</x:v>
      </x:c>
      <x:c r="K998" s="22">
        <x:v>0</x:v>
      </x:c>
      <x:c r="L998" s="23">
        <x:v>1</x:v>
      </x:c>
    </x:row>
    <x:row r="999">
      <x:c r="A999" s="18" t="s">
        <x:v>2263</x:v>
      </x:c>
      <x:c r="B999" s="19" t="s">
        <x:v>2264</x:v>
      </x:c>
      <x:c r="C999" s="20">
        <x:v>85381010</x:v>
      </x:c>
      <x:c r="D999" s="20">
        <x:v>1.65</x:v>
      </x:c>
      <x:c r="E999" s="18" t="s">
        <x:v>227</x:v>
      </x:c>
      <x:c r="F999" s="19" t="s">
        <x:v>11</x:v>
      </x:c>
      <x:c r="G999" s="20">
        <x:v>0</x:v>
      </x:c>
      <x:c r="H999" s="21"/>
      <x:c r="I999" s="21" t="s">
        <x:v>2054</x:v>
      </x:c>
      <x:c r="J999" s="22">
        <x:v>0</x:v>
      </x:c>
      <x:c r="K999" s="22">
        <x:v>0</x:v>
      </x:c>
      <x:c r="L999" s="23">
        <x:v>0</x:v>
      </x:c>
    </x:row>
    <x:row r="1000">
      <x:c r="A1000" s="18" t="s">
        <x:v>2265</x:v>
      </x:c>
      <x:c r="B1000" s="19" t="s">
        <x:v>2266</x:v>
      </x:c>
      <x:c r="C1000" s="20">
        <x:v>85381010</x:v>
      </x:c>
      <x:c r="D1000" s="20">
        <x:v>608.33000000000004</x:v>
      </x:c>
      <x:c r="E1000" s="18" t="s">
        <x:v>227</x:v>
      </x:c>
      <x:c r="F1000" s="19" t="s">
        <x:v>11</x:v>
      </x:c>
      <x:c r="G1000" s="20">
        <x:v>0</x:v>
      </x:c>
      <x:c r="H1000" s="21"/>
      <x:c r="I1000" s="21" t="s">
        <x:v>2030</x:v>
      </x:c>
      <x:c r="J1000" s="23">
        <x:v>6</x:v>
      </x:c>
      <x:c r="K1000" s="23">
        <x:v>1332.96</x:v>
      </x:c>
      <x:c r="L1000" s="23">
        <x:v>6</x:v>
      </x:c>
    </x:row>
    <x:row r="1001">
      <x:c r="A1001" s="18" t="s">
        <x:v>2267</x:v>
      </x:c>
      <x:c r="B1001" s="19" t="s">
        <x:v>2268</x:v>
      </x:c>
      <x:c r="C1001" s="20">
        <x:v>85381010</x:v>
      </x:c>
      <x:c r="D1001" s="20">
        <x:v>1201.58</x:v>
      </x:c>
      <x:c r="E1001" s="18" t="s">
        <x:v>227</x:v>
      </x:c>
      <x:c r="F1001" s="19" t="s">
        <x:v>11</x:v>
      </x:c>
      <x:c r="G1001" s="20">
        <x:v>0</x:v>
      </x:c>
      <x:c r="H1001" s="21"/>
      <x:c r="I1001" s="21" t="s">
        <x:v>2025</x:v>
      </x:c>
      <x:c r="J1001" s="23">
        <x:v>2</x:v>
      </x:c>
      <x:c r="K1001" s="23">
        <x:v>990</x:v>
      </x:c>
      <x:c r="L1001" s="23">
        <x:v>2</x:v>
      </x:c>
    </x:row>
    <x:row r="1002">
      <x:c r="A1002" s="18" t="s">
        <x:v>2269</x:v>
      </x:c>
      <x:c r="B1002" s="19" t="s">
        <x:v>2270</x:v>
      </x:c>
      <x:c r="C1002" s="20">
        <x:v>85381010</x:v>
      </x:c>
      <x:c r="D1002" s="20">
        <x:v>11.25</x:v>
      </x:c>
      <x:c r="E1002" s="18" t="s">
        <x:v>227</x:v>
      </x:c>
      <x:c r="F1002" s="19" t="s">
        <x:v>11</x:v>
      </x:c>
      <x:c r="G1002" s="20">
        <x:v>0</x:v>
      </x:c>
      <x:c r="H1002" s="21"/>
      <x:c r="I1002" s="21" t="s">
        <x:v>2030</x:v>
      </x:c>
      <x:c r="J1002" s="23">
        <x:v>4</x:v>
      </x:c>
      <x:c r="K1002" s="23">
        <x:v>714.4</x:v>
      </x:c>
      <x:c r="L1002" s="23">
        <x:v>4</x:v>
      </x:c>
    </x:row>
    <x:row r="1003">
      <x:c r="A1003" s="18" t="s">
        <x:v>2271</x:v>
      </x:c>
      <x:c r="B1003" s="19" t="s">
        <x:v>2272</x:v>
      </x:c>
      <x:c r="C1003" s="20">
        <x:v>85381010</x:v>
      </x:c>
      <x:c r="D1003" s="20">
        <x:v>349.11</x:v>
      </x:c>
      <x:c r="E1003" s="18" t="s">
        <x:v>227</x:v>
      </x:c>
      <x:c r="F1003" s="19" t="s">
        <x:v>11</x:v>
      </x:c>
      <x:c r="G1003" s="20">
        <x:v>699</x:v>
      </x:c>
      <x:c r="H1003" s="21"/>
      <x:c r="I1003" s="26" t="s">
        <x:v>2016</x:v>
      </x:c>
      <x:c r="J1003" s="22">
        <x:v>0</x:v>
      </x:c>
      <x:c r="K1003" s="22">
        <x:v>0</x:v>
      </x:c>
      <x:c r="L1003" s="23">
        <x:v>0</x:v>
      </x:c>
    </x:row>
    <x:row r="1004">
      <x:c r="A1004" s="18" t="s">
        <x:v>2273</x:v>
      </x:c>
      <x:c r="B1004" s="19" t="s">
        <x:v>2274</x:v>
      </x:c>
      <x:c r="C1004" s="20">
        <x:v>85381010</x:v>
      </x:c>
      <x:c r="D1004" s="20">
        <x:v>14.44</x:v>
      </x:c>
      <x:c r="E1004" s="18" t="s">
        <x:v>227</x:v>
      </x:c>
      <x:c r="F1004" s="19" t="s">
        <x:v>11</x:v>
      </x:c>
      <x:c r="G1004" s="20">
        <x:v>0</x:v>
      </x:c>
      <x:c r="H1004" s="21"/>
      <x:c r="I1004" s="21" t="s">
        <x:v>2019</x:v>
      </x:c>
      <x:c r="J1004" s="22">
        <x:v>0</x:v>
      </x:c>
      <x:c r="K1004" s="22">
        <x:v>0</x:v>
      </x:c>
      <x:c r="L1004" s="23">
        <x:v>0</x:v>
      </x:c>
    </x:row>
    <x:row r="1005">
      <x:c r="A1005" s="18" t="s">
        <x:v>2275</x:v>
      </x:c>
      <x:c r="B1005" s="19" t="s">
        <x:v>2276</x:v>
      </x:c>
      <x:c r="C1005" s="20">
        <x:v>85381010</x:v>
      </x:c>
      <x:c r="D1005" s="20">
        <x:v>604.54999999999995</x:v>
      </x:c>
      <x:c r="E1005" s="18" t="s">
        <x:v>227</x:v>
      </x:c>
      <x:c r="F1005" s="19" t="s">
        <x:v>11</x:v>
      </x:c>
      <x:c r="G1005" s="20">
        <x:v>0</x:v>
      </x:c>
      <x:c r="H1005" s="21"/>
      <x:c r="I1005" s="21" t="s">
        <x:v>2019</x:v>
      </x:c>
      <x:c r="J1005" s="22">
        <x:v>0</x:v>
      </x:c>
      <x:c r="K1005" s="22">
        <x:v>0</x:v>
      </x:c>
      <x:c r="L1005" s="23">
        <x:v>0</x:v>
      </x:c>
    </x:row>
    <x:row r="1006">
      <x:c r="A1006" s="18" t="s">
        <x:v>2277</x:v>
      </x:c>
      <x:c r="B1006" s="19" t="s">
        <x:v>2278</x:v>
      </x:c>
      <x:c r="C1006" s="20">
        <x:v>85381010</x:v>
      </x:c>
      <x:c r="D1006" s="20">
        <x:v>600</x:v>
      </x:c>
      <x:c r="E1006" s="18" t="s">
        <x:v>227</x:v>
      </x:c>
      <x:c r="F1006" s="19" t="s">
        <x:v>11</x:v>
      </x:c>
      <x:c r="G1006" s="20">
        <x:v>0</x:v>
      </x:c>
      <x:c r="H1006" s="21"/>
      <x:c r="I1006" s="21" t="s">
        <x:v>2019</x:v>
      </x:c>
      <x:c r="J1006" s="23">
        <x:v>5</x:v>
      </x:c>
      <x:c r="K1006" s="23">
        <x:v>1137.5</x:v>
      </x:c>
      <x:c r="L1006" s="23">
        <x:v>5</x:v>
      </x:c>
    </x:row>
    <x:row r="1007">
      <x:c r="A1007" s="18" t="s">
        <x:v>2279</x:v>
      </x:c>
      <x:c r="B1007" s="19" t="s">
        <x:v>2280</x:v>
      </x:c>
      <x:c r="C1007" s="20">
        <x:v>85381010</x:v>
      </x:c>
      <x:c r="D1007" s="20">
        <x:v>381.23</x:v>
      </x:c>
      <x:c r="E1007" s="18" t="s">
        <x:v>227</x:v>
      </x:c>
      <x:c r="F1007" s="19" t="s">
        <x:v>11</x:v>
      </x:c>
      <x:c r="G1007" s="20">
        <x:v>1599</x:v>
      </x:c>
      <x:c r="H1007" s="21"/>
      <x:c r="I1007" s="26" t="s">
        <x:v>2061</x:v>
      </x:c>
      <x:c r="J1007" s="22">
        <x:v>0</x:v>
      </x:c>
      <x:c r="K1007" s="22">
        <x:v>0</x:v>
      </x:c>
      <x:c r="L1007" s="23">
        <x:v>0</x:v>
      </x:c>
    </x:row>
    <x:row r="1008">
      <x:c r="A1008" s="18" t="s">
        <x:v>2281</x:v>
      </x:c>
      <x:c r="B1008" s="19" t="s">
        <x:v>2282</x:v>
      </x:c>
      <x:c r="C1008" s="20">
        <x:v>85381010</x:v>
      </x:c>
      <x:c r="D1008" s="20">
        <x:v>255</x:v>
      </x:c>
      <x:c r="E1008" s="18" t="s">
        <x:v>227</x:v>
      </x:c>
      <x:c r="F1008" s="19" t="s">
        <x:v>11</x:v>
      </x:c>
      <x:c r="G1008" s="20">
        <x:v>899</x:v>
      </x:c>
      <x:c r="H1008" s="21"/>
      <x:c r="I1008" s="26" t="s">
        <x:v>2061</x:v>
      </x:c>
      <x:c r="J1008" s="22">
        <x:v>0</x:v>
      </x:c>
      <x:c r="K1008" s="22">
        <x:v>0</x:v>
      </x:c>
      <x:c r="L1008" s="23">
        <x:v>0</x:v>
      </x:c>
    </x:row>
    <x:row r="1009">
      <x:c r="A1009" s="18" t="s">
        <x:v>2283</x:v>
      </x:c>
      <x:c r="B1009" s="19" t="s">
        <x:v>2284</x:v>
      </x:c>
      <x:c r="C1009" s="20">
        <x:v>85381010</x:v>
      </x:c>
      <x:c r="D1009" s="20">
        <x:v>26.82</x:v>
      </x:c>
      <x:c r="E1009" s="18" t="s">
        <x:v>227</x:v>
      </x:c>
      <x:c r="F1009" s="19" t="s">
        <x:v>11</x:v>
      </x:c>
      <x:c r="G1009" s="20">
        <x:v>0</x:v>
      </x:c>
      <x:c r="H1009" s="21"/>
      <x:c r="I1009" s="21" t="s">
        <x:v>2025</x:v>
      </x:c>
      <x:c r="J1009" s="23">
        <x:v>3</x:v>
      </x:c>
      <x:c r="K1009" s="23">
        <x:v>924</x:v>
      </x:c>
      <x:c r="L1009" s="23">
        <x:v>3</x:v>
      </x:c>
    </x:row>
    <x:row r="1010">
      <x:c r="A1010" s="18" t="s">
        <x:v>2285</x:v>
      </x:c>
      <x:c r="B1010" s="19" t="s">
        <x:v>2286</x:v>
      </x:c>
      <x:c r="C1010" s="20">
        <x:v>85381010</x:v>
      </x:c>
      <x:c r="D1010" s="20">
        <x:v>965</x:v>
      </x:c>
      <x:c r="E1010" s="18" t="s">
        <x:v>227</x:v>
      </x:c>
      <x:c r="F1010" s="19" t="s">
        <x:v>11</x:v>
      </x:c>
      <x:c r="G1010" s="20">
        <x:v>0</x:v>
      </x:c>
      <x:c r="H1010" s="21"/>
      <x:c r="I1010" s="21"/>
      <x:c r="J1010" s="23">
        <x:v>1</x:v>
      </x:c>
      <x:c r="K1010" s="23">
        <x:v>308</x:v>
      </x:c>
      <x:c r="L1010" s="23">
        <x:v>1</x:v>
      </x:c>
    </x:row>
    <x:row r="1011">
      <x:c r="A1011" s="18" t="s">
        <x:v>2287</x:v>
      </x:c>
      <x:c r="B1011" s="19" t="s">
        <x:v>2288</x:v>
      </x:c>
      <x:c r="C1011" s="20">
        <x:v>85381010</x:v>
      </x:c>
      <x:c r="D1011" s="20">
        <x:v>433.05</x:v>
      </x:c>
      <x:c r="E1011" s="18" t="s">
        <x:v>227</x:v>
      </x:c>
      <x:c r="F1011" s="19" t="s">
        <x:v>11</x:v>
      </x:c>
      <x:c r="G1011" s="20">
        <x:v>0</x:v>
      </x:c>
      <x:c r="H1011" s="21"/>
      <x:c r="I1011" s="21" t="s">
        <x:v>2030</x:v>
      </x:c>
      <x:c r="J1011" s="23">
        <x:v>10</x:v>
      </x:c>
      <x:c r="K1011" s="23">
        <x:v>2875</x:v>
      </x:c>
      <x:c r="L1011" s="23">
        <x:v>10</x:v>
      </x:c>
    </x:row>
    <x:row r="1012">
      <x:c r="A1012" s="18" t="s">
        <x:v>2289</x:v>
      </x:c>
      <x:c r="B1012" s="19" t="s">
        <x:v>2290</x:v>
      </x:c>
      <x:c r="C1012" s="20">
        <x:v>85381010</x:v>
      </x:c>
      <x:c r="D1012" s="20">
        <x:v>866</x:v>
      </x:c>
      <x:c r="E1012" s="18" t="s">
        <x:v>227</x:v>
      </x:c>
      <x:c r="F1012" s="19" t="s">
        <x:v>11</x:v>
      </x:c>
      <x:c r="G1012" s="20">
        <x:v>0</x:v>
      </x:c>
      <x:c r="H1012" s="21"/>
      <x:c r="I1012" s="21" t="s">
        <x:v>2054</x:v>
      </x:c>
      <x:c r="J1012" s="23">
        <x:v>15</x:v>
      </x:c>
      <x:c r="K1012" s="23">
        <x:v>2475</x:v>
      </x:c>
      <x:c r="L1012" s="23">
        <x:v>11</x:v>
      </x:c>
    </x:row>
    <x:row r="1013">
      <x:c r="A1013" s="18" t="s">
        <x:v>2291</x:v>
      </x:c>
      <x:c r="B1013" s="19" t="s">
        <x:v>2292</x:v>
      </x:c>
      <x:c r="C1013" s="20">
        <x:v>85381010</x:v>
      </x:c>
      <x:c r="D1013" s="20">
        <x:v>425</x:v>
      </x:c>
      <x:c r="E1013" s="18" t="s">
        <x:v>227</x:v>
      </x:c>
      <x:c r="F1013" s="19" t="s">
        <x:v>11</x:v>
      </x:c>
      <x:c r="G1013" s="20">
        <x:v>350</x:v>
      </x:c>
      <x:c r="H1013" s="21"/>
      <x:c r="I1013" s="26" t="s">
        <x:v>2054</x:v>
      </x:c>
      <x:c r="J1013" s="22">
        <x:v>0</x:v>
      </x:c>
      <x:c r="K1013" s="22">
        <x:v>0</x:v>
      </x:c>
      <x:c r="L1013" s="23">
        <x:v>0</x:v>
      </x:c>
    </x:row>
    <x:row r="1014">
      <x:c r="A1014" s="18" t="s">
        <x:v>2293</x:v>
      </x:c>
      <x:c r="B1014" s="19" t="s">
        <x:v>2294</x:v>
      </x:c>
      <x:c r="C1014" s="20">
        <x:v>85381010</x:v>
      </x:c>
      <x:c r="D1014" s="20">
        <x:v>384</x:v>
      </x:c>
      <x:c r="E1014" s="18" t="s">
        <x:v>227</x:v>
      </x:c>
      <x:c r="F1014" s="19" t="s">
        <x:v>11</x:v>
      </x:c>
      <x:c r="G1014" s="20">
        <x:v>0</x:v>
      </x:c>
      <x:c r="H1014" s="21"/>
      <x:c r="I1014" s="21" t="s">
        <x:v>2025</x:v>
      </x:c>
      <x:c r="J1014" s="22">
        <x:v>0</x:v>
      </x:c>
      <x:c r="K1014" s="22">
        <x:v>0</x:v>
      </x:c>
      <x:c r="L1014" s="23">
        <x:v>0</x:v>
      </x:c>
    </x:row>
    <x:row r="1015">
      <x:c r="A1015" s="18" t="s">
        <x:v>2295</x:v>
      </x:c>
      <x:c r="B1015" s="19" t="s">
        <x:v>2296</x:v>
      </x:c>
      <x:c r="C1015" s="20">
        <x:v>85381010</x:v>
      </x:c>
      <x:c r="D1015" s="20">
        <x:v>540</x:v>
      </x:c>
      <x:c r="E1015" s="18" t="s">
        <x:v>227</x:v>
      </x:c>
      <x:c r="F1015" s="19" t="s">
        <x:v>11</x:v>
      </x:c>
      <x:c r="G1015" s="20">
        <x:v>0</x:v>
      </x:c>
      <x:c r="H1015" s="21"/>
      <x:c r="I1015" s="21" t="s">
        <x:v>2025</x:v>
      </x:c>
      <x:c r="J1015" s="22">
        <x:v>0</x:v>
      </x:c>
      <x:c r="K1015" s="22">
        <x:v>0</x:v>
      </x:c>
      <x:c r="L1015" s="23">
        <x:v>0</x:v>
      </x:c>
    </x:row>
    <x:row r="1016">
      <x:c r="A1016" s="18" t="s">
        <x:v>2297</x:v>
      </x:c>
      <x:c r="B1016" s="19" t="s">
        <x:v>2298</x:v>
      </x:c>
      <x:c r="C1016" s="20">
        <x:v>85381010</x:v>
      </x:c>
      <x:c r="D1016" s="20">
        <x:v>40</x:v>
      </x:c>
      <x:c r="E1016" s="18" t="s">
        <x:v>227</x:v>
      </x:c>
      <x:c r="F1016" s="19" t="s">
        <x:v>11</x:v>
      </x:c>
      <x:c r="G1016" s="20">
        <x:v>0</x:v>
      </x:c>
      <x:c r="H1016" s="21"/>
      <x:c r="I1016" s="21" t="s">
        <x:v>2030</x:v>
      </x:c>
      <x:c r="J1016" s="23">
        <x:v>2</x:v>
      </x:c>
      <x:c r="K1016" s="23">
        <x:v>226.52</x:v>
      </x:c>
      <x:c r="L1016" s="23">
        <x:v>2</x:v>
      </x:c>
    </x:row>
    <x:row r="1017">
      <x:c r="A1017" s="18" t="s">
        <x:v>2299</x:v>
      </x:c>
      <x:c r="B1017" s="19" t="s">
        <x:v>2300</x:v>
      </x:c>
      <x:c r="C1017" s="20">
        <x:v>85381010</x:v>
      </x:c>
      <x:c r="D1017" s="20">
        <x:v>15.5</x:v>
      </x:c>
      <x:c r="E1017" s="18" t="s">
        <x:v>227</x:v>
      </x:c>
      <x:c r="F1017" s="19" t="s">
        <x:v>11</x:v>
      </x:c>
      <x:c r="G1017" s="20">
        <x:v>0</x:v>
      </x:c>
      <x:c r="H1017" s="21"/>
      <x:c r="I1017" s="21" t="s">
        <x:v>2030</x:v>
      </x:c>
      <x:c r="J1017" s="23">
        <x:v>10</x:v>
      </x:c>
      <x:c r="K1017" s="23">
        <x:v>1263.2</x:v>
      </x:c>
      <x:c r="L1017" s="23">
        <x:v>10</x:v>
      </x:c>
    </x:row>
    <x:row r="1018">
      <x:c r="A1018" s="18" t="s">
        <x:v>2301</x:v>
      </x:c>
      <x:c r="B1018" s="19" t="s">
        <x:v>2302</x:v>
      </x:c>
      <x:c r="C1018" s="20">
        <x:v>85381010</x:v>
      </x:c>
      <x:c r="D1018" s="20">
        <x:v>15.5</x:v>
      </x:c>
      <x:c r="E1018" s="18" t="s">
        <x:v>227</x:v>
      </x:c>
      <x:c r="F1018" s="19" t="s">
        <x:v>11</x:v>
      </x:c>
      <x:c r="G1018" s="20">
        <x:v>59</x:v>
      </x:c>
      <x:c r="H1018" s="21"/>
      <x:c r="I1018" s="26" t="s">
        <x:v>272</x:v>
      </x:c>
      <x:c r="J1018" s="22">
        <x:v>0</x:v>
      </x:c>
      <x:c r="K1018" s="22">
        <x:v>0</x:v>
      </x:c>
      <x:c r="L1018" s="23">
        <x:v>136</x:v>
      </x:c>
    </x:row>
    <x:row r="1019">
      <x:c r="A1019" s="18" t="s">
        <x:v>2303</x:v>
      </x:c>
      <x:c r="B1019" s="19" t="s">
        <x:v>2304</x:v>
      </x:c>
      <x:c r="C1019" s="20">
        <x:v>85381010</x:v>
      </x:c>
      <x:c r="D1019" s="20">
        <x:v>2.2400000000000002</x:v>
      </x:c>
      <x:c r="E1019" s="18" t="s">
        <x:v>227</x:v>
      </x:c>
      <x:c r="F1019" s="19" t="s">
        <x:v>11</x:v>
      </x:c>
      <x:c r="G1019" s="20">
        <x:v>0</x:v>
      </x:c>
      <x:c r="H1019" s="21"/>
      <x:c r="I1019" s="21" t="s">
        <x:v>2025</x:v>
      </x:c>
      <x:c r="J1019" s="22">
        <x:v>0</x:v>
      </x:c>
      <x:c r="K1019" s="22">
        <x:v>0</x:v>
      </x:c>
      <x:c r="L1019" s="23">
        <x:v>0</x:v>
      </x:c>
    </x:row>
    <x:row r="1020">
      <x:c r="A1020" s="18" t="s">
        <x:v>2305</x:v>
      </x:c>
      <x:c r="B1020" s="19" t="s">
        <x:v>2306</x:v>
      </x:c>
      <x:c r="C1020" s="20">
        <x:v>85381010</x:v>
      </x:c>
      <x:c r="D1020" s="20">
        <x:v>6.21</x:v>
      </x:c>
      <x:c r="E1020" s="18" t="s">
        <x:v>227</x:v>
      </x:c>
      <x:c r="F1020" s="19" t="s">
        <x:v>11</x:v>
      </x:c>
      <x:c r="G1020" s="20">
        <x:v>0</x:v>
      </x:c>
      <x:c r="H1020" s="21"/>
      <x:c r="I1020" s="21" t="s">
        <x:v>2030</x:v>
      </x:c>
      <x:c r="J1020" s="22">
        <x:v>0</x:v>
      </x:c>
      <x:c r="K1020" s="22">
        <x:v>0</x:v>
      </x:c>
      <x:c r="L1020" s="23">
        <x:v>0</x:v>
      </x:c>
    </x:row>
    <x:row r="1021">
      <x:c r="A1021" s="18" t="s">
        <x:v>2307</x:v>
      </x:c>
      <x:c r="B1021" s="19" t="s">
        <x:v>2308</x:v>
      </x:c>
      <x:c r="C1021" s="20">
        <x:v>83024200</x:v>
      </x:c>
      <x:c r="D1021" s="20">
        <x:v>706.67</x:v>
      </x:c>
      <x:c r="E1021" s="18" t="s">
        <x:v>227</x:v>
      </x:c>
      <x:c r="F1021" s="19" t="s">
        <x:v>82</x:v>
      </x:c>
      <x:c r="G1021" s="20">
        <x:v>0</x:v>
      </x:c>
      <x:c r="H1021" s="21"/>
      <x:c r="I1021" s="21" t="s">
        <x:v>2201</x:v>
      </x:c>
      <x:c r="J1021" s="22">
        <x:v>0</x:v>
      </x:c>
      <x:c r="K1021" s="22">
        <x:v>0</x:v>
      </x:c>
      <x:c r="L1021" s="23">
        <x:v>0</x:v>
      </x:c>
    </x:row>
    <x:row r="1022">
      <x:c r="A1022" s="18" t="s">
        <x:v>2309</x:v>
      </x:c>
      <x:c r="B1022" s="19" t="s">
        <x:v>2310</x:v>
      </x:c>
      <x:c r="C1022" s="20">
        <x:v>39199090</x:v>
      </x:c>
      <x:c r="D1022" s="20">
        <x:v>25</x:v>
      </x:c>
      <x:c r="E1022" s="18" t="s">
        <x:v>227</x:v>
      </x:c>
      <x:c r="F1022" s="19" t="s">
        <x:v>11</x:v>
      </x:c>
      <x:c r="G1022" s="20">
        <x:v>1.1599999999999999</x:v>
      </x:c>
      <x:c r="H1022" s="21"/>
      <x:c r="I1022" s="26" t="s">
        <x:v>2311</x:v>
      </x:c>
      <x:c r="J1022" s="23">
        <x:v>49890</x:v>
      </x:c>
      <x:c r="K1022" s="23">
        <x:v>57872.4</x:v>
      </x:c>
      <x:c r="L1022" s="23">
        <x:v>46390</x:v>
      </x:c>
    </x:row>
    <x:row r="1023">
      <x:c r="A1023" s="18" t="s">
        <x:v>2312</x:v>
      </x:c>
      <x:c r="B1023" s="19" t="s">
        <x:v>2313</x:v>
      </x:c>
      <x:c r="C1023" s="20">
        <x:v>39199090</x:v>
      </x:c>
      <x:c r="D1023" s="20">
        <x:v>52</x:v>
      </x:c>
      <x:c r="E1023" s="18" t="s">
        <x:v>227</x:v>
      </x:c>
      <x:c r="F1023" s="19" t="s">
        <x:v>11</x:v>
      </x:c>
      <x:c r="G1023" s="20">
        <x:v>0.57999999999999996</x:v>
      </x:c>
      <x:c r="H1023" s="21"/>
      <x:c r="I1023" s="26" t="s">
        <x:v>2311</x:v>
      </x:c>
      <x:c r="J1023" s="23">
        <x:v>32900</x:v>
      </x:c>
      <x:c r="K1023" s="23">
        <x:v>19082</x:v>
      </x:c>
      <x:c r="L1023" s="23">
        <x:v>45400</x:v>
      </x:c>
    </x:row>
    <x:row r="1024">
      <x:c r="A1024" s="18" t="s">
        <x:v>2314</x:v>
      </x:c>
      <x:c r="B1024" s="19" t="s">
        <x:v>2315</x:v>
      </x:c>
      <x:c r="C1024" s="20">
        <x:v>44123990</x:v>
      </x:c>
      <x:c r="D1024" s="20">
        <x:v>6.87</x:v>
      </x:c>
      <x:c r="E1024" s="18" t="s">
        <x:v>227</x:v>
      </x:c>
      <x:c r="F1024" s="19" t="s">
        <x:v>11</x:v>
      </x:c>
      <x:c r="G1024" s="20">
        <x:v>0</x:v>
      </x:c>
      <x:c r="H1024" s="21"/>
      <x:c r="I1024" s="21"/>
      <x:c r="J1024" s="22">
        <x:v>0</x:v>
      </x:c>
      <x:c r="K1024" s="22">
        <x:v>0</x:v>
      </x:c>
      <x:c r="L1024" s="23">
        <x:v>0</x:v>
      </x:c>
    </x:row>
    <x:row r="1025">
      <x:c r="A1025" s="18" t="s">
        <x:v>2316</x:v>
      </x:c>
      <x:c r="B1025" s="19" t="s">
        <x:v>2317</x:v>
      </x:c>
      <x:c r="C1025" s="20">
        <x:v>44123990</x:v>
      </x:c>
      <x:c r="D1025" s="20">
        <x:v>119.78</x:v>
      </x:c>
      <x:c r="E1025" s="18" t="s">
        <x:v>227</x:v>
      </x:c>
      <x:c r="F1025" s="19" t="s">
        <x:v>11</x:v>
      </x:c>
      <x:c r="G1025" s="20">
        <x:v>12012</x:v>
      </x:c>
      <x:c r="H1025" s="21"/>
      <x:c r="I1025" s="26" t="s">
        <x:v>2318</x:v>
      </x:c>
      <x:c r="J1025" s="22">
        <x:v>0</x:v>
      </x:c>
      <x:c r="K1025" s="22">
        <x:v>0</x:v>
      </x:c>
      <x:c r="L1025" s="23">
        <x:v>0</x:v>
      </x:c>
    </x:row>
    <x:row r="1026">
      <x:c r="A1026" s="18" t="s">
        <x:v>2319</x:v>
      </x:c>
      <x:c r="B1026" s="19" t="s">
        <x:v>2320</x:v>
      </x:c>
      <x:c r="C1026" s="20">
        <x:v>48239019</x:v>
      </x:c>
      <x:c r="D1026" s="20">
        <x:v>2.5</x:v>
      </x:c>
      <x:c r="E1026" s="18" t="s">
        <x:v>227</x:v>
      </x:c>
      <x:c r="F1026" s="19" t="s">
        <x:v>11</x:v>
      </x:c>
      <x:c r="G1026" s="20">
        <x:v>575</x:v>
      </x:c>
      <x:c r="H1026" s="21"/>
      <x:c r="I1026" s="26" t="s">
        <x:v>2321</x:v>
      </x:c>
      <x:c r="J1026" s="23">
        <x:v>111</x:v>
      </x:c>
      <x:c r="K1026" s="23">
        <x:v>56960</x:v>
      </x:c>
      <x:c r="L1026" s="23">
        <x:v>130</x:v>
      </x:c>
    </x:row>
    <x:row r="1027">
      <x:c r="A1027" s="18" t="s">
        <x:v>2322</x:v>
      </x:c>
      <x:c r="B1027" s="19" t="s">
        <x:v>2323</x:v>
      </x:c>
      <x:c r="C1027" s="20">
        <x:v>38245090</x:v>
      </x:c>
      <x:c r="D1027" s="20">
        <x:v>1117.1400000000001</x:v>
      </x:c>
      <x:c r="E1027" s="18" t="s">
        <x:v>227</x:v>
      </x:c>
      <x:c r="F1027" s="19" t="s">
        <x:v>1985</x:v>
      </x:c>
      <x:c r="G1027" s="20">
        <x:v>0</x:v>
      </x:c>
      <x:c r="H1027" s="21"/>
      <x:c r="I1027" s="21" t="s">
        <x:v>791</x:v>
      </x:c>
      <x:c r="J1027" s="22">
        <x:v>0</x:v>
      </x:c>
      <x:c r="K1027" s="22">
        <x:v>0</x:v>
      </x:c>
      <x:c r="L1027" s="23">
        <x:v>0</x:v>
      </x:c>
    </x:row>
    <x:row r="1028">
      <x:c r="A1028" s="18" t="s">
        <x:v>2324</x:v>
      </x:c>
      <x:c r="B1028" s="19" t="s">
        <x:v>2325</x:v>
      </x:c>
      <x:c r="C1028" s="20">
        <x:v>73239390</x:v>
      </x:c>
      <x:c r="D1028" s="20">
        <x:v>550</x:v>
      </x:c>
      <x:c r="E1028" s="18" t="s">
        <x:v>227</x:v>
      </x:c>
      <x:c r="F1028" s="19" t="s">
        <x:v>11</x:v>
      </x:c>
      <x:c r="G1028" s="20">
        <x:v>0</x:v>
      </x:c>
      <x:c r="H1028" s="21"/>
      <x:c r="I1028" s="21" t="s">
        <x:v>2106</x:v>
      </x:c>
      <x:c r="J1028" s="23">
        <x:v>11</x:v>
      </x:c>
      <x:c r="K1028" s="23">
        <x:v>30290.09</x:v>
      </x:c>
      <x:c r="L1028" s="23">
        <x:v>11</x:v>
      </x:c>
    </x:row>
    <x:row r="1029">
      <x:c r="A1029" s="18" t="s">
        <x:v>2326</x:v>
      </x:c>
      <x:c r="B1029" s="19" t="s">
        <x:v>2327</x:v>
      </x:c>
      <x:c r="C1029" s="20">
        <x:v>73239390</x:v>
      </x:c>
      <x:c r="D1029" s="20">
        <x:v>4.4000000000000004</x:v>
      </x:c>
      <x:c r="E1029" s="18" t="s">
        <x:v>227</x:v>
      </x:c>
      <x:c r="F1029" s="19" t="s">
        <x:v>11</x:v>
      </x:c>
      <x:c r="G1029" s="20">
        <x:v>0</x:v>
      </x:c>
      <x:c r="H1029" s="21"/>
      <x:c r="I1029" s="21" t="s">
        <x:v>2106</x:v>
      </x:c>
      <x:c r="J1029" s="23">
        <x:v>1</x:v>
      </x:c>
      <x:c r="K1029" s="23">
        <x:v>2414.5</x:v>
      </x:c>
      <x:c r="L1029" s="23">
        <x:v>1</x:v>
      </x:c>
    </x:row>
    <x:row r="1030">
      <x:c r="A1030" s="18" t="s">
        <x:v>2328</x:v>
      </x:c>
      <x:c r="B1030" s="19" t="s">
        <x:v>2329</x:v>
      </x:c>
      <x:c r="C1030" s="20">
        <x:v>59031010</x:v>
      </x:c>
      <x:c r="D1030" s="20">
        <x:v>11</x:v>
      </x:c>
      <x:c r="E1030" s="18" t="s">
        <x:v>227</x:v>
      </x:c>
      <x:c r="F1030" s="19" t="s">
        <x:v>41</x:v>
      </x:c>
      <x:c r="G1030" s="20">
        <x:v>700.67</x:v>
      </x:c>
      <x:c r="H1030" s="21"/>
      <x:c r="I1030" s="26" t="s">
        <x:v>1131</x:v>
      </x:c>
      <x:c r="J1030" s="22">
        <x:v>0</x:v>
      </x:c>
      <x:c r="K1030" s="22">
        <x:v>0</x:v>
      </x:c>
      <x:c r="L1030" s="23">
        <x:v>24</x:v>
      </x:c>
    </x:row>
    <x:row r="1031">
      <x:c r="A1031" s="18" t="s">
        <x:v>2330</x:v>
      </x:c>
      <x:c r="B1031" s="19" t="s">
        <x:v>2331</x:v>
      </x:c>
      <x:c r="C1031" s="20">
        <x:v>59031010</x:v>
      </x:c>
      <x:c r="D1031" s="20">
        <x:v>15.5</x:v>
      </x:c>
      <x:c r="E1031" s="18" t="s">
        <x:v>227</x:v>
      </x:c>
      <x:c r="F1031" s="19" t="s">
        <x:v>41</x:v>
      </x:c>
      <x:c r="G1031" s="20">
        <x:v>700.67</x:v>
      </x:c>
      <x:c r="H1031" s="21"/>
      <x:c r="I1031" s="26" t="s">
        <x:v>1131</x:v>
      </x:c>
      <x:c r="J1031" s="22">
        <x:v>0</x:v>
      </x:c>
      <x:c r="K1031" s="22">
        <x:v>0</x:v>
      </x:c>
      <x:c r="L1031" s="23">
        <x:v>24</x:v>
      </x:c>
    </x:row>
    <x:row r="1032">
      <x:c r="A1032" s="18" t="s">
        <x:v>2332</x:v>
      </x:c>
      <x:c r="B1032" s="19" t="s">
        <x:v>111</x:v>
      </x:c>
      <x:c r="C1032" s="20">
        <x:v>3926309</x:v>
      </x:c>
      <x:c r="D1032" s="20">
        <x:v>540</x:v>
      </x:c>
      <x:c r="E1032" s="18" t="s">
        <x:v>227</x:v>
      </x:c>
      <x:c r="F1032" s="19" t="s">
        <x:v>11</x:v>
      </x:c>
      <x:c r="G1032" s="20">
        <x:v>0</x:v>
      </x:c>
      <x:c r="H1032" s="21"/>
      <x:c r="I1032" s="21" t="s">
        <x:v>252</x:v>
      </x:c>
      <x:c r="J1032" s="23">
        <x:v>225</x:v>
      </x:c>
      <x:c r="K1032" s="23">
        <x:v>12825</x:v>
      </x:c>
      <x:c r="L1032" s="23">
        <x:v>261</x:v>
      </x:c>
    </x:row>
    <x:row r="1033">
      <x:c r="A1033" s="18" t="s">
        <x:v>2333</x:v>
      </x:c>
      <x:c r="B1033" s="19" t="s">
        <x:v>2334</x:v>
      </x:c>
      <x:c r="C1033" s="20">
        <x:v>3926309</x:v>
      </x:c>
      <x:c r="D1033" s="20">
        <x:v>112.5</x:v>
      </x:c>
      <x:c r="E1033" s="18" t="s">
        <x:v>227</x:v>
      </x:c>
      <x:c r="F1033" s="19" t="s">
        <x:v>11</x:v>
      </x:c>
      <x:c r="G1033" s="20">
        <x:v>11.5</x:v>
      </x:c>
      <x:c r="H1033" s="21"/>
      <x:c r="I1033" s="26" t="s">
        <x:v>233</x:v>
      </x:c>
      <x:c r="J1033" s="23">
        <x:v>4289</x:v>
      </x:c>
      <x:c r="K1033" s="23">
        <x:v>47104.5</x:v>
      </x:c>
      <x:c r="L1033" s="23">
        <x:v>1071</x:v>
      </x:c>
    </x:row>
    <x:row r="1034">
      <x:c r="A1034" s="18" t="s">
        <x:v>2335</x:v>
      </x:c>
      <x:c r="B1034" s="19" t="s">
        <x:v>2336</x:v>
      </x:c>
      <x:c r="C1034" s="20">
        <x:v>3926309</x:v>
      </x:c>
      <x:c r="D1034" s="20">
        <x:v>3183.73</x:v>
      </x:c>
      <x:c r="E1034" s="18" t="s">
        <x:v>227</x:v>
      </x:c>
      <x:c r="F1034" s="19" t="s">
        <x:v>11</x:v>
      </x:c>
      <x:c r="G1034" s="20">
        <x:v>26.04</x:v>
      </x:c>
      <x:c r="H1034" s="21"/>
      <x:c r="I1034" s="26" t="s">
        <x:v>858</x:v>
      </x:c>
      <x:c r="J1034" s="22">
        <x:v>0</x:v>
      </x:c>
      <x:c r="K1034" s="22">
        <x:v>0</x:v>
      </x:c>
      <x:c r="L1034" s="23">
        <x:v>6</x:v>
      </x:c>
    </x:row>
    <x:row r="1035">
      <x:c r="A1035" s="18" t="s">
        <x:v>2337</x:v>
      </x:c>
      <x:c r="B1035" s="19" t="s">
        <x:v>2338</x:v>
      </x:c>
      <x:c r="C1035" s="20">
        <x:v>3926309</x:v>
      </x:c>
      <x:c r="D1035" s="20">
        <x:v>15.5</x:v>
      </x:c>
      <x:c r="E1035" s="18" t="s">
        <x:v>227</x:v>
      </x:c>
      <x:c r="F1035" s="19" t="s">
        <x:v>11</x:v>
      </x:c>
      <x:c r="G1035" s="20">
        <x:v>0</x:v>
      </x:c>
      <x:c r="H1035" s="21"/>
      <x:c r="I1035" s="21" t="s">
        <x:v>2339</x:v>
      </x:c>
      <x:c r="J1035" s="22">
        <x:v>0</x:v>
      </x:c>
      <x:c r="K1035" s="22">
        <x:v>0</x:v>
      </x:c>
      <x:c r="L1035" s="23">
        <x:v>0</x:v>
      </x:c>
    </x:row>
    <x:row r="1036">
      <x:c r="A1036" s="18" t="s">
        <x:v>2340</x:v>
      </x:c>
      <x:c r="B1036" s="19" t="s">
        <x:v>2341</x:v>
      </x:c>
      <x:c r="C1036" s="20">
        <x:v>3926309</x:v>
      </x:c>
      <x:c r="D1036" s="20">
        <x:v>236.75</x:v>
      </x:c>
      <x:c r="E1036" s="18" t="s">
        <x:v>227</x:v>
      </x:c>
      <x:c r="F1036" s="19" t="s">
        <x:v>11</x:v>
      </x:c>
      <x:c r="G1036" s="20">
        <x:v>25.3</x:v>
      </x:c>
      <x:c r="H1036" s="21"/>
      <x:c r="I1036" s="26" t="s">
        <x:v>2339</x:v>
      </x:c>
      <x:c r="J1036" s="23">
        <x:v>1864</x:v>
      </x:c>
      <x:c r="K1036" s="23">
        <x:v>58436.4</x:v>
      </x:c>
      <x:c r="L1036" s="23">
        <x:v>1032</x:v>
      </x:c>
    </x:row>
    <x:row r="1037">
      <x:c r="A1037" s="18" t="s">
        <x:v>2342</x:v>
      </x:c>
      <x:c r="B1037" s="19" t="s">
        <x:v>2343</x:v>
      </x:c>
      <x:c r="C1037" s="20">
        <x:v>3926309</x:v>
      </x:c>
      <x:c r="D1037" s="20">
        <x:v>877</x:v>
      </x:c>
      <x:c r="E1037" s="18" t="s">
        <x:v>227</x:v>
      </x:c>
      <x:c r="F1037" s="19" t="s">
        <x:v>11</x:v>
      </x:c>
      <x:c r="G1037" s="20">
        <x:v>0</x:v>
      </x:c>
      <x:c r="H1037" s="21"/>
      <x:c r="I1037" s="21" t="s">
        <x:v>2339</x:v>
      </x:c>
      <x:c r="J1037" s="23">
        <x:v>353</x:v>
      </x:c>
      <x:c r="K1037" s="23">
        <x:v>12072.6</x:v>
      </x:c>
      <x:c r="L1037" s="23">
        <x:v>299</x:v>
      </x:c>
    </x:row>
    <x:row r="1038">
      <x:c r="A1038" s="18" t="s">
        <x:v>2344</x:v>
      </x:c>
      <x:c r="B1038" s="19" t="s">
        <x:v>2345</x:v>
      </x:c>
      <x:c r="C1038" s="20">
        <x:v>3926309</x:v>
      </x:c>
      <x:c r="D1038" s="20">
        <x:v>61</x:v>
      </x:c>
      <x:c r="E1038" s="18" t="s">
        <x:v>227</x:v>
      </x:c>
      <x:c r="F1038" s="19" t="s">
        <x:v>11</x:v>
      </x:c>
      <x:c r="G1038" s="20">
        <x:v>0</x:v>
      </x:c>
      <x:c r="H1038" s="21"/>
      <x:c r="I1038" s="21" t="s">
        <x:v>2339</x:v>
      </x:c>
      <x:c r="J1038" s="22">
        <x:v>0</x:v>
      </x:c>
      <x:c r="K1038" s="22">
        <x:v>0</x:v>
      </x:c>
      <x:c r="L1038" s="23">
        <x:v>0</x:v>
      </x:c>
    </x:row>
    <x:row r="1039">
      <x:c r="A1039" s="18" t="s">
        <x:v>2346</x:v>
      </x:c>
      <x:c r="B1039" s="19" t="s">
        <x:v>2347</x:v>
      </x:c>
      <x:c r="C1039" s="20">
        <x:v>3926309</x:v>
      </x:c>
      <x:c r="D1039" s="20">
        <x:v>608.33000000000004</x:v>
      </x:c>
      <x:c r="E1039" s="18" t="s">
        <x:v>227</x:v>
      </x:c>
      <x:c r="F1039" s="19" t="s">
        <x:v>11</x:v>
      </x:c>
      <x:c r="G1039" s="20">
        <x:v>100</x:v>
      </x:c>
      <x:c r="H1039" s="21"/>
      <x:c r="I1039" s="26" t="s">
        <x:v>826</x:v>
      </x:c>
      <x:c r="J1039" s="23">
        <x:v>304</x:v>
      </x:c>
      <x:c r="K1039" s="23">
        <x:v>27838.880000000001</x:v>
      </x:c>
      <x:c r="L1039" s="23">
        <x:v>59</x:v>
      </x:c>
    </x:row>
    <x:row r="1040">
      <x:c r="A1040" s="18" t="s">
        <x:v>2348</x:v>
      </x:c>
      <x:c r="B1040" s="19" t="s">
        <x:v>2349</x:v>
      </x:c>
      <x:c r="C1040" s="20">
        <x:v>94034000</x:v>
      </x:c>
      <x:c r="D1040" s="20">
        <x:v>720</x:v>
      </x:c>
      <x:c r="E1040" s="18" t="s">
        <x:v>227</x:v>
      </x:c>
      <x:c r="F1040" s="19" t="s">
        <x:v>82</x:v>
      </x:c>
      <x:c r="G1040" s="20">
        <x:v>0</x:v>
      </x:c>
      <x:c r="H1040" s="21"/>
      <x:c r="I1040" s="21" t="s">
        <x:v>2217</x:v>
      </x:c>
      <x:c r="J1040" s="23">
        <x:v>2</x:v>
      </x:c>
      <x:c r="K1040" s="23">
        <x:v>45314.85</x:v>
      </x:c>
      <x:c r="L1040" s="23">
        <x:v>2</x:v>
      </x:c>
    </x:row>
    <x:row r="1041">
      <x:c r="A1041" s="18" t="s">
        <x:v>2350</x:v>
      </x:c>
      <x:c r="B1041" s="19" t="s">
        <x:v>2351</x:v>
      </x:c>
      <x:c r="C1041" s="20">
        <x:v>94034000</x:v>
      </x:c>
      <x:c r="D1041" s="20">
        <x:v>704</x:v>
      </x:c>
      <x:c r="E1041" s="18" t="s">
        <x:v>227</x:v>
      </x:c>
      <x:c r="F1041" s="19" t="s">
        <x:v>82</x:v>
      </x:c>
      <x:c r="G1041" s="20">
        <x:v>0</x:v>
      </x:c>
      <x:c r="H1041" s="21"/>
      <x:c r="I1041" s="21" t="s">
        <x:v>2217</x:v>
      </x:c>
      <x:c r="J1041" s="23">
        <x:v>1</x:v>
      </x:c>
      <x:c r="K1041" s="23">
        <x:v>3729.24</x:v>
      </x:c>
      <x:c r="L1041" s="23">
        <x:v>1</x:v>
      </x:c>
    </x:row>
    <x:row r="1042">
      <x:c r="A1042" s="18" t="s">
        <x:v>2352</x:v>
      </x:c>
      <x:c r="B1042" s="19" t="s">
        <x:v>2353</x:v>
      </x:c>
      <x:c r="C1042" s="20">
        <x:v>94034000</x:v>
      </x:c>
      <x:c r="D1042" s="20">
        <x:v>110</x:v>
      </x:c>
      <x:c r="E1042" s="18" t="s">
        <x:v>227</x:v>
      </x:c>
      <x:c r="F1042" s="19" t="s">
        <x:v>82</x:v>
      </x:c>
      <x:c r="G1042" s="20">
        <x:v>0</x:v>
      </x:c>
      <x:c r="H1042" s="21"/>
      <x:c r="I1042" s="21" t="s">
        <x:v>2214</x:v>
      </x:c>
      <x:c r="J1042" s="23">
        <x:v>27</x:v>
      </x:c>
      <x:c r="K1042" s="23">
        <x:v>360561.31</x:v>
      </x:c>
      <x:c r="L1042" s="23">
        <x:v>62</x:v>
      </x:c>
    </x:row>
    <x:row r="1043">
      <x:c r="A1043" s="18" t="s">
        <x:v>2354</x:v>
      </x:c>
      <x:c r="B1043" s="19" t="s">
        <x:v>2355</x:v>
      </x:c>
      <x:c r="C1043" s="20">
        <x:v>94034000</x:v>
      </x:c>
      <x:c r="D1043" s="20">
        <x:v>32</x:v>
      </x:c>
      <x:c r="E1043" s="18" t="s">
        <x:v>227</x:v>
      </x:c>
      <x:c r="F1043" s="19" t="s">
        <x:v>82</x:v>
      </x:c>
      <x:c r="G1043" s="20">
        <x:v>0</x:v>
      </x:c>
      <x:c r="H1043" s="21"/>
      <x:c r="I1043" s="21" t="s">
        <x:v>2214</x:v>
      </x:c>
      <x:c r="J1043" s="23">
        <x:v>18</x:v>
      </x:c>
      <x:c r="K1043" s="23">
        <x:v>240374.21</x:v>
      </x:c>
      <x:c r="L1043" s="23">
        <x:v>53</x:v>
      </x:c>
    </x:row>
    <x:row r="1044">
      <x:c r="A1044" s="18" t="s">
        <x:v>2356</x:v>
      </x:c>
      <x:c r="B1044" s="19" t="s">
        <x:v>2357</x:v>
      </x:c>
      <x:c r="C1044" s="20">
        <x:v>94034000</x:v>
      </x:c>
      <x:c r="D1044" s="20">
        <x:v>9.75</x:v>
      </x:c>
      <x:c r="E1044" s="18" t="s">
        <x:v>227</x:v>
      </x:c>
      <x:c r="F1044" s="19" t="s">
        <x:v>82</x:v>
      </x:c>
      <x:c r="G1044" s="20">
        <x:v>4500</x:v>
      </x:c>
      <x:c r="H1044" s="21"/>
      <x:c r="I1044" s="26" t="s">
        <x:v>233</x:v>
      </x:c>
      <x:c r="J1044" s="22">
        <x:v>0</x:v>
      </x:c>
      <x:c r="K1044" s="22">
        <x:v>0</x:v>
      </x:c>
      <x:c r="L1044" s="23">
        <x:v>0</x:v>
      </x:c>
    </x:row>
    <x:row r="1045">
      <x:c r="A1045" s="18" t="s">
        <x:v>2358</x:v>
      </x:c>
      <x:c r="B1045" s="19" t="s">
        <x:v>2359</x:v>
      </x:c>
      <x:c r="C1045" s="20">
        <x:v>94034000</x:v>
      </x:c>
      <x:c r="D1045" s="20">
        <x:v>650</x:v>
      </x:c>
      <x:c r="E1045" s="18" t="s">
        <x:v>227</x:v>
      </x:c>
      <x:c r="F1045" s="19" t="s">
        <x:v>82</x:v>
      </x:c>
      <x:c r="G1045" s="20">
        <x:v>0</x:v>
      </x:c>
      <x:c r="H1045" s="21"/>
      <x:c r="I1045" s="21" t="s">
        <x:v>233</x:v>
      </x:c>
      <x:c r="J1045" s="22">
        <x:v>0</x:v>
      </x:c>
      <x:c r="K1045" s="22">
        <x:v>0</x:v>
      </x:c>
      <x:c r="L1045" s="23">
        <x:v>0</x:v>
      </x:c>
    </x:row>
    <x:row r="1046">
      <x:c r="A1046" s="18" t="s">
        <x:v>2360</x:v>
      </x:c>
      <x:c r="B1046" s="19" t="s">
        <x:v>2361</x:v>
      </x:c>
      <x:c r="C1046" s="20">
        <x:v>94034000</x:v>
      </x:c>
      <x:c r="D1046" s="20">
        <x:v>403.61</x:v>
      </x:c>
      <x:c r="E1046" s="18" t="s">
        <x:v>227</x:v>
      </x:c>
      <x:c r="F1046" s="19" t="s">
        <x:v>82</x:v>
      </x:c>
      <x:c r="G1046" s="20">
        <x:v>0</x:v>
      </x:c>
      <x:c r="H1046" s="21"/>
      <x:c r="I1046" s="21" t="s">
        <x:v>2217</x:v>
      </x:c>
      <x:c r="J1046" s="23">
        <x:v>2</x:v>
      </x:c>
      <x:c r="K1046" s="23">
        <x:v>5416.33</x:v>
      </x:c>
      <x:c r="L1046" s="23">
        <x:v>2</x:v>
      </x:c>
    </x:row>
    <x:row r="1047">
      <x:c r="A1047" s="18" t="s">
        <x:v>2362</x:v>
      </x:c>
      <x:c r="B1047" s="19" t="s">
        <x:v>2363</x:v>
      </x:c>
      <x:c r="C1047" s="20">
        <x:v>94034000</x:v>
      </x:c>
      <x:c r="D1047" s="20">
        <x:v>600</x:v>
      </x:c>
      <x:c r="E1047" s="18" t="s">
        <x:v>227</x:v>
      </x:c>
      <x:c r="F1047" s="19" t="s">
        <x:v>11</x:v>
      </x:c>
      <x:c r="G1047" s="20">
        <x:v>0</x:v>
      </x:c>
      <x:c r="H1047" s="21"/>
      <x:c r="I1047" s="21" t="s">
        <x:v>252</x:v>
      </x:c>
      <x:c r="J1047" s="22">
        <x:v>0</x:v>
      </x:c>
      <x:c r="K1047" s="22">
        <x:v>0</x:v>
      </x:c>
      <x:c r="L1047" s="23">
        <x:v>0</x:v>
      </x:c>
    </x:row>
    <x:row r="1048">
      <x:c r="A1048" s="18" t="s">
        <x:v>2364</x:v>
      </x:c>
      <x:c r="B1048" s="19" t="s">
        <x:v>2365</x:v>
      </x:c>
      <x:c r="C1048" s="20">
        <x:v>83024290</x:v>
      </x:c>
      <x:c r="D1048" s="20">
        <x:v>18</x:v>
      </x:c>
      <x:c r="E1048" s="18" t="s">
        <x:v>227</x:v>
      </x:c>
      <x:c r="F1048" s="19" t="s">
        <x:v>82</x:v>
      </x:c>
      <x:c r="G1048" s="20">
        <x:v>4770</x:v>
      </x:c>
      <x:c r="H1048" s="21"/>
      <x:c r="I1048" s="26" t="s">
        <x:v>2366</x:v>
      </x:c>
      <x:c r="J1048" s="23">
        <x:v>1</x:v>
      </x:c>
      <x:c r="K1048" s="23">
        <x:v>2131.71</x:v>
      </x:c>
      <x:c r="L1048" s="23">
        <x:v>3</x:v>
      </x:c>
    </x:row>
    <x:row r="1049">
      <x:c r="A1049" s="18" t="s">
        <x:v>2367</x:v>
      </x:c>
      <x:c r="B1049" s="19" t="s">
        <x:v>2368</x:v>
      </x:c>
      <x:c r="C1049" s="20">
        <x:v>83024290</x:v>
      </x:c>
      <x:c r="D1049" s="20">
        <x:v>4410</x:v>
      </x:c>
      <x:c r="E1049" s="18" t="s">
        <x:v>227</x:v>
      </x:c>
      <x:c r="F1049" s="19" t="s">
        <x:v>11</x:v>
      </x:c>
      <x:c r="G1049" s="20">
        <x:v>516.5</x:v>
      </x:c>
      <x:c r="H1049" s="21"/>
      <x:c r="I1049" s="26" t="s">
        <x:v>1036</x:v>
      </x:c>
      <x:c r="J1049" s="22">
        <x:v>0</x:v>
      </x:c>
      <x:c r="K1049" s="22">
        <x:v>0</x:v>
      </x:c>
      <x:c r="L1049" s="23">
        <x:v>0</x:v>
      </x:c>
    </x:row>
    <x:row r="1050">
      <x:c r="A1050" s="18" t="s">
        <x:v>2369</x:v>
      </x:c>
      <x:c r="B1050" s="19" t="s">
        <x:v>2370</x:v>
      </x:c>
      <x:c r="C1050" s="20">
        <x:v>83024290</x:v>
      </x:c>
      <x:c r="D1050" s="20">
        <x:v>1468</x:v>
      </x:c>
      <x:c r="E1050" s="18" t="s">
        <x:v>227</x:v>
      </x:c>
      <x:c r="F1050" s="19" t="s">
        <x:v>82</x:v>
      </x:c>
      <x:c r="G1050" s="20">
        <x:v>0</x:v>
      </x:c>
      <x:c r="H1050" s="21"/>
      <x:c r="I1050" s="21" t="s">
        <x:v>1036</x:v>
      </x:c>
      <x:c r="J1050" s="23">
        <x:v>2</x:v>
      </x:c>
      <x:c r="K1050" s="23">
        <x:v>1549.63</x:v>
      </x:c>
      <x:c r="L1050" s="23">
        <x:v>2</x:v>
      </x:c>
    </x:row>
    <x:row r="1051">
      <x:c r="A1051" s="18" t="s">
        <x:v>2371</x:v>
      </x:c>
      <x:c r="B1051" s="19" t="s">
        <x:v>2372</x:v>
      </x:c>
      <x:c r="C1051" s="20">
        <x:v>83024290</x:v>
      </x:c>
      <x:c r="D1051" s="20">
        <x:v>1468</x:v>
      </x:c>
      <x:c r="E1051" s="18"/>
      <x:c r="F1051" s="19" t="s">
        <x:v>82</x:v>
      </x:c>
      <x:c r="G1051" s="20">
        <x:v>0</x:v>
      </x:c>
      <x:c r="H1051" s="21"/>
      <x:c r="I1051" s="21"/>
      <x:c r="J1051" s="22">
        <x:v>0</x:v>
      </x:c>
      <x:c r="K1051" s="22">
        <x:v>0</x:v>
      </x:c>
      <x:c r="L1051" s="23">
        <x:v>0</x:v>
      </x:c>
    </x:row>
    <x:row r="1052">
      <x:c r="A1052" s="18" t="s">
        <x:v>2373</x:v>
      </x:c>
      <x:c r="B1052" s="19" t="s">
        <x:v>2374</x:v>
      </x:c>
      <x:c r="C1052" s="20">
        <x:v>83024290</x:v>
      </x:c>
      <x:c r="D1052" s="20">
        <x:v>290</x:v>
      </x:c>
      <x:c r="E1052" s="18" t="s">
        <x:v>227</x:v>
      </x:c>
      <x:c r="F1052" s="19" t="s">
        <x:v>82</x:v>
      </x:c>
      <x:c r="G1052" s="20">
        <x:v>0</x:v>
      </x:c>
      <x:c r="H1052" s="21"/>
      <x:c r="I1052" s="21" t="s">
        <x:v>1036</x:v>
      </x:c>
      <x:c r="J1052" s="23">
        <x:v>2</x:v>
      </x:c>
      <x:c r="K1052" s="23">
        <x:v>14314.08</x:v>
      </x:c>
      <x:c r="L1052" s="23">
        <x:v>0</x:v>
      </x:c>
    </x:row>
    <x:row r="1053">
      <x:c r="A1053" s="18" t="s">
        <x:v>2375</x:v>
      </x:c>
      <x:c r="B1053" s="19" t="s">
        <x:v>2376</x:v>
      </x:c>
      <x:c r="C1053" s="20">
        <x:v>83024290</x:v>
      </x:c>
      <x:c r="D1053" s="20">
        <x:v>720</x:v>
      </x:c>
      <x:c r="E1053" s="18" t="s">
        <x:v>227</x:v>
      </x:c>
      <x:c r="F1053" s="19" t="s">
        <x:v>82</x:v>
      </x:c>
      <x:c r="G1053" s="20">
        <x:v>0</x:v>
      </x:c>
      <x:c r="H1053" s="21"/>
      <x:c r="I1053" s="21" t="s">
        <x:v>1036</x:v>
      </x:c>
      <x:c r="J1053" s="23">
        <x:v>1</x:v>
      </x:c>
      <x:c r="K1053" s="23">
        <x:v>3252.34</x:v>
      </x:c>
      <x:c r="L1053" s="23">
        <x:v>1</x:v>
      </x:c>
    </x:row>
    <x:row r="1054">
      <x:c r="A1054" s="18" t="s">
        <x:v>2377</x:v>
      </x:c>
      <x:c r="B1054" s="19" t="s">
        <x:v>2378</x:v>
      </x:c>
      <x:c r="C1054" s="20">
        <x:v>83024290</x:v>
      </x:c>
      <x:c r="D1054" s="20">
        <x:v>720</x:v>
      </x:c>
      <x:c r="E1054" s="18" t="s">
        <x:v>227</x:v>
      </x:c>
      <x:c r="F1054" s="19" t="s">
        <x:v>82</x:v>
      </x:c>
      <x:c r="G1054" s="20">
        <x:v>0</x:v>
      </x:c>
      <x:c r="H1054" s="21"/>
      <x:c r="I1054" s="21" t="s">
        <x:v>1036</x:v>
      </x:c>
      <x:c r="J1054" s="22">
        <x:v>0</x:v>
      </x:c>
      <x:c r="K1054" s="22">
        <x:v>0</x:v>
      </x:c>
      <x:c r="L1054" s="23">
        <x:v>0</x:v>
      </x:c>
    </x:row>
    <x:row r="1055">
      <x:c r="A1055" s="18" t="s">
        <x:v>2379</x:v>
      </x:c>
      <x:c r="B1055" s="19" t="s">
        <x:v>2380</x:v>
      </x:c>
      <x:c r="C1055" s="20">
        <x:v>83024290</x:v>
      </x:c>
      <x:c r="D1055" s="20">
        <x:v>0.83</x:v>
      </x:c>
      <x:c r="E1055" s="18" t="s">
        <x:v>227</x:v>
      </x:c>
      <x:c r="F1055" s="19" t="s">
        <x:v>82</x:v>
      </x:c>
      <x:c r="G1055" s="20">
        <x:v>0</x:v>
      </x:c>
      <x:c r="H1055" s="21"/>
      <x:c r="I1055" s="21" t="s">
        <x:v>1036</x:v>
      </x:c>
      <x:c r="J1055" s="23">
        <x:v>1</x:v>
      </x:c>
      <x:c r="K1055" s="23">
        <x:v>8984.7999999999993</x:v>
      </x:c>
      <x:c r="L1055" s="23">
        <x:v>1</x:v>
      </x:c>
    </x:row>
    <x:row r="1056">
      <x:c r="A1056" s="18" t="s">
        <x:v>2381</x:v>
      </x:c>
      <x:c r="B1056" s="19" t="s">
        <x:v>2382</x:v>
      </x:c>
      <x:c r="C1056" s="20">
        <x:v>83024290</x:v>
      </x:c>
      <x:c r="D1056" s="20">
        <x:v>450</x:v>
      </x:c>
      <x:c r="E1056" s="18" t="s">
        <x:v>227</x:v>
      </x:c>
      <x:c r="F1056" s="19" t="s">
        <x:v>82</x:v>
      </x:c>
      <x:c r="G1056" s="20">
        <x:v>0</x:v>
      </x:c>
      <x:c r="H1056" s="21"/>
      <x:c r="I1056" s="21" t="s">
        <x:v>1036</x:v>
      </x:c>
      <x:c r="J1056" s="22">
        <x:v>0</x:v>
      </x:c>
      <x:c r="K1056" s="22">
        <x:v>0</x:v>
      </x:c>
      <x:c r="L1056" s="23">
        <x:v>0</x:v>
      </x:c>
    </x:row>
    <x:row r="1057">
      <x:c r="A1057" s="18" t="s">
        <x:v>2383</x:v>
      </x:c>
      <x:c r="B1057" s="19" t="s">
        <x:v>2384</x:v>
      </x:c>
      <x:c r="C1057" s="20">
        <x:v>83024290</x:v>
      </x:c>
      <x:c r="D1057" s="20">
        <x:v>500.49</x:v>
      </x:c>
      <x:c r="E1057" s="18" t="s">
        <x:v>227</x:v>
      </x:c>
      <x:c r="F1057" s="19" t="s">
        <x:v>82</x:v>
      </x:c>
      <x:c r="G1057" s="20">
        <x:v>0</x:v>
      </x:c>
      <x:c r="H1057" s="21"/>
      <x:c r="I1057" s="21" t="s">
        <x:v>1036</x:v>
      </x:c>
      <x:c r="J1057" s="23">
        <x:v>1</x:v>
      </x:c>
      <x:c r="K1057" s="23">
        <x:v>7704.09</x:v>
      </x:c>
      <x:c r="L1057" s="23">
        <x:v>1</x:v>
      </x:c>
    </x:row>
    <x:row r="1058">
      <x:c r="A1058" s="18" t="s">
        <x:v>2385</x:v>
      </x:c>
      <x:c r="B1058" s="19" t="s">
        <x:v>2386</x:v>
      </x:c>
      <x:c r="C1058" s="20">
        <x:v>83024290</x:v>
      </x:c>
      <x:c r="D1058" s="20">
        <x:v>2848</x:v>
      </x:c>
      <x:c r="E1058" s="18" t="s">
        <x:v>227</x:v>
      </x:c>
      <x:c r="F1058" s="19" t="s">
        <x:v>82</x:v>
      </x:c>
      <x:c r="G1058" s="20">
        <x:v>0</x:v>
      </x:c>
      <x:c r="H1058" s="21"/>
      <x:c r="I1058" s="21" t="s">
        <x:v>1036</x:v>
      </x:c>
      <x:c r="J1058" s="22">
        <x:v>0</x:v>
      </x:c>
      <x:c r="K1058" s="22">
        <x:v>0</x:v>
      </x:c>
      <x:c r="L1058" s="23">
        <x:v>0</x:v>
      </x:c>
    </x:row>
    <x:row r="1059">
      <x:c r="A1059" s="18" t="s">
        <x:v>2387</x:v>
      </x:c>
      <x:c r="B1059" s="19" t="s">
        <x:v>2388</x:v>
      </x:c>
      <x:c r="C1059" s="20">
        <x:v>83024290</x:v>
      </x:c>
      <x:c r="D1059" s="20">
        <x:v>650</x:v>
      </x:c>
      <x:c r="E1059" s="18" t="s">
        <x:v>227</x:v>
      </x:c>
      <x:c r="F1059" s="19" t="s">
        <x:v>82</x:v>
      </x:c>
      <x:c r="G1059" s="20">
        <x:v>0</x:v>
      </x:c>
      <x:c r="H1059" s="21"/>
      <x:c r="I1059" s="21" t="s">
        <x:v>1036</x:v>
      </x:c>
      <x:c r="J1059" s="22">
        <x:v>0</x:v>
      </x:c>
      <x:c r="K1059" s="22">
        <x:v>0</x:v>
      </x:c>
      <x:c r="L1059" s="23">
        <x:v>0</x:v>
      </x:c>
    </x:row>
    <x:row r="1060">
      <x:c r="A1060" s="18" t="s">
        <x:v>2389</x:v>
      </x:c>
      <x:c r="B1060" s="19" t="s">
        <x:v>2390</x:v>
      </x:c>
      <x:c r="C1060" s="20">
        <x:v>83024290</x:v>
      </x:c>
      <x:c r="D1060" s="20">
        <x:v>1290</x:v>
      </x:c>
      <x:c r="E1060" s="18" t="s">
        <x:v>227</x:v>
      </x:c>
      <x:c r="F1060" s="19" t="s">
        <x:v>82</x:v>
      </x:c>
      <x:c r="G1060" s="20">
        <x:v>0</x:v>
      </x:c>
      <x:c r="H1060" s="21"/>
      <x:c r="I1060" s="21" t="s">
        <x:v>1036</x:v>
      </x:c>
      <x:c r="J1060" s="22">
        <x:v>0</x:v>
      </x:c>
      <x:c r="K1060" s="22">
        <x:v>0</x:v>
      </x:c>
      <x:c r="L1060" s="23">
        <x:v>0</x:v>
      </x:c>
    </x:row>
    <x:row r="1061">
      <x:c r="A1061" s="18" t="s">
        <x:v>2391</x:v>
      </x:c>
      <x:c r="B1061" s="19" t="s">
        <x:v>2392</x:v>
      </x:c>
      <x:c r="C1061" s="20">
        <x:v>83024290</x:v>
      </x:c>
      <x:c r="D1061" s="20">
        <x:v>25</x:v>
      </x:c>
      <x:c r="E1061" s="18" t="s">
        <x:v>227</x:v>
      </x:c>
      <x:c r="F1061" s="19" t="s">
        <x:v>82</x:v>
      </x:c>
      <x:c r="G1061" s="20">
        <x:v>0</x:v>
      </x:c>
      <x:c r="H1061" s="21"/>
      <x:c r="I1061" s="21" t="s">
        <x:v>1036</x:v>
      </x:c>
      <x:c r="J1061" s="22">
        <x:v>0</x:v>
      </x:c>
      <x:c r="K1061" s="22">
        <x:v>0</x:v>
      </x:c>
      <x:c r="L1061" s="23">
        <x:v>0</x:v>
      </x:c>
    </x:row>
    <x:row r="1062">
      <x:c r="A1062" s="18" t="s">
        <x:v>2393</x:v>
      </x:c>
      <x:c r="B1062" s="19" t="s">
        <x:v>2394</x:v>
      </x:c>
      <x:c r="C1062" s="20">
        <x:v>83024290</x:v>
      </x:c>
      <x:c r="D1062" s="20">
        <x:v>25</x:v>
      </x:c>
      <x:c r="E1062" s="18" t="s">
        <x:v>227</x:v>
      </x:c>
      <x:c r="F1062" s="19" t="s">
        <x:v>82</x:v>
      </x:c>
      <x:c r="G1062" s="20">
        <x:v>0</x:v>
      </x:c>
      <x:c r="H1062" s="21"/>
      <x:c r="I1062" s="21" t="s">
        <x:v>1036</x:v>
      </x:c>
      <x:c r="J1062" s="22">
        <x:v>0</x:v>
      </x:c>
      <x:c r="K1062" s="22">
        <x:v>0</x:v>
      </x:c>
      <x:c r="L1062" s="23">
        <x:v>0</x:v>
      </x:c>
    </x:row>
    <x:row r="1063">
      <x:c r="A1063" s="18" t="s">
        <x:v>2395</x:v>
      </x:c>
      <x:c r="B1063" s="19" t="s">
        <x:v>2396</x:v>
      </x:c>
      <x:c r="C1063" s="20">
        <x:v>83024290</x:v>
      </x:c>
      <x:c r="D1063" s="20">
        <x:v>593.34</x:v>
      </x:c>
      <x:c r="E1063" s="18" t="s">
        <x:v>227</x:v>
      </x:c>
      <x:c r="F1063" s="19" t="s">
        <x:v>82</x:v>
      </x:c>
      <x:c r="G1063" s="20">
        <x:v>0</x:v>
      </x:c>
      <x:c r="H1063" s="21"/>
      <x:c r="I1063" s="21" t="s">
        <x:v>1036</x:v>
      </x:c>
      <x:c r="J1063" s="23">
        <x:v>6</x:v>
      </x:c>
      <x:c r="K1063" s="23">
        <x:v>35580.519999999997</x:v>
      </x:c>
      <x:c r="L1063" s="23">
        <x:v>5</x:v>
      </x:c>
    </x:row>
    <x:row r="1064">
      <x:c r="A1064" s="18" t="s">
        <x:v>2397</x:v>
      </x:c>
      <x:c r="B1064" s="19" t="s">
        <x:v>2398</x:v>
      </x:c>
      <x:c r="C1064" s="20">
        <x:v>83024290</x:v>
      </x:c>
      <x:c r="D1064" s="20">
        <x:v>9.75</x:v>
      </x:c>
      <x:c r="E1064" s="18" t="s">
        <x:v>227</x:v>
      </x:c>
      <x:c r="F1064" s="19" t="s">
        <x:v>82</x:v>
      </x:c>
      <x:c r="G1064" s="20">
        <x:v>0</x:v>
      </x:c>
      <x:c r="H1064" s="21"/>
      <x:c r="I1064" s="21" t="s">
        <x:v>1036</x:v>
      </x:c>
      <x:c r="J1064" s="23">
        <x:v>1</x:v>
      </x:c>
      <x:c r="K1064" s="23">
        <x:v>5613.73</x:v>
      </x:c>
      <x:c r="L1064" s="23">
        <x:v>1</x:v>
      </x:c>
    </x:row>
    <x:row r="1065">
      <x:c r="A1065" s="18" t="s">
        <x:v>2399</x:v>
      </x:c>
      <x:c r="B1065" s="19" t="s">
        <x:v>2400</x:v>
      </x:c>
      <x:c r="C1065" s="20">
        <x:v>83024290</x:v>
      </x:c>
      <x:c r="D1065" s="20">
        <x:v>866</x:v>
      </x:c>
      <x:c r="E1065" s="18" t="s">
        <x:v>227</x:v>
      </x:c>
      <x:c r="F1065" s="19" t="s">
        <x:v>82</x:v>
      </x:c>
      <x:c r="G1065" s="20">
        <x:v>0</x:v>
      </x:c>
      <x:c r="H1065" s="21"/>
      <x:c r="I1065" s="21" t="s">
        <x:v>1036</x:v>
      </x:c>
      <x:c r="J1065" s="23">
        <x:v>1</x:v>
      </x:c>
      <x:c r="K1065" s="23">
        <x:v>438.23</x:v>
      </x:c>
      <x:c r="L1065" s="23">
        <x:v>1</x:v>
      </x:c>
    </x:row>
    <x:row r="1066">
      <x:c r="A1066" s="18" t="s">
        <x:v>2401</x:v>
      </x:c>
      <x:c r="B1066" s="19" t="s">
        <x:v>2402</x:v>
      </x:c>
      <x:c r="C1066" s="20">
        <x:v>85365090</x:v>
      </x:c>
      <x:c r="D1066" s="20">
        <x:v>15.5</x:v>
      </x:c>
      <x:c r="E1066" s="18" t="s">
        <x:v>227</x:v>
      </x:c>
      <x:c r="F1066" s="19" t="s">
        <x:v>11</x:v>
      </x:c>
      <x:c r="G1066" s="20">
        <x:v>65</x:v>
      </x:c>
      <x:c r="H1066" s="21"/>
      <x:c r="I1066" s="26" t="s">
        <x:v>272</x:v>
      </x:c>
      <x:c r="J1066" s="23">
        <x:v>16</x:v>
      </x:c>
      <x:c r="K1066" s="23">
        <x:v>1040</x:v>
      </x:c>
      <x:c r="L1066" s="23">
        <x:v>24</x:v>
      </x:c>
    </x:row>
    <x:row r="1067">
      <x:c r="A1067" s="18" t="s">
        <x:v>2403</x:v>
      </x:c>
      <x:c r="B1067" s="19" t="s">
        <x:v>2404</x:v>
      </x:c>
      <x:c r="C1067" s="20">
        <x:v>85365090</x:v>
      </x:c>
      <x:c r="D1067" s="20">
        <x:v>25</x:v>
      </x:c>
      <x:c r="E1067" s="18"/>
      <x:c r="F1067" s="19" t="s">
        <x:v>11</x:v>
      </x:c>
      <x:c r="G1067" s="20">
        <x:v>0</x:v>
      </x:c>
      <x:c r="H1067" s="21"/>
      <x:c r="I1067" s="21"/>
      <x:c r="J1067" s="23">
        <x:v>107</x:v>
      </x:c>
      <x:c r="K1067" s="23">
        <x:v>9095</x:v>
      </x:c>
      <x:c r="L1067" s="23">
        <x:v>106</x:v>
      </x:c>
    </x:row>
    <x:row r="1068">
      <x:c r="A1068" s="18" t="s">
        <x:v>2405</x:v>
      </x:c>
      <x:c r="B1068" s="19" t="s">
        <x:v>2406</x:v>
      </x:c>
      <x:c r="C1068" s="20">
        <x:v>85044083</x:v>
      </x:c>
      <x:c r="D1068" s="20">
        <x:v>4.4000000000000004</x:v>
      </x:c>
      <x:c r="E1068" s="18" t="s">
        <x:v>227</x:v>
      </x:c>
      <x:c r="F1068" s="19" t="s">
        <x:v>11</x:v>
      </x:c>
      <x:c r="G1068" s="20">
        <x:v>600</x:v>
      </x:c>
      <x:c r="H1068" s="21"/>
      <x:c r="I1068" s="26" t="s">
        <x:v>2407</x:v>
      </x:c>
      <x:c r="J1068" s="22">
        <x:v>0</x:v>
      </x:c>
      <x:c r="K1068" s="22">
        <x:v>0</x:v>
      </x:c>
      <x:c r="L1068" s="23">
        <x:v>0</x:v>
      </x:c>
    </x:row>
    <x:row r="1069">
      <x:c r="A1069" s="18" t="s">
        <x:v>2408</x:v>
      </x:c>
      <x:c r="B1069" s="19" t="s">
        <x:v>2409</x:v>
      </x:c>
      <x:c r="C1069" s="20">
        <x:v>85044083</x:v>
      </x:c>
      <x:c r="D1069" s="20">
        <x:v>1468</x:v>
      </x:c>
      <x:c r="E1069" s="18" t="s">
        <x:v>227</x:v>
      </x:c>
      <x:c r="F1069" s="19" t="s">
        <x:v>11</x:v>
      </x:c>
      <x:c r="G1069" s="20">
        <x:v>800</x:v>
      </x:c>
      <x:c r="H1069" s="21"/>
      <x:c r="I1069" s="26" t="s">
        <x:v>2410</x:v>
      </x:c>
      <x:c r="J1069" s="23">
        <x:v>55</x:v>
      </x:c>
      <x:c r="K1069" s="23">
        <x:v>44000</x:v>
      </x:c>
      <x:c r="L1069" s="23">
        <x:v>219</x:v>
      </x:c>
    </x:row>
    <x:row r="1070">
      <x:c r="A1070" s="18" t="s">
        <x:v>2411</x:v>
      </x:c>
      <x:c r="B1070" s="19" t="s">
        <x:v>190</x:v>
      </x:c>
      <x:c r="C1070" s="20">
        <x:v>85044083</x:v>
      </x:c>
      <x:c r="D1070" s="20">
        <x:v>650</x:v>
      </x:c>
      <x:c r="E1070" s="18" t="s">
        <x:v>227</x:v>
      </x:c>
      <x:c r="F1070" s="19" t="s">
        <x:v>11</x:v>
      </x:c>
      <x:c r="G1070" s="20">
        <x:v>150</x:v>
      </x:c>
      <x:c r="H1070" s="21"/>
      <x:c r="I1070" s="26" t="s">
        <x:v>2410</x:v>
      </x:c>
      <x:c r="J1070" s="23">
        <x:v>86</x:v>
      </x:c>
      <x:c r="K1070" s="23">
        <x:v>12900</x:v>
      </x:c>
      <x:c r="L1070" s="23">
        <x:v>-15</x:v>
      </x:c>
    </x:row>
    <x:row r="1071">
      <x:c r="A1071" s="18" t="s">
        <x:v>2412</x:v>
      </x:c>
      <x:c r="B1071" s="19" t="s">
        <x:v>189</x:v>
      </x:c>
      <x:c r="C1071" s="20">
        <x:v>85044083</x:v>
      </x:c>
      <x:c r="D1071" s="20">
        <x:v>96</x:v>
      </x:c>
      <x:c r="E1071" s="18" t="s">
        <x:v>227</x:v>
      </x:c>
      <x:c r="F1071" s="19" t="s">
        <x:v>11</x:v>
      </x:c>
      <x:c r="G1071" s="20">
        <x:v>375</x:v>
      </x:c>
      <x:c r="H1071" s="21"/>
      <x:c r="I1071" s="26" t="s">
        <x:v>2410</x:v>
      </x:c>
      <x:c r="J1071" s="23">
        <x:v>244</x:v>
      </x:c>
      <x:c r="K1071" s="23">
        <x:v>91500</x:v>
      </x:c>
      <x:c r="L1071" s="23">
        <x:v>14</x:v>
      </x:c>
    </x:row>
    <x:row r="1072">
      <x:c r="A1072" s="18" t="s">
        <x:v>2413</x:v>
      </x:c>
      <x:c r="B1072" s="19" t="s">
        <x:v>2414</x:v>
      </x:c>
      <x:c r="C1072" s="20">
        <x:v>94059900</x:v>
      </x:c>
      <x:c r="D1072" s="20">
        <x:v>1438</x:v>
      </x:c>
      <x:c r="E1072" s="18" t="s">
        <x:v>227</x:v>
      </x:c>
      <x:c r="F1072" s="19" t="s">
        <x:v>11</x:v>
      </x:c>
      <x:c r="G1072" s="20">
        <x:v>0</x:v>
      </x:c>
      <x:c r="H1072" s="21"/>
      <x:c r="I1072" s="21" t="s">
        <x:v>228</x:v>
      </x:c>
      <x:c r="J1072" s="23">
        <x:v>661</x:v>
      </x:c>
      <x:c r="K1072" s="23">
        <x:v>10590.83</x:v>
      </x:c>
      <x:c r="L1072" s="23">
        <x:v>646</x:v>
      </x:c>
    </x:row>
    <x:row r="1073">
      <x:c r="A1073" s="18" t="s">
        <x:v>2415</x:v>
      </x:c>
      <x:c r="B1073" s="19" t="s">
        <x:v>2416</x:v>
      </x:c>
      <x:c r="C1073" s="20">
        <x:v>94059900</x:v>
      </x:c>
      <x:c r="D1073" s="20">
        <x:v>553</x:v>
      </x:c>
      <x:c r="E1073" s="18" t="s">
        <x:v>227</x:v>
      </x:c>
      <x:c r="F1073" s="19" t="s">
        <x:v>11</x:v>
      </x:c>
      <x:c r="G1073" s="20">
        <x:v>0</x:v>
      </x:c>
      <x:c r="H1073" s="21"/>
      <x:c r="I1073" s="21" t="s">
        <x:v>228</x:v>
      </x:c>
      <x:c r="J1073" s="23">
        <x:v>690</x:v>
      </x:c>
      <x:c r="K1073" s="23">
        <x:v>11071.46</x:v>
      </x:c>
      <x:c r="L1073" s="23">
        <x:v>675</x:v>
      </x:c>
    </x:row>
    <x:row r="1074">
      <x:c r="A1074" s="18" t="s">
        <x:v>2417</x:v>
      </x:c>
      <x:c r="B1074" s="19" t="s">
        <x:v>192</x:v>
      </x:c>
      <x:c r="C1074" s="20">
        <x:v>85044083</x:v>
      </x:c>
      <x:c r="D1074" s="20">
        <x:v>683.78</x:v>
      </x:c>
      <x:c r="E1074" s="18" t="s">
        <x:v>227</x:v>
      </x:c>
      <x:c r="F1074" s="19" t="s">
        <x:v>41</x:v>
      </x:c>
      <x:c r="G1074" s="20">
        <x:v>9.3000000000000007</x:v>
      </x:c>
      <x:c r="H1074" s="21"/>
      <x:c r="I1074" s="26" t="s">
        <x:v>2418</x:v>
      </x:c>
      <x:c r="J1074" s="23">
        <x:v>2801.79</x:v>
      </x:c>
      <x:c r="K1074" s="23">
        <x:v>25216.11</x:v>
      </x:c>
      <x:c r="L1074" s="23">
        <x:v>5949.3</x:v>
      </x:c>
    </x:row>
    <x:row r="1075">
      <x:c r="A1075" s="18" t="s">
        <x:v>2419</x:v>
      </x:c>
      <x:c r="B1075" s="19" t="s">
        <x:v>2420</x:v>
      </x:c>
      <x:c r="C1075" s="20">
        <x:v>85044083</x:v>
      </x:c>
      <x:c r="D1075" s="20">
        <x:v>1350</x:v>
      </x:c>
      <x:c r="E1075" s="18" t="s">
        <x:v>227</x:v>
      </x:c>
      <x:c r="F1075" s="19" t="s">
        <x:v>41</x:v>
      </x:c>
      <x:c r="G1075" s="20">
        <x:v>125</x:v>
      </x:c>
      <x:c r="H1075" s="21"/>
      <x:c r="I1075" s="26" t="s">
        <x:v>2410</x:v>
      </x:c>
      <x:c r="J1075" s="23">
        <x:v>1278</x:v>
      </x:c>
      <x:c r="K1075" s="23">
        <x:v>159750</x:v>
      </x:c>
      <x:c r="L1075" s="23">
        <x:v>85.5</x:v>
      </x:c>
    </x:row>
    <x:row r="1076">
      <x:c r="A1076" s="18" t="s">
        <x:v>2421</x:v>
      </x:c>
      <x:c r="B1076" s="19" t="s">
        <x:v>2422</x:v>
      </x:c>
      <x:c r="C1076" s="20">
        <x:v>85044083</x:v>
      </x:c>
      <x:c r="D1076" s="20">
        <x:v>7.56</x:v>
      </x:c>
      <x:c r="E1076" s="18" t="s">
        <x:v>227</x:v>
      </x:c>
      <x:c r="F1076" s="19" t="s">
        <x:v>41</x:v>
      </x:c>
      <x:c r="G1076" s="20">
        <x:v>0</x:v>
      </x:c>
      <x:c r="H1076" s="21"/>
      <x:c r="I1076" s="21" t="s">
        <x:v>2410</x:v>
      </x:c>
      <x:c r="J1076" s="23">
        <x:v>789.8</x:v>
      </x:c>
      <x:c r="K1076" s="23">
        <x:v>110572</x:v>
      </x:c>
      <x:c r="L1076" s="23">
        <x:v>474.8</x:v>
      </x:c>
    </x:row>
    <x:row r="1077">
      <x:c r="A1077" s="18" t="s">
        <x:v>2423</x:v>
      </x:c>
      <x:c r="B1077" s="19" t="s">
        <x:v>2424</x:v>
      </x:c>
      <x:c r="C1077" s="20">
        <x:v>85044083</x:v>
      </x:c>
      <x:c r="D1077" s="20">
        <x:v>22</x:v>
      </x:c>
      <x:c r="E1077" s="18" t="s">
        <x:v>227</x:v>
      </x:c>
      <x:c r="F1077" s="19" t="s">
        <x:v>41</x:v>
      </x:c>
      <x:c r="G1077" s="20">
        <x:v>0</x:v>
      </x:c>
      <x:c r="H1077" s="21"/>
      <x:c r="I1077" s="21" t="s">
        <x:v>2410</x:v>
      </x:c>
      <x:c r="J1077" s="23">
        <x:v>103</x:v>
      </x:c>
      <x:c r="K1077" s="23">
        <x:v>7725</x:v>
      </x:c>
      <x:c r="L1077" s="23">
        <x:v>2</x:v>
      </x:c>
    </x:row>
    <x:row r="1078">
      <x:c r="A1078" s="18" t="s">
        <x:v>2425</x:v>
      </x:c>
      <x:c r="B1078" s="19" t="s">
        <x:v>2426</x:v>
      </x:c>
      <x:c r="C1078" s="20">
        <x:v>85044083</x:v>
      </x:c>
      <x:c r="D1078" s="20">
        <x:v>395.97</x:v>
      </x:c>
      <x:c r="E1078" s="18" t="s">
        <x:v>227</x:v>
      </x:c>
      <x:c r="F1078" s="19" t="s">
        <x:v>11</x:v>
      </x:c>
      <x:c r="G1078" s="20">
        <x:v>0</x:v>
      </x:c>
      <x:c r="H1078" s="21"/>
      <x:c r="I1078" s="21" t="s">
        <x:v>252</x:v>
      </x:c>
      <x:c r="J1078" s="23">
        <x:v>5</x:v>
      </x:c>
      <x:c r="K1078" s="23">
        <x:v>32.85</x:v>
      </x:c>
      <x:c r="L1078" s="23">
        <x:v>5</x:v>
      </x:c>
    </x:row>
    <x:row r="1079">
      <x:c r="A1079" s="18" t="s">
        <x:v>2427</x:v>
      </x:c>
      <x:c r="B1079" s="19" t="s">
        <x:v>187</x:v>
      </x:c>
      <x:c r="C1079" s="20">
        <x:v>85044083</x:v>
      </x:c>
      <x:c r="D1079" s="20">
        <x:v>1175</x:v>
      </x:c>
      <x:c r="E1079" s="18" t="s">
        <x:v>227</x:v>
      </x:c>
      <x:c r="F1079" s="19" t="s">
        <x:v>41</x:v>
      </x:c>
      <x:c r="G1079" s="20">
        <x:v>140.49</x:v>
      </x:c>
      <x:c r="H1079" s="21"/>
      <x:c r="I1079" s="26" t="s">
        <x:v>252</x:v>
      </x:c>
      <x:c r="J1079" s="23">
        <x:v>11</x:v>
      </x:c>
      <x:c r="K1079" s="23">
        <x:v>1368.95</x:v>
      </x:c>
      <x:c r="L1079" s="23">
        <x:v>69</x:v>
      </x:c>
    </x:row>
    <x:row r="1080">
      <x:c r="A1080" s="18" t="s">
        <x:v>2428</x:v>
      </x:c>
      <x:c r="B1080" s="19" t="s">
        <x:v>2429</x:v>
      </x:c>
      <x:c r="C1080" s="20">
        <x:v>85044083</x:v>
      </x:c>
      <x:c r="D1080" s="20">
        <x:v>1165</x:v>
      </x:c>
      <x:c r="E1080" s="18" t="s">
        <x:v>227</x:v>
      </x:c>
      <x:c r="F1080" s="19" t="s">
        <x:v>11</x:v>
      </x:c>
      <x:c r="G1080" s="20">
        <x:v>0</x:v>
      </x:c>
      <x:c r="H1080" s="21"/>
      <x:c r="I1080" s="21"/>
      <x:c r="J1080" s="23">
        <x:v>187</x:v>
      </x:c>
      <x:c r="K1080" s="23">
        <x:v>39913.279999999999</x:v>
      </x:c>
      <x:c r="L1080" s="23">
        <x:v>151</x:v>
      </x:c>
    </x:row>
    <x:row r="1081">
      <x:c r="A1081" s="18" t="s">
        <x:v>2430</x:v>
      </x:c>
      <x:c r="B1081" s="19" t="s">
        <x:v>2431</x:v>
      </x:c>
      <x:c r="C1081" s="20">
        <x:v>85044083</x:v>
      </x:c>
      <x:c r="D1081" s="20">
        <x:v>1165</x:v>
      </x:c>
      <x:c r="E1081" s="18" t="s">
        <x:v>227</x:v>
      </x:c>
      <x:c r="F1081" s="19" t="s">
        <x:v>11</x:v>
      </x:c>
      <x:c r="G1081" s="20">
        <x:v>250</x:v>
      </x:c>
      <x:c r="H1081" s="21"/>
      <x:c r="I1081" s="26" t="s">
        <x:v>2432</x:v>
      </x:c>
      <x:c r="J1081" s="23">
        <x:v>38</x:v>
      </x:c>
      <x:c r="K1081" s="23">
        <x:v>9500</x:v>
      </x:c>
      <x:c r="L1081" s="23">
        <x:v>45</x:v>
      </x:c>
    </x:row>
    <x:row r="1082">
      <x:c r="A1082" s="18" t="s">
        <x:v>2433</x:v>
      </x:c>
      <x:c r="B1082" s="19" t="s">
        <x:v>2434</x:v>
      </x:c>
      <x:c r="C1082" s="20">
        <x:v>85044083</x:v>
      </x:c>
      <x:c r="D1082" s="20">
        <x:v>1161.8399999999999</x:v>
      </x:c>
      <x:c r="E1082" s="18" t="s">
        <x:v>227</x:v>
      </x:c>
      <x:c r="F1082" s="19" t="s">
        <x:v>11</x:v>
      </x:c>
      <x:c r="G1082" s="20">
        <x:v>85</x:v>
      </x:c>
      <x:c r="H1082" s="21"/>
      <x:c r="I1082" s="26" t="s">
        <x:v>233</x:v>
      </x:c>
      <x:c r="J1082" s="23">
        <x:v>35</x:v>
      </x:c>
      <x:c r="K1082" s="23">
        <x:v>2975</x:v>
      </x:c>
      <x:c r="L1082" s="23">
        <x:v>0</x:v>
      </x:c>
    </x:row>
    <x:row r="1083">
      <x:c r="A1083" s="18" t="s">
        <x:v>2435</x:v>
      </x:c>
      <x:c r="B1083" s="19" t="s">
        <x:v>2436</x:v>
      </x:c>
      <x:c r="C1083" s="20">
        <x:v>73239990</x:v>
      </x:c>
      <x:c r="D1083" s="20">
        <x:v>720</x:v>
      </x:c>
      <x:c r="E1083" s="18" t="s">
        <x:v>227</x:v>
      </x:c>
      <x:c r="F1083" s="19" t="s">
        <x:v>11</x:v>
      </x:c>
      <x:c r="G1083" s="20">
        <x:v>0</x:v>
      </x:c>
      <x:c r="H1083" s="21"/>
      <x:c r="I1083" s="21" t="s">
        <x:v>2217</x:v>
      </x:c>
      <x:c r="J1083" s="22">
        <x:v>0</x:v>
      </x:c>
      <x:c r="K1083" s="22">
        <x:v>0</x:v>
      </x:c>
      <x:c r="L1083" s="23">
        <x:v>0</x:v>
      </x:c>
    </x:row>
    <x:row r="1084">
      <x:c r="A1084" s="18" t="s">
        <x:v>2437</x:v>
      </x:c>
      <x:c r="B1084" s="19" t="s">
        <x:v>2438</x:v>
      </x:c>
      <x:c r="C1084" s="20">
        <x:v>73239990</x:v>
      </x:c>
      <x:c r="D1084" s="20">
        <x:v>720</x:v>
      </x:c>
      <x:c r="E1084" s="18" t="s">
        <x:v>227</x:v>
      </x:c>
      <x:c r="F1084" s="19" t="s">
        <x:v>11</x:v>
      </x:c>
      <x:c r="G1084" s="20">
        <x:v>0</x:v>
      </x:c>
      <x:c r="H1084" s="21"/>
      <x:c r="I1084" s="21" t="s">
        <x:v>2217</x:v>
      </x:c>
      <x:c r="J1084" s="22">
        <x:v>0</x:v>
      </x:c>
      <x:c r="K1084" s="22">
        <x:v>0</x:v>
      </x:c>
      <x:c r="L1084" s="23">
        <x:v>0</x:v>
      </x:c>
    </x:row>
    <x:row r="1085">
      <x:c r="A1085" s="18" t="s">
        <x:v>2439</x:v>
      </x:c>
      <x:c r="B1085" s="19" t="s">
        <x:v>2440</x:v>
      </x:c>
      <x:c r="C1085" s="20">
        <x:v>73239990</x:v>
      </x:c>
      <x:c r="D1085" s="20">
        <x:v>720</x:v>
      </x:c>
      <x:c r="E1085" s="18" t="s">
        <x:v>227</x:v>
      </x:c>
      <x:c r="F1085" s="19" t="s">
        <x:v>11</x:v>
      </x:c>
      <x:c r="G1085" s="20">
        <x:v>0</x:v>
      </x:c>
      <x:c r="H1085" s="21"/>
      <x:c r="I1085" s="21" t="s">
        <x:v>2217</x:v>
      </x:c>
      <x:c r="J1085" s="23">
        <x:v>2</x:v>
      </x:c>
      <x:c r="K1085" s="23">
        <x:v>7109.3</x:v>
      </x:c>
      <x:c r="L1085" s="23">
        <x:v>2</x:v>
      </x:c>
    </x:row>
    <x:row r="1086">
      <x:c r="A1086" s="18" t="s">
        <x:v>2441</x:v>
      </x:c>
      <x:c r="B1086" s="19" t="s">
        <x:v>2442</x:v>
      </x:c>
      <x:c r="C1086" s="20">
        <x:v>73239990</x:v>
      </x:c>
      <x:c r="D1086" s="20">
        <x:v>7.5</x:v>
      </x:c>
      <x:c r="E1086" s="18" t="s">
        <x:v>227</x:v>
      </x:c>
      <x:c r="F1086" s="19" t="s">
        <x:v>11</x:v>
      </x:c>
      <x:c r="G1086" s="20">
        <x:v>0</x:v>
      </x:c>
      <x:c r="H1086" s="21"/>
      <x:c r="I1086" s="21" t="s">
        <x:v>2217</x:v>
      </x:c>
      <x:c r="J1086" s="22">
        <x:v>0</x:v>
      </x:c>
      <x:c r="K1086" s="22">
        <x:v>0</x:v>
      </x:c>
      <x:c r="L1086" s="23">
        <x:v>0</x:v>
      </x:c>
    </x:row>
    <x:row r="1087">
      <x:c r="A1087" s="18" t="s">
        <x:v>2443</x:v>
      </x:c>
      <x:c r="B1087" s="19" t="s">
        <x:v>2444</x:v>
      </x:c>
      <x:c r="C1087" s="20">
        <x:v>73239990</x:v>
      </x:c>
      <x:c r="D1087" s="20">
        <x:v>650</x:v>
      </x:c>
      <x:c r="E1087" s="18" t="s">
        <x:v>227</x:v>
      </x:c>
      <x:c r="F1087" s="19" t="s">
        <x:v>11</x:v>
      </x:c>
      <x:c r="G1087" s="20">
        <x:v>9826.2999999999993</x:v>
      </x:c>
      <x:c r="H1087" s="21"/>
      <x:c r="I1087" s="26" t="s">
        <x:v>2217</x:v>
      </x:c>
      <x:c r="J1087" s="23">
        <x:v>1</x:v>
      </x:c>
      <x:c r="K1087" s="23">
        <x:v>8355.6</x:v>
      </x:c>
      <x:c r="L1087" s="23">
        <x:v>3</x:v>
      </x:c>
    </x:row>
    <x:row r="1088">
      <x:c r="A1088" s="18" t="s">
        <x:v>2445</x:v>
      </x:c>
      <x:c r="B1088" s="19" t="s">
        <x:v>2446</x:v>
      </x:c>
      <x:c r="C1088" s="20">
        <x:v>73239990</x:v>
      </x:c>
      <x:c r="D1088" s="20">
        <x:v>650</x:v>
      </x:c>
      <x:c r="E1088" s="18" t="s">
        <x:v>227</x:v>
      </x:c>
      <x:c r="F1088" s="19" t="s">
        <x:v>11</x:v>
      </x:c>
      <x:c r="G1088" s="20">
        <x:v>0</x:v>
      </x:c>
      <x:c r="H1088" s="21"/>
      <x:c r="I1088" s="21" t="s">
        <x:v>2217</x:v>
      </x:c>
      <x:c r="J1088" s="22">
        <x:v>0</x:v>
      </x:c>
      <x:c r="K1088" s="22">
        <x:v>0</x:v>
      </x:c>
      <x:c r="L1088" s="23">
        <x:v>0</x:v>
      </x:c>
    </x:row>
    <x:row r="1089">
      <x:c r="A1089" s="18" t="s">
        <x:v>2447</x:v>
      </x:c>
      <x:c r="B1089" s="19" t="s">
        <x:v>2448</x:v>
      </x:c>
      <x:c r="C1089" s="20">
        <x:v>73239990</x:v>
      </x:c>
      <x:c r="D1089" s="20">
        <x:v>650</x:v>
      </x:c>
      <x:c r="E1089" s="18" t="s">
        <x:v>227</x:v>
      </x:c>
      <x:c r="F1089" s="19" t="s">
        <x:v>11</x:v>
      </x:c>
      <x:c r="G1089" s="20">
        <x:v>0</x:v>
      </x:c>
      <x:c r="H1089" s="21"/>
      <x:c r="I1089" s="21" t="s">
        <x:v>2217</x:v>
      </x:c>
      <x:c r="J1089" s="23">
        <x:v>1</x:v>
      </x:c>
      <x:c r="K1089" s="23">
        <x:v>3131.28</x:v>
      </x:c>
      <x:c r="L1089" s="23">
        <x:v>1</x:v>
      </x:c>
    </x:row>
    <x:row r="1090">
      <x:c r="A1090" s="18" t="s">
        <x:v>2449</x:v>
      </x:c>
      <x:c r="B1090" s="19" t="s">
        <x:v>2450</x:v>
      </x:c>
      <x:c r="C1090" s="20">
        <x:v>73239990</x:v>
      </x:c>
      <x:c r="D1090" s="20">
        <x:v>650</x:v>
      </x:c>
      <x:c r="E1090" s="18" t="s">
        <x:v>227</x:v>
      </x:c>
      <x:c r="F1090" s="19" t="s">
        <x:v>11</x:v>
      </x:c>
      <x:c r="G1090" s="20">
        <x:v>0</x:v>
      </x:c>
      <x:c r="H1090" s="21"/>
      <x:c r="I1090" s="21" t="s">
        <x:v>2217</x:v>
      </x:c>
      <x:c r="J1090" s="23">
        <x:v>1</x:v>
      </x:c>
      <x:c r="K1090" s="23">
        <x:v>3402.3</x:v>
      </x:c>
      <x:c r="L1090" s="23">
        <x:v>1</x:v>
      </x:c>
    </x:row>
    <x:row r="1091">
      <x:c r="A1091" s="18" t="s">
        <x:v>2451</x:v>
      </x:c>
      <x:c r="B1091" s="19" t="s">
        <x:v>2452</x:v>
      </x:c>
      <x:c r="C1091" s="20">
        <x:v>73239990</x:v>
      </x:c>
      <x:c r="D1091" s="20">
        <x:v>650</x:v>
      </x:c>
      <x:c r="E1091" s="18" t="s">
        <x:v>227</x:v>
      </x:c>
      <x:c r="F1091" s="19" t="s">
        <x:v>11</x:v>
      </x:c>
      <x:c r="G1091" s="20">
        <x:v>0</x:v>
      </x:c>
      <x:c r="H1091" s="21"/>
      <x:c r="I1091" s="21" t="s">
        <x:v>2217</x:v>
      </x:c>
      <x:c r="J1091" s="22">
        <x:v>0</x:v>
      </x:c>
      <x:c r="K1091" s="22">
        <x:v>0</x:v>
      </x:c>
      <x:c r="L1091" s="23">
        <x:v>0</x:v>
      </x:c>
    </x:row>
    <x:row r="1092">
      <x:c r="A1092" s="18" t="s">
        <x:v>2453</x:v>
      </x:c>
      <x:c r="B1092" s="19" t="s">
        <x:v>2454</x:v>
      </x:c>
      <x:c r="C1092" s="20">
        <x:v>83014090</x:v>
      </x:c>
      <x:c r="D1092" s="20">
        <x:v>191</x:v>
      </x:c>
      <x:c r="E1092" s="18" t="s">
        <x:v>227</x:v>
      </x:c>
      <x:c r="F1092" s="19" t="s">
        <x:v>11</x:v>
      </x:c>
      <x:c r="G1092" s="20">
        <x:v>599.02</x:v>
      </x:c>
      <x:c r="H1092" s="21"/>
      <x:c r="I1092" s="26" t="s">
        <x:v>252</x:v>
      </x:c>
      <x:c r="J1092" s="23">
        <x:v>7</x:v>
      </x:c>
      <x:c r="K1092" s="23">
        <x:v>3724</x:v>
      </x:c>
      <x:c r="L1092" s="23">
        <x:v>38</x:v>
      </x:c>
    </x:row>
    <x:row r="1093">
      <x:c r="A1093" s="18" t="s">
        <x:v>2455</x:v>
      </x:c>
      <x:c r="B1093" s="19" t="s">
        <x:v>169</x:v>
      </x:c>
      <x:c r="C1093" s="20">
        <x:v>83014090</x:v>
      </x:c>
      <x:c r="D1093" s="20">
        <x:v>1505.93</x:v>
      </x:c>
      <x:c r="E1093" s="18" t="s">
        <x:v>227</x:v>
      </x:c>
      <x:c r="F1093" s="19" t="s">
        <x:v>82</x:v>
      </x:c>
      <x:c r="G1093" s="20">
        <x:v>745.2</x:v>
      </x:c>
      <x:c r="H1093" s="21"/>
      <x:c r="I1093" s="26" t="s">
        <x:v>858</x:v>
      </x:c>
      <x:c r="J1093" s="23">
        <x:v>21</x:v>
      </x:c>
      <x:c r="K1093" s="23">
        <x:v>11291.7</x:v>
      </x:c>
      <x:c r="L1093" s="23">
        <x:v>0</x:v>
      </x:c>
    </x:row>
    <x:row r="1094">
      <x:c r="A1094" s="18" t="s">
        <x:v>2456</x:v>
      </x:c>
      <x:c r="B1094" s="19" t="s">
        <x:v>2457</x:v>
      </x:c>
      <x:c r="C1094" s="20">
        <x:v>83014090</x:v>
      </x:c>
      <x:c r="D1094" s="20">
        <x:v>65.59</x:v>
      </x:c>
      <x:c r="E1094" s="18" t="s">
        <x:v>227</x:v>
      </x:c>
      <x:c r="F1094" s="19" t="s">
        <x:v>82</x:v>
      </x:c>
      <x:c r="G1094" s="20">
        <x:v>0</x:v>
      </x:c>
      <x:c r="H1094" s="21"/>
      <x:c r="I1094" s="21" t="s">
        <x:v>1209</x:v>
      </x:c>
      <x:c r="J1094" s="23">
        <x:v>1</x:v>
      </x:c>
      <x:c r="K1094" s="23">
        <x:v>12513.81</x:v>
      </x:c>
      <x:c r="L1094" s="23">
        <x:v>1</x:v>
      </x:c>
    </x:row>
    <x:row r="1095">
      <x:c r="A1095" s="18" t="s">
        <x:v>2458</x:v>
      </x:c>
      <x:c r="B1095" s="19" t="s">
        <x:v>2459</x:v>
      </x:c>
      <x:c r="C1095" s="20">
        <x:v>83014090</x:v>
      </x:c>
      <x:c r="D1095" s="20">
        <x:v>18.190000000000001</x:v>
      </x:c>
      <x:c r="E1095" s="18" t="s">
        <x:v>227</x:v>
      </x:c>
      <x:c r="F1095" s="19" t="s">
        <x:v>82</x:v>
      </x:c>
      <x:c r="G1095" s="20">
        <x:v>4237.3</x:v>
      </x:c>
      <x:c r="H1095" s="21"/>
      <x:c r="I1095" s="26" t="s">
        <x:v>2025</x:v>
      </x:c>
      <x:c r="J1095" s="23">
        <x:v>1</x:v>
      </x:c>
      <x:c r="K1095" s="23">
        <x:v>4131.37</x:v>
      </x:c>
      <x:c r="L1095" s="23">
        <x:v>2</x:v>
      </x:c>
    </x:row>
    <x:row r="1096">
      <x:c r="A1096" s="18" t="s">
        <x:v>2460</x:v>
      </x:c>
      <x:c r="B1096" s="19" t="s">
        <x:v>168</x:v>
      </x:c>
      <x:c r="C1096" s="20">
        <x:v>83014090</x:v>
      </x:c>
      <x:c r="D1096" s="20">
        <x:v>112</x:v>
      </x:c>
      <x:c r="E1096" s="18" t="s">
        <x:v>227</x:v>
      </x:c>
      <x:c r="F1096" s="19" t="s">
        <x:v>82</x:v>
      </x:c>
      <x:c r="G1096" s="20">
        <x:v>160.97999999999999</x:v>
      </x:c>
      <x:c r="H1096" s="21"/>
      <x:c r="I1096" s="26" t="s">
        <x:v>252</x:v>
      </x:c>
      <x:c r="J1096" s="23">
        <x:v>18</x:v>
      </x:c>
      <x:c r="K1096" s="23">
        <x:v>2565</x:v>
      </x:c>
      <x:c r="L1096" s="23">
        <x:v>27</x:v>
      </x:c>
    </x:row>
    <x:row r="1097">
      <x:c r="A1097" s="18" t="s">
        <x:v>2461</x:v>
      </x:c>
      <x:c r="B1097" s="19" t="s">
        <x:v>2462</x:v>
      </x:c>
      <x:c r="C1097" s="20">
        <x:v>83014090</x:v>
      </x:c>
      <x:c r="D1097" s="20">
        <x:v>160</x:v>
      </x:c>
      <x:c r="E1097" s="18" t="s">
        <x:v>227</x:v>
      </x:c>
      <x:c r="F1097" s="19" t="s">
        <x:v>11</x:v>
      </x:c>
      <x:c r="G1097" s="20">
        <x:v>165</x:v>
      </x:c>
      <x:c r="H1097" s="21"/>
      <x:c r="I1097" s="26" t="s">
        <x:v>272</x:v>
      </x:c>
      <x:c r="J1097" s="22">
        <x:v>0</x:v>
      </x:c>
      <x:c r="K1097" s="22">
        <x:v>0</x:v>
      </x:c>
      <x:c r="L1097" s="23">
        <x:v>20</x:v>
      </x:c>
    </x:row>
    <x:row r="1098">
      <x:c r="A1098" s="18" t="s">
        <x:v>2463</x:v>
      </x:c>
      <x:c r="B1098" s="19" t="s">
        <x:v>171</x:v>
      </x:c>
      <x:c r="C1098" s="20">
        <x:v>83014090</x:v>
      </x:c>
      <x:c r="D1098" s="20">
        <x:v>1086</x:v>
      </x:c>
      <x:c r="E1098" s="18" t="s">
        <x:v>227</x:v>
      </x:c>
      <x:c r="F1098" s="19" t="s">
        <x:v>11</x:v>
      </x:c>
      <x:c r="G1098" s="20">
        <x:v>99</x:v>
      </x:c>
      <x:c r="H1098" s="21"/>
      <x:c r="I1098" s="26" t="s">
        <x:v>2464</x:v>
      </x:c>
      <x:c r="J1098" s="23">
        <x:v>52</x:v>
      </x:c>
      <x:c r="K1098" s="23">
        <x:v>5148</x:v>
      </x:c>
      <x:c r="L1098" s="23">
        <x:v>97</x:v>
      </x:c>
    </x:row>
    <x:row r="1099">
      <x:c r="A1099" s="18" t="s">
        <x:v>2465</x:v>
      </x:c>
      <x:c r="B1099" s="19" t="s">
        <x:v>2466</x:v>
      </x:c>
      <x:c r="C1099" s="20">
        <x:v>83024200</x:v>
      </x:c>
      <x:c r="D1099" s="20">
        <x:v>704</x:v>
      </x:c>
      <x:c r="E1099" s="18" t="s">
        <x:v>227</x:v>
      </x:c>
      <x:c r="F1099" s="19" t="s">
        <x:v>11</x:v>
      </x:c>
      <x:c r="G1099" s="20">
        <x:v>13500</x:v>
      </x:c>
      <x:c r="H1099" s="21"/>
      <x:c r="I1099" s="26" t="s">
        <x:v>847</x:v>
      </x:c>
      <x:c r="J1099" s="23">
        <x:v>7</x:v>
      </x:c>
      <x:c r="K1099" s="23">
        <x:v>91350</x:v>
      </x:c>
      <x:c r="L1099" s="23">
        <x:v>4</x:v>
      </x:c>
    </x:row>
    <x:row r="1100">
      <x:c r="A1100" s="18" t="s">
        <x:v>2467</x:v>
      </x:c>
      <x:c r="B1100" s="19" t="s">
        <x:v>2468</x:v>
      </x:c>
      <x:c r="C1100" s="20">
        <x:v>85051100</x:v>
      </x:c>
      <x:c r="D1100" s="20">
        <x:v>6.87</x:v>
      </x:c>
      <x:c r="E1100" s="18" t="s">
        <x:v>227</x:v>
      </x:c>
      <x:c r="F1100" s="19" t="s">
        <x:v>11</x:v>
      </x:c>
      <x:c r="G1100" s="20">
        <x:v>0</x:v>
      </x:c>
      <x:c r="H1100" s="21"/>
      <x:c r="I1100" s="21"/>
      <x:c r="J1100" s="23">
        <x:v>22</x:v>
      </x:c>
      <x:c r="K1100" s="23">
        <x:v>1228.48</x:v>
      </x:c>
      <x:c r="L1100" s="23">
        <x:v>22</x:v>
      </x:c>
    </x:row>
    <x:row r="1101">
      <x:c r="A1101" s="18" t="s">
        <x:v>2469</x:v>
      </x:c>
      <x:c r="B1101" s="19" t="s">
        <x:v>2470</x:v>
      </x:c>
      <x:c r="C1101" s="20">
        <x:v>85051100</x:v>
      </x:c>
      <x:c r="D1101" s="20">
        <x:v>7.56</x:v>
      </x:c>
      <x:c r="E1101" s="18" t="s">
        <x:v>227</x:v>
      </x:c>
      <x:c r="F1101" s="19" t="s">
        <x:v>11</x:v>
      </x:c>
      <x:c r="G1101" s="20">
        <x:v>0</x:v>
      </x:c>
      <x:c r="H1101" s="21"/>
      <x:c r="I1101" s="21"/>
      <x:c r="J1101" s="23">
        <x:v>25</x:v>
      </x:c>
      <x:c r="K1101" s="23">
        <x:v>500</x:v>
      </x:c>
      <x:c r="L1101" s="23">
        <x:v>21</x:v>
      </x:c>
    </x:row>
    <x:row r="1102">
      <x:c r="A1102" s="18" t="s">
        <x:v>2471</x:v>
      </x:c>
      <x:c r="B1102" s="19" t="s">
        <x:v>2472</x:v>
      </x:c>
      <x:c r="C1102" s="20">
        <x:v>85051100</x:v>
      </x:c>
      <x:c r="D1102" s="20">
        <x:v>650</x:v>
      </x:c>
      <x:c r="E1102" s="18" t="s">
        <x:v>227</x:v>
      </x:c>
      <x:c r="F1102" s="19" t="s">
        <x:v>82</x:v>
      </x:c>
      <x:c r="G1102" s="20">
        <x:v>28.29</x:v>
      </x:c>
      <x:c r="H1102" s="21"/>
      <x:c r="I1102" s="26" t="s">
        <x:v>252</x:v>
      </x:c>
      <x:c r="J1102" s="23">
        <x:v>4</x:v>
      </x:c>
      <x:c r="K1102" s="23">
        <x:v>99.88</x:v>
      </x:c>
      <x:c r="L1102" s="23">
        <x:v>171</x:v>
      </x:c>
    </x:row>
    <x:row r="1103">
      <x:c r="A1103" s="18" t="s">
        <x:v>2473</x:v>
      </x:c>
      <x:c r="B1103" s="19" t="s">
        <x:v>2474</x:v>
      </x:c>
      <x:c r="C1103" s="20">
        <x:v>39269099</x:v>
      </x:c>
      <x:c r="D1103" s="20">
        <x:v>600</x:v>
      </x:c>
      <x:c r="E1103" s="18" t="s">
        <x:v>227</x:v>
      </x:c>
      <x:c r="F1103" s="19" t="s">
        <x:v>11</x:v>
      </x:c>
      <x:c r="G1103" s="20">
        <x:v>2817.5</x:v>
      </x:c>
      <x:c r="H1103" s="21"/>
      <x:c r="I1103" s="26" t="s">
        <x:v>272</x:v>
      </x:c>
      <x:c r="J1103" s="22">
        <x:v>0</x:v>
      </x:c>
      <x:c r="K1103" s="22">
        <x:v>0</x:v>
      </x:c>
      <x:c r="L1103" s="23">
        <x:v>1</x:v>
      </x:c>
    </x:row>
    <x:row r="1104">
      <x:c r="A1104" s="18" t="s">
        <x:v>2475</x:v>
      </x:c>
      <x:c r="B1104" s="19" t="s">
        <x:v>2476</x:v>
      </x:c>
      <x:c r="C1104" s="20">
        <x:v>73239390</x:v>
      </x:c>
      <x:c r="D1104" s="20">
        <x:v>562.5</x:v>
      </x:c>
      <x:c r="E1104" s="18" t="s">
        <x:v>227</x:v>
      </x:c>
      <x:c r="F1104" s="19" t="s">
        <x:v>11</x:v>
      </x:c>
      <x:c r="G1104" s="20">
        <x:v>0</x:v>
      </x:c>
      <x:c r="H1104" s="21"/>
      <x:c r="I1104" s="21" t="s">
        <x:v>2477</x:v>
      </x:c>
      <x:c r="J1104" s="23">
        <x:v>49</x:v>
      </x:c>
      <x:c r="K1104" s="23">
        <x:v>26950</x:v>
      </x:c>
      <x:c r="L1104" s="23">
        <x:v>12</x:v>
      </x:c>
    </x:row>
    <x:row r="1105">
      <x:c r="A1105" s="18" t="s">
        <x:v>2478</x:v>
      </x:c>
      <x:c r="B1105" s="19" t="s">
        <x:v>2479</x:v>
      </x:c>
      <x:c r="C1105" s="20">
        <x:v>48114900</x:v>
      </x:c>
      <x:c r="D1105" s="20">
        <x:v>19</x:v>
      </x:c>
      <x:c r="E1105" s="18" t="s">
        <x:v>227</x:v>
      </x:c>
      <x:c r="F1105" s="19" t="s">
        <x:v>11</x:v>
      </x:c>
      <x:c r="G1105" s="20">
        <x:v>42</x:v>
      </x:c>
      <x:c r="H1105" s="21"/>
      <x:c r="I1105" s="26" t="s">
        <x:v>837</x:v>
      </x:c>
      <x:c r="J1105" s="23">
        <x:v>650</x:v>
      </x:c>
      <x:c r="K1105" s="23">
        <x:v>23647</x:v>
      </x:c>
      <x:c r="L1105" s="23">
        <x:v>520</x:v>
      </x:c>
    </x:row>
    <x:row r="1106">
      <x:c r="A1106" s="18" t="s">
        <x:v>2480</x:v>
      </x:c>
      <x:c r="B1106" s="19" t="s">
        <x:v>2481</x:v>
      </x:c>
      <x:c r="C1106" s="20">
        <x:v>48114900</x:v>
      </x:c>
      <x:c r="D1106" s="20">
        <x:v>17</x:v>
      </x:c>
      <x:c r="E1106" s="18"/>
      <x:c r="F1106" s="19" t="s">
        <x:v>87</x:v>
      </x:c>
      <x:c r="G1106" s="20">
        <x:v>0</x:v>
      </x:c>
      <x:c r="H1106" s="21"/>
      <x:c r="I1106" s="21"/>
      <x:c r="J1106" s="23">
        <x:v>20</x:v>
      </x:c>
      <x:c r="K1106" s="23">
        <x:v>3051</x:v>
      </x:c>
      <x:c r="L1106" s="23">
        <x:v>0</x:v>
      </x:c>
    </x:row>
    <x:row r="1107">
      <x:c r="A1107" s="18" t="s">
        <x:v>2482</x:v>
      </x:c>
      <x:c r="B1107" s="19" t="s">
        <x:v>2483</x:v>
      </x:c>
      <x:c r="C1107" s="20">
        <x:v>39269099</x:v>
      </x:c>
      <x:c r="D1107" s="20">
        <x:v>26.82</x:v>
      </x:c>
      <x:c r="E1107" s="18" t="s">
        <x:v>227</x:v>
      </x:c>
      <x:c r="F1107" s="19" t="s">
        <x:v>41</x:v>
      </x:c>
      <x:c r="G1107" s="20">
        <x:v>329.4</x:v>
      </x:c>
      <x:c r="H1107" s="21"/>
      <x:c r="I1107" s="26" t="s">
        <x:v>858</x:v>
      </x:c>
      <x:c r="J1107" s="23">
        <x:v>738.8</x:v>
      </x:c>
      <x:c r="K1107" s="23">
        <x:v>175465</x:v>
      </x:c>
      <x:c r="L1107" s="23">
        <x:v>145</x:v>
      </x:c>
    </x:row>
    <x:row r="1108">
      <x:c r="A1108" s="18" t="s">
        <x:v>2484</x:v>
      </x:c>
      <x:c r="B1108" s="19" t="s">
        <x:v>2485</x:v>
      </x:c>
      <x:c r="C1108" s="20">
        <x:v>39269099</x:v>
      </x:c>
      <x:c r="D1108" s="20">
        <x:v>26.8</x:v>
      </x:c>
      <x:c r="E1108" s="18" t="s">
        <x:v>227</x:v>
      </x:c>
      <x:c r="F1108" s="19" t="s">
        <x:v>41</x:v>
      </x:c>
      <x:c r="G1108" s="20">
        <x:v>0</x:v>
      </x:c>
      <x:c r="H1108" s="21"/>
      <x:c r="I1108" s="21"/>
      <x:c r="J1108" s="23">
        <x:v>4</x:v>
      </x:c>
      <x:c r="K1108" s="23">
        <x:v>784.55</x:v>
      </x:c>
      <x:c r="L1108" s="23">
        <x:v>0</x:v>
      </x:c>
    </x:row>
    <x:row r="1109">
      <x:c r="A1109" s="18" t="s">
        <x:v>2486</x:v>
      </x:c>
      <x:c r="B1109" s="19" t="s">
        <x:v>2487</x:v>
      </x:c>
      <x:c r="C1109" s="20">
        <x:v>44111400</x:v>
      </x:c>
      <x:c r="D1109" s="20">
        <x:v>4500</x:v>
      </x:c>
      <x:c r="E1109" s="18" t="s">
        <x:v>227</x:v>
      </x:c>
      <x:c r="F1109" s="19" t="s">
        <x:v>1224</x:v>
      </x:c>
      <x:c r="G1109" s="20">
        <x:v>0</x:v>
      </x:c>
      <x:c r="H1109" s="21"/>
      <x:c r="I1109" s="21" t="s">
        <x:v>2118</x:v>
      </x:c>
      <x:c r="J1109" s="22">
        <x:v>0</x:v>
      </x:c>
      <x:c r="K1109" s="22">
        <x:v>0</x:v>
      </x:c>
      <x:c r="L1109" s="23">
        <x:v>0</x:v>
      </x:c>
    </x:row>
    <x:row r="1110">
      <x:c r="A1110" s="18" t="s">
        <x:v>2488</x:v>
      </x:c>
      <x:c r="B1110" s="19" t="s">
        <x:v>2489</x:v>
      </x:c>
      <x:c r="C1110" s="20">
        <x:v>44111400</x:v>
      </x:c>
      <x:c r="D1110" s="20">
        <x:v>85</x:v>
      </x:c>
      <x:c r="E1110" s="18" t="s">
        <x:v>227</x:v>
      </x:c>
      <x:c r="F1110" s="19" t="s">
        <x:v>11</x:v>
      </x:c>
      <x:c r="G1110" s="20">
        <x:v>1784.7</x:v>
      </x:c>
      <x:c r="H1110" s="21"/>
      <x:c r="I1110" s="26" t="s">
        <x:v>2118</x:v>
      </x:c>
      <x:c r="J1110" s="22">
        <x:v>0</x:v>
      </x:c>
      <x:c r="K1110" s="22">
        <x:v>0</x:v>
      </x:c>
      <x:c r="L1110" s="23">
        <x:v>19</x:v>
      </x:c>
    </x:row>
    <x:row r="1111">
      <x:c r="A1111" s="18" t="s">
        <x:v>2490</x:v>
      </x:c>
      <x:c r="B1111" s="19" t="s">
        <x:v>2491</x:v>
      </x:c>
      <x:c r="C1111" s="20">
        <x:v>44111400</x:v>
      </x:c>
      <x:c r="D1111" s="20">
        <x:v>18</x:v>
      </x:c>
      <x:c r="E1111" s="18" t="s">
        <x:v>227</x:v>
      </x:c>
      <x:c r="F1111" s="19" t="s">
        <x:v>11</x:v>
      </x:c>
      <x:c r="G1111" s="20">
        <x:v>1784.7</x:v>
      </x:c>
      <x:c r="H1111" s="21"/>
      <x:c r="I1111" s="26" t="s">
        <x:v>2118</x:v>
      </x:c>
      <x:c r="J1111" s="23">
        <x:v>2</x:v>
      </x:c>
      <x:c r="K1111" s="23">
        <x:v>3572.67</x:v>
      </x:c>
      <x:c r="L1111" s="23">
        <x:v>6</x:v>
      </x:c>
    </x:row>
    <x:row r="1112">
      <x:c r="A1112" s="18" t="s">
        <x:v>2492</x:v>
      </x:c>
      <x:c r="B1112" s="19" t="s">
        <x:v>2493</x:v>
      </x:c>
      <x:c r="C1112" s="20">
        <x:v>44111400</x:v>
      </x:c>
      <x:c r="D1112" s="20">
        <x:v>18</x:v>
      </x:c>
      <x:c r="E1112" s="18" t="s">
        <x:v>227</x:v>
      </x:c>
      <x:c r="F1112" s="19" t="s">
        <x:v>11</x:v>
      </x:c>
      <x:c r="G1112" s="20">
        <x:v>0</x:v>
      </x:c>
      <x:c r="H1112" s="21"/>
      <x:c r="I1112" s="21"/>
      <x:c r="J1112" s="23">
        <x:v>18</x:v>
      </x:c>
      <x:c r="K1112" s="23">
        <x:v>30237.74</x:v>
      </x:c>
      <x:c r="L1112" s="23">
        <x:v>0</x:v>
      </x:c>
    </x:row>
    <x:row r="1113">
      <x:c r="A1113" s="18" t="s">
        <x:v>2494</x:v>
      </x:c>
      <x:c r="B1113" s="19" t="s">
        <x:v>2495</x:v>
      </x:c>
      <x:c r="C1113" s="20">
        <x:v>44111400</x:v>
      </x:c>
      <x:c r="D1113" s="20">
        <x:v>19.55</x:v>
      </x:c>
      <x:c r="E1113" s="18" t="s">
        <x:v>227</x:v>
      </x:c>
      <x:c r="F1113" s="19" t="s">
        <x:v>11</x:v>
      </x:c>
      <x:c r="G1113" s="20">
        <x:v>934.84</x:v>
      </x:c>
      <x:c r="H1113" s="21"/>
      <x:c r="I1113" s="26" t="s">
        <x:v>2118</x:v>
      </x:c>
      <x:c r="J1113" s="23">
        <x:v>7</x:v>
      </x:c>
      <x:c r="K1113" s="23">
        <x:v>12495</x:v>
      </x:c>
      <x:c r="L1113" s="23">
        <x:v>15</x:v>
      </x:c>
    </x:row>
    <x:row r="1114">
      <x:c r="A1114" s="18" t="s">
        <x:v>2496</x:v>
      </x:c>
      <x:c r="B1114" s="19" t="s">
        <x:v>2497</x:v>
      </x:c>
      <x:c r="C1114" s="20">
        <x:v>44111400</x:v>
      </x:c>
      <x:c r="D1114" s="20">
        <x:v>11.36</x:v>
      </x:c>
      <x:c r="E1114" s="18" t="s">
        <x:v>227</x:v>
      </x:c>
      <x:c r="F1114" s="19" t="s">
        <x:v>11</x:v>
      </x:c>
      <x:c r="G1114" s="20">
        <x:v>0</x:v>
      </x:c>
      <x:c r="H1114" s="21"/>
      <x:c r="I1114" s="21"/>
      <x:c r="J1114" s="23">
        <x:v>227</x:v>
      </x:c>
      <x:c r="K1114" s="23">
        <x:v>572023.22</x:v>
      </x:c>
      <x:c r="L1114" s="23">
        <x:v>61</x:v>
      </x:c>
    </x:row>
    <x:row r="1115">
      <x:c r="A1115" s="18" t="s">
        <x:v>2498</x:v>
      </x:c>
      <x:c r="B1115" s="19" t="s">
        <x:v>2499</x:v>
      </x:c>
      <x:c r="C1115" s="20">
        <x:v>83024200</x:v>
      </x:c>
      <x:c r="D1115" s="20">
        <x:v>11.36</x:v>
      </x:c>
      <x:c r="E1115" s="18" t="s">
        <x:v>227</x:v>
      </x:c>
      <x:c r="F1115" s="19" t="s">
        <x:v>82</x:v>
      </x:c>
      <x:c r="G1115" s="20">
        <x:v>0</x:v>
      </x:c>
      <x:c r="H1115" s="21"/>
      <x:c r="I1115" s="21"/>
      <x:c r="J1115" s="23">
        <x:v>9</x:v>
      </x:c>
      <x:c r="K1115" s="23">
        <x:v>39648.230000000003</x:v>
      </x:c>
      <x:c r="L1115" s="23">
        <x:v>8</x:v>
      </x:c>
    </x:row>
    <x:row r="1116">
      <x:c r="A1116" s="18" t="s">
        <x:v>2500</x:v>
      </x:c>
      <x:c r="B1116" s="19" t="s">
        <x:v>2501</x:v>
      </x:c>
      <x:c r="C1116" s="20">
        <x:v>83024200</x:v>
      </x:c>
      <x:c r="D1116" s="20">
        <x:v>852</x:v>
      </x:c>
      <x:c r="E1116" s="18" t="s">
        <x:v>227</x:v>
      </x:c>
      <x:c r="F1116" s="19" t="s">
        <x:v>82</x:v>
      </x:c>
      <x:c r="G1116" s="20">
        <x:v>0</x:v>
      </x:c>
      <x:c r="H1116" s="21"/>
      <x:c r="I1116" s="21"/>
      <x:c r="J1116" s="23">
        <x:v>27</x:v>
      </x:c>
      <x:c r="K1116" s="23">
        <x:v>127846.27</x:v>
      </x:c>
      <x:c r="L1116" s="23">
        <x:v>25</x:v>
      </x:c>
    </x:row>
    <x:row r="1117">
      <x:c r="A1117" s="18" t="s">
        <x:v>2502</x:v>
      </x:c>
      <x:c r="B1117" s="19" t="s">
        <x:v>2503</x:v>
      </x:c>
      <x:c r="C1117" s="20">
        <x:v>83024200</x:v>
      </x:c>
      <x:c r="D1117" s="20">
        <x:v>1975</x:v>
      </x:c>
      <x:c r="E1117" s="18" t="s">
        <x:v>227</x:v>
      </x:c>
      <x:c r="F1117" s="19" t="s">
        <x:v>82</x:v>
      </x:c>
      <x:c r="G1117" s="20">
        <x:v>0</x:v>
      </x:c>
      <x:c r="H1117" s="21"/>
      <x:c r="I1117" s="21"/>
      <x:c r="J1117" s="23">
        <x:v>11</x:v>
      </x:c>
      <x:c r="K1117" s="23">
        <x:v>38241.93</x:v>
      </x:c>
      <x:c r="L1117" s="23">
        <x:v>11</x:v>
      </x:c>
    </x:row>
    <x:row r="1118">
      <x:c r="A1118" s="18" t="s">
        <x:v>2504</x:v>
      </x:c>
      <x:c r="B1118" s="19" t="s">
        <x:v>2505</x:v>
      </x:c>
      <x:c r="C1118" s="20">
        <x:v>83024200</x:v>
      </x:c>
      <x:c r="D1118" s="20">
        <x:v>2260</x:v>
      </x:c>
      <x:c r="E1118" s="18" t="s">
        <x:v>227</x:v>
      </x:c>
      <x:c r="F1118" s="19" t="s">
        <x:v>11</x:v>
      </x:c>
      <x:c r="G1118" s="20">
        <x:v>553</x:v>
      </x:c>
      <x:c r="H1118" s="21"/>
      <x:c r="I1118" s="26" t="s">
        <x:v>1036</x:v>
      </x:c>
      <x:c r="J1118" s="23">
        <x:v>100</x:v>
      </x:c>
      <x:c r="K1118" s="23">
        <x:v>29309</x:v>
      </x:c>
      <x:c r="L1118" s="23">
        <x:v>70</x:v>
      </x:c>
    </x:row>
    <x:row r="1119">
      <x:c r="A1119" s="18" t="s">
        <x:v>2506</x:v>
      </x:c>
      <x:c r="B1119" s="19" t="s">
        <x:v>2507</x:v>
      </x:c>
      <x:c r="C1119" s="20">
        <x:v>83024200</x:v>
      </x:c>
      <x:c r="D1119" s="20">
        <x:v>2145</x:v>
      </x:c>
      <x:c r="E1119" s="18" t="s">
        <x:v>227</x:v>
      </x:c>
      <x:c r="F1119" s="19" t="s">
        <x:v>11</x:v>
      </x:c>
      <x:c r="G1119" s="20">
        <x:v>553</x:v>
      </x:c>
      <x:c r="H1119" s="21"/>
      <x:c r="I1119" s="26" t="s">
        <x:v>1036</x:v>
      </x:c>
      <x:c r="J1119" s="23">
        <x:v>100</x:v>
      </x:c>
      <x:c r="K1119" s="23">
        <x:v>29309</x:v>
      </x:c>
      <x:c r="L1119" s="23">
        <x:v>70</x:v>
      </x:c>
    </x:row>
    <x:row r="1120">
      <x:c r="A1120" s="18" t="s">
        <x:v>2508</x:v>
      </x:c>
      <x:c r="B1120" s="19" t="s">
        <x:v>2509</x:v>
      </x:c>
      <x:c r="C1120" s="20">
        <x:v>85165000</x:v>
      </x:c>
      <x:c r="D1120" s="20">
        <x:v>1410</x:v>
      </x:c>
      <x:c r="E1120" s="18" t="s">
        <x:v>227</x:v>
      </x:c>
      <x:c r="F1120" s="19" t="s">
        <x:v>11</x:v>
      </x:c>
      <x:c r="G1120" s="20">
        <x:v>13789</x:v>
      </x:c>
      <x:c r="H1120" s="21"/>
      <x:c r="I1120" s="26" t="s">
        <x:v>866</x:v>
      </x:c>
      <x:c r="J1120" s="22">
        <x:v>0</x:v>
      </x:c>
      <x:c r="K1120" s="22">
        <x:v>0</x:v>
      </x:c>
      <x:c r="L1120" s="23">
        <x:v>0</x:v>
      </x:c>
    </x:row>
    <x:row r="1121">
      <x:c r="A1121" s="18" t="s">
        <x:v>2510</x:v>
      </x:c>
      <x:c r="B1121" s="19" t="s">
        <x:v>2511</x:v>
      </x:c>
      <x:c r="C1121" s="20">
        <x:v>83024200</x:v>
      </x:c>
      <x:c r="D1121" s="20">
        <x:v>447.4</x:v>
      </x:c>
      <x:c r="E1121" s="18" t="s">
        <x:v>227</x:v>
      </x:c>
      <x:c r="F1121" s="19" t="s">
        <x:v>11</x:v>
      </x:c>
      <x:c r="G1121" s="20">
        <x:v>0</x:v>
      </x:c>
      <x:c r="H1121" s="21"/>
      <x:c r="I1121" s="21"/>
      <x:c r="J1121" s="22">
        <x:v>0</x:v>
      </x:c>
      <x:c r="K1121" s="22">
        <x:v>0</x:v>
      </x:c>
      <x:c r="L1121" s="23">
        <x:v>0</x:v>
      </x:c>
    </x:row>
    <x:row r="1122">
      <x:c r="A1122" s="18" t="s">
        <x:v>2512</x:v>
      </x:c>
      <x:c r="B1122" s="19" t="s">
        <x:v>2513</x:v>
      </x:c>
      <x:c r="C1122" s="20">
        <x:v>83024200</x:v>
      </x:c>
      <x:c r="D1122" s="20">
        <x:v>326.18</x:v>
      </x:c>
      <x:c r="E1122" s="18" t="s">
        <x:v>227</x:v>
      </x:c>
      <x:c r="F1122" s="19" t="s">
        <x:v>11</x:v>
      </x:c>
      <x:c r="G1122" s="20">
        <x:v>0</x:v>
      </x:c>
      <x:c r="H1122" s="21"/>
      <x:c r="I1122" s="21"/>
      <x:c r="J1122" s="22">
        <x:v>0</x:v>
      </x:c>
      <x:c r="K1122" s="22">
        <x:v>0</x:v>
      </x:c>
      <x:c r="L1122" s="23">
        <x:v>0</x:v>
      </x:c>
    </x:row>
    <x:row r="1123">
      <x:c r="A1123" s="18" t="s">
        <x:v>2514</x:v>
      </x:c>
      <x:c r="B1123" s="19" t="s">
        <x:v>2515</x:v>
      </x:c>
      <x:c r="C1123" s="20">
        <x:v>83024200</x:v>
      </x:c>
      <x:c r="D1123" s="20">
        <x:v>130.75</x:v>
      </x:c>
      <x:c r="E1123" s="18" t="s">
        <x:v>227</x:v>
      </x:c>
      <x:c r="F1123" s="19" t="s">
        <x:v>11</x:v>
      </x:c>
      <x:c r="G1123" s="20">
        <x:v>0</x:v>
      </x:c>
      <x:c r="H1123" s="21"/>
      <x:c r="I1123" s="21"/>
      <x:c r="J1123" s="22">
        <x:v>0</x:v>
      </x:c>
      <x:c r="K1123" s="22">
        <x:v>0</x:v>
      </x:c>
      <x:c r="L1123" s="23">
        <x:v>0</x:v>
      </x:c>
    </x:row>
    <x:row r="1124">
      <x:c r="A1124" s="18" t="s">
        <x:v>2516</x:v>
      </x:c>
      <x:c r="B1124" s="19" t="s">
        <x:v>2517</x:v>
      </x:c>
      <x:c r="C1124" s="20">
        <x:v>83024200</x:v>
      </x:c>
      <x:c r="D1124" s="20">
        <x:v>335.79</x:v>
      </x:c>
      <x:c r="E1124" s="18" t="s">
        <x:v>227</x:v>
      </x:c>
      <x:c r="F1124" s="19" t="s">
        <x:v>11</x:v>
      </x:c>
      <x:c r="G1124" s="20">
        <x:v>4.2</x:v>
      </x:c>
      <x:c r="H1124" s="21"/>
      <x:c r="I1124" s="26" t="s">
        <x:v>2518</x:v>
      </x:c>
      <x:c r="J1124" s="23">
        <x:v>82092</x:v>
      </x:c>
      <x:c r="K1124" s="23">
        <x:v>420236.41</x:v>
      </x:c>
      <x:c r="L1124" s="23">
        <x:v>22416</x:v>
      </x:c>
    </x:row>
    <x:row r="1125">
      <x:c r="A1125" s="18" t="s">
        <x:v>2519</x:v>
      </x:c>
      <x:c r="B1125" s="19" t="s">
        <x:v>2520</x:v>
      </x:c>
      <x:c r="C1125" s="20">
        <x:v>83024200</x:v>
      </x:c>
      <x:c r="D1125" s="20">
        <x:v>228.05</x:v>
      </x:c>
      <x:c r="E1125" s="18" t="s">
        <x:v>227</x:v>
      </x:c>
      <x:c r="F1125" s="19" t="s">
        <x:v>82</x:v>
      </x:c>
      <x:c r="G1125" s="20">
        <x:v>0</x:v>
      </x:c>
      <x:c r="H1125" s="21"/>
      <x:c r="I1125" s="21"/>
      <x:c r="J1125" s="22">
        <x:v>0</x:v>
      </x:c>
      <x:c r="K1125" s="22">
        <x:v>0</x:v>
      </x:c>
      <x:c r="L1125" s="23">
        <x:v>0</x:v>
      </x:c>
    </x:row>
    <x:row r="1126">
      <x:c r="A1126" s="18" t="s">
        <x:v>2521</x:v>
      </x:c>
      <x:c r="B1126" s="19" t="s">
        <x:v>2522</x:v>
      </x:c>
      <x:c r="C1126" s="20">
        <x:v>83024200</x:v>
      </x:c>
      <x:c r="D1126" s="20">
        <x:v>488</x:v>
      </x:c>
      <x:c r="E1126" s="18" t="s">
        <x:v>227</x:v>
      </x:c>
      <x:c r="F1126" s="19" t="s">
        <x:v>82</x:v>
      </x:c>
      <x:c r="G1126" s="20">
        <x:v>0</x:v>
      </x:c>
      <x:c r="H1126" s="21"/>
      <x:c r="I1126" s="21"/>
      <x:c r="J1126" s="23">
        <x:v>2</x:v>
      </x:c>
      <x:c r="K1126" s="23">
        <x:v>56378.26</x:v>
      </x:c>
      <x:c r="L1126" s="23">
        <x:v>1</x:v>
      </x:c>
    </x:row>
    <x:row r="1127">
      <x:c r="A1127" s="18" t="s">
        <x:v>2523</x:v>
      </x:c>
      <x:c r="B1127" s="19" t="s">
        <x:v>2524</x:v>
      </x:c>
      <x:c r="C1127" s="20">
        <x:v>83024200</x:v>
      </x:c>
      <x:c r="D1127" s="20">
        <x:v>4050</x:v>
      </x:c>
      <x:c r="E1127" s="18" t="s">
        <x:v>227</x:v>
      </x:c>
      <x:c r="F1127" s="19" t="s">
        <x:v>82</x:v>
      </x:c>
      <x:c r="G1127" s="20">
        <x:v>339.35</x:v>
      </x:c>
      <x:c r="H1127" s="21"/>
      <x:c r="I1127" s="26" t="s">
        <x:v>2217</x:v>
      </x:c>
      <x:c r="J1127" s="22">
        <x:v>0</x:v>
      </x:c>
      <x:c r="K1127" s="22">
        <x:v>0</x:v>
      </x:c>
      <x:c r="L1127" s="23">
        <x:v>3</x:v>
      </x:c>
    </x:row>
    <x:row r="1128">
      <x:c r="A1128" s="18" t="s">
        <x:v>2525</x:v>
      </x:c>
      <x:c r="B1128" s="19" t="s">
        <x:v>2526</x:v>
      </x:c>
      <x:c r="C1128" s="20">
        <x:v>39199090</x:v>
      </x:c>
      <x:c r="D1128" s="20">
        <x:v>14400</x:v>
      </x:c>
      <x:c r="E1128" s="18" t="s">
        <x:v>227</x:v>
      </x:c>
      <x:c r="F1128" s="19" t="s">
        <x:v>11</x:v>
      </x:c>
      <x:c r="G1128" s="20">
        <x:v>0</x:v>
      </x:c>
      <x:c r="H1128" s="21"/>
      <x:c r="I1128" s="21"/>
      <x:c r="J1128" s="22">
        <x:v>0</x:v>
      </x:c>
      <x:c r="K1128" s="22">
        <x:v>0</x:v>
      </x:c>
      <x:c r="L1128" s="23">
        <x:v>0</x:v>
      </x:c>
    </x:row>
    <x:row r="1129">
      <x:c r="A1129" s="18" t="s">
        <x:v>2527</x:v>
      </x:c>
      <x:c r="B1129" s="19" t="s">
        <x:v>2528</x:v>
      </x:c>
      <x:c r="C1129" s="20">
        <x:v>39199090</x:v>
      </x:c>
      <x:c r="D1129" s="20">
        <x:v>2268</x:v>
      </x:c>
      <x:c r="E1129" s="18" t="s">
        <x:v>227</x:v>
      </x:c>
      <x:c r="F1129" s="19" t="s">
        <x:v>11</x:v>
      </x:c>
      <x:c r="G1129" s="20">
        <x:v>0</x:v>
      </x:c>
      <x:c r="H1129" s="21"/>
      <x:c r="I1129" s="21"/>
      <x:c r="J1129" s="22">
        <x:v>0</x:v>
      </x:c>
      <x:c r="K1129" s="22">
        <x:v>0</x:v>
      </x:c>
      <x:c r="L1129" s="23">
        <x:v>0</x:v>
      </x:c>
    </x:row>
    <x:row r="1130">
      <x:c r="A1130" s="18" t="s">
        <x:v>2529</x:v>
      </x:c>
      <x:c r="B1130" s="19" t="s">
        <x:v>2530</x:v>
      </x:c>
      <x:c r="C1130" s="20">
        <x:v>94034000</x:v>
      </x:c>
      <x:c r="D1130" s="20">
        <x:v>2000.16</x:v>
      </x:c>
      <x:c r="E1130" s="18" t="s">
        <x:v>227</x:v>
      </x:c>
      <x:c r="F1130" s="19" t="s">
        <x:v>82</x:v>
      </x:c>
      <x:c r="G1130" s="20">
        <x:v>0</x:v>
      </x:c>
      <x:c r="H1130" s="21"/>
      <x:c r="I1130" s="21"/>
      <x:c r="J1130" s="22">
        <x:v>0</x:v>
      </x:c>
      <x:c r="K1130" s="22">
        <x:v>0</x:v>
      </x:c>
      <x:c r="L1130" s="23">
        <x:v>0</x:v>
      </x:c>
    </x:row>
    <x:row r="1131">
      <x:c r="A1131" s="18" t="s">
        <x:v>2531</x:v>
      </x:c>
      <x:c r="B1131" s="19" t="s">
        <x:v>2532</x:v>
      </x:c>
      <x:c r="C1131" s="20">
        <x:v>84283990</x:v>
      </x:c>
      <x:c r="D1131" s="20">
        <x:v>7.56</x:v>
      </x:c>
      <x:c r="E1131" s="18" t="s">
        <x:v>227</x:v>
      </x:c>
      <x:c r="F1131" s="19" t="s">
        <x:v>11</x:v>
      </x:c>
      <x:c r="G1131" s="20">
        <x:v>0</x:v>
      </x:c>
      <x:c r="H1131" s="21"/>
      <x:c r="I1131" s="21"/>
      <x:c r="J1131" s="23">
        <x:v>1</x:v>
      </x:c>
      <x:c r="K1131" s="23">
        <x:v>47843.95</x:v>
      </x:c>
      <x:c r="L1131" s="23">
        <x:v>1</x:v>
      </x:c>
    </x:row>
    <x:row r="1132">
      <x:c r="A1132" s="18" t="s">
        <x:v>2533</x:v>
      </x:c>
      <x:c r="B1132" s="19" t="s">
        <x:v>2534</x:v>
      </x:c>
      <x:c r="C1132" s="20">
        <x:v>39269099</x:v>
      </x:c>
      <x:c r="D1132" s="20">
        <x:v>584</x:v>
      </x:c>
      <x:c r="E1132" s="18" t="s">
        <x:v>227</x:v>
      </x:c>
      <x:c r="F1132" s="19" t="s">
        <x:v>11</x:v>
      </x:c>
      <x:c r="G1132" s="20">
        <x:v>2708</x:v>
      </x:c>
      <x:c r="H1132" s="21"/>
      <x:c r="I1132" s="26" t="s">
        <x:v>255</x:v>
      </x:c>
      <x:c r="J1132" s="22">
        <x:v>0</x:v>
      </x:c>
      <x:c r="K1132" s="22">
        <x:v>0</x:v>
      </x:c>
      <x:c r="L1132" s="23">
        <x:v>0</x:v>
      </x:c>
    </x:row>
    <x:row r="1133">
      <x:c r="A1133" s="18" t="s">
        <x:v>2535</x:v>
      </x:c>
      <x:c r="B1133" s="19" t="s">
        <x:v>2536</x:v>
      </x:c>
      <x:c r="C1133" s="20">
        <x:v>91149092</x:v>
      </x:c>
      <x:c r="D1133" s="20">
        <x:v>2208</x:v>
      </x:c>
      <x:c r="E1133" s="18" t="s">
        <x:v>227</x:v>
      </x:c>
      <x:c r="F1133" s="19" t="s">
        <x:v>82</x:v>
      </x:c>
      <x:c r="G1133" s="20">
        <x:v>0</x:v>
      </x:c>
      <x:c r="H1133" s="21"/>
      <x:c r="I1133" s="21"/>
      <x:c r="J1133" s="22">
        <x:v>0</x:v>
      </x:c>
      <x:c r="K1133" s="22">
        <x:v>0</x:v>
      </x:c>
      <x:c r="L1133" s="23">
        <x:v>0</x:v>
      </x:c>
    </x:row>
    <x:row r="1134">
      <x:c r="A1134" s="18" t="s">
        <x:v>2537</x:v>
      </x:c>
      <x:c r="B1134" s="19" t="s">
        <x:v>2538</x:v>
      </x:c>
      <x:c r="C1134" s="20">
        <x:v>83024900</x:v>
      </x:c>
      <x:c r="D1134" s="20">
        <x:v>2848</x:v>
      </x:c>
      <x:c r="E1134" s="18" t="s">
        <x:v>227</x:v>
      </x:c>
      <x:c r="F1134" s="19" t="s">
        <x:v>82</x:v>
      </x:c>
      <x:c r="G1134" s="20">
        <x:v>6189.5</x:v>
      </x:c>
      <x:c r="H1134" s="21"/>
      <x:c r="I1134" s="26" t="s">
        <x:v>1209</x:v>
      </x:c>
      <x:c r="J1134" s="22">
        <x:v>0</x:v>
      </x:c>
      <x:c r="K1134" s="22">
        <x:v>0</x:v>
      </x:c>
      <x:c r="L1134" s="23">
        <x:v>1</x:v>
      </x:c>
    </x:row>
    <x:row r="1135">
      <x:c r="A1135" s="18" t="s">
        <x:v>2539</x:v>
      </x:c>
      <x:c r="B1135" s="19" t="s">
        <x:v>2540</x:v>
      </x:c>
      <x:c r="C1135" s="20">
        <x:v>83024900</x:v>
      </x:c>
      <x:c r="D1135" s="20">
        <x:v>9.75</x:v>
      </x:c>
      <x:c r="E1135" s="18" t="s">
        <x:v>227</x:v>
      </x:c>
      <x:c r="F1135" s="19" t="s">
        <x:v>82</x:v>
      </x:c>
      <x:c r="G1135" s="20">
        <x:v>0</x:v>
      </x:c>
      <x:c r="H1135" s="21"/>
      <x:c r="I1135" s="21"/>
      <x:c r="J1135" s="23">
        <x:v>2</x:v>
      </x:c>
      <x:c r="K1135" s="23">
        <x:v>11463.54</x:v>
      </x:c>
      <x:c r="L1135" s="23">
        <x:v>0</x:v>
      </x:c>
    </x:row>
    <x:row r="1136">
      <x:c r="A1136" s="18" t="s">
        <x:v>2541</x:v>
      </x:c>
      <x:c r="B1136" s="19" t="s">
        <x:v>2542</x:v>
      </x:c>
      <x:c r="C1136" s="20">
        <x:v>84272000</x:v>
      </x:c>
      <x:c r="D1136" s="20">
        <x:v>10.9</x:v>
      </x:c>
      <x:c r="E1136" s="18" t="s">
        <x:v>227</x:v>
      </x:c>
      <x:c r="F1136" s="19" t="s">
        <x:v>82</x:v>
      </x:c>
      <x:c r="G1136" s="20">
        <x:v>0</x:v>
      </x:c>
      <x:c r="H1136" s="21"/>
      <x:c r="I1136" s="21"/>
      <x:c r="J1136" s="22">
        <x:v>0</x:v>
      </x:c>
      <x:c r="K1136" s="22">
        <x:v>0</x:v>
      </x:c>
      <x:c r="L1136" s="23">
        <x:v>0</x:v>
      </x:c>
    </x:row>
    <x:row r="1137">
      <x:c r="A1137" s="18" t="s">
        <x:v>2543</x:v>
      </x:c>
      <x:c r="B1137" s="19" t="s">
        <x:v>2544</x:v>
      </x:c>
      <x:c r="C1137" s="20">
        <x:v>85141000</x:v>
      </x:c>
      <x:c r="D1137" s="20">
        <x:v>1670</x:v>
      </x:c>
      <x:c r="E1137" s="18" t="s">
        <x:v>227</x:v>
      </x:c>
      <x:c r="F1137" s="19" t="s">
        <x:v>11</x:v>
      </x:c>
      <x:c r="G1137" s="20">
        <x:v>19514</x:v>
      </x:c>
      <x:c r="H1137" s="21"/>
      <x:c r="I1137" s="26" t="s">
        <x:v>866</x:v>
      </x:c>
      <x:c r="J1137" s="22">
        <x:v>0</x:v>
      </x:c>
      <x:c r="K1137" s="22">
        <x:v>0</x:v>
      </x:c>
      <x:c r="L1137" s="23">
        <x:v>0</x:v>
      </x:c>
    </x:row>
    <x:row r="1138">
      <x:c r="A1138" s="18" t="s">
        <x:v>2545</x:v>
      </x:c>
      <x:c r="B1138" s="19" t="s">
        <x:v>2546</x:v>
      </x:c>
      <x:c r="C1138" s="20">
        <x:v>85141000</x:v>
      </x:c>
      <x:c r="D1138" s="20">
        <x:v>1225</x:v>
      </x:c>
      <x:c r="E1138" s="18" t="s">
        <x:v>227</x:v>
      </x:c>
      <x:c r="F1138" s="19" t="s">
        <x:v>11</x:v>
      </x:c>
      <x:c r="G1138" s="20">
        <x:v>0</x:v>
      </x:c>
      <x:c r="H1138" s="21"/>
      <x:c r="I1138" s="21"/>
      <x:c r="J1138" s="22">
        <x:v>0</x:v>
      </x:c>
      <x:c r="K1138" s="22">
        <x:v>0</x:v>
      </x:c>
      <x:c r="L1138" s="23">
        <x:v>0</x:v>
      </x:c>
    </x:row>
    <x:row r="1139">
      <x:c r="A1139" s="18" t="s">
        <x:v>2547</x:v>
      </x:c>
      <x:c r="B1139" s="19" t="s">
        <x:v>2548</x:v>
      </x:c>
      <x:c r="C1139" s="20">
        <x:v>85141000</x:v>
      </x:c>
      <x:c r="D1139" s="20">
        <x:v>9099.81</x:v>
      </x:c>
      <x:c r="E1139" s="18" t="s">
        <x:v>227</x:v>
      </x:c>
      <x:c r="F1139" s="19" t="s">
        <x:v>87</x:v>
      </x:c>
      <x:c r="G1139" s="20">
        <x:v>0</x:v>
      </x:c>
      <x:c r="H1139" s="21"/>
      <x:c r="I1139" s="21"/>
      <x:c r="J1139" s="22">
        <x:v>0</x:v>
      </x:c>
      <x:c r="K1139" s="22">
        <x:v>0</x:v>
      </x:c>
      <x:c r="L1139" s="23">
        <x:v>0</x:v>
      </x:c>
    </x:row>
    <x:row r="1140">
      <x:c r="A1140" s="18" t="s">
        <x:v>2549</x:v>
      </x:c>
      <x:c r="B1140" s="19" t="s">
        <x:v>2550</x:v>
      </x:c>
      <x:c r="C1140" s="20">
        <x:v>32089090</x:v>
      </x:c>
      <x:c r="D1140" s="20">
        <x:v>4207.68</x:v>
      </x:c>
      <x:c r="E1140" s="18" t="s">
        <x:v>227</x:v>
      </x:c>
      <x:c r="F1140" s="19" t="s">
        <x:v>2551</x:v>
      </x:c>
      <x:c r="G1140" s="20">
        <x:v>548</x:v>
      </x:c>
      <x:c r="H1140" s="21"/>
      <x:c r="I1140" s="26" t="s">
        <x:v>272</x:v>
      </x:c>
      <x:c r="J1140" s="22">
        <x:v>0</x:v>
      </x:c>
      <x:c r="K1140" s="22">
        <x:v>0</x:v>
      </x:c>
      <x:c r="L1140" s="23">
        <x:v>2</x:v>
      </x:c>
    </x:row>
    <x:row r="1141">
      <x:c r="A1141" s="18" t="s">
        <x:v>2552</x:v>
      </x:c>
      <x:c r="B1141" s="19" t="s">
        <x:v>2553</x:v>
      </x:c>
      <x:c r="C1141" s="20">
        <x:v>32089090</x:v>
      </x:c>
      <x:c r="D1141" s="20">
        <x:v>1512.27</x:v>
      </x:c>
      <x:c r="E1141" s="18" t="s">
        <x:v>227</x:v>
      </x:c>
      <x:c r="F1141" s="19" t="s">
        <x:v>2551</x:v>
      </x:c>
      <x:c r="G1141" s="20">
        <x:v>0</x:v>
      </x:c>
      <x:c r="H1141" s="21"/>
      <x:c r="I1141" s="21"/>
      <x:c r="J1141" s="22">
        <x:v>0</x:v>
      </x:c>
      <x:c r="K1141" s="22">
        <x:v>0</x:v>
      </x:c>
      <x:c r="L1141" s="23">
        <x:v>0</x:v>
      </x:c>
    </x:row>
    <x:row r="1142">
      <x:c r="A1142" s="18" t="s">
        <x:v>2554</x:v>
      </x:c>
      <x:c r="B1142" s="19" t="s">
        <x:v>2555</x:v>
      </x:c>
      <x:c r="C1142" s="20">
        <x:v>32089090</x:v>
      </x:c>
      <x:c r="D1142" s="20">
        <x:v>935.82</x:v>
      </x:c>
      <x:c r="E1142" s="18" t="s">
        <x:v>227</x:v>
      </x:c>
      <x:c r="F1142" s="19" t="s">
        <x:v>2551</x:v>
      </x:c>
      <x:c r="G1142" s="20">
        <x:v>0</x:v>
      </x:c>
      <x:c r="H1142" s="21"/>
      <x:c r="I1142" s="21"/>
      <x:c r="J1142" s="22">
        <x:v>0</x:v>
      </x:c>
      <x:c r="K1142" s="22">
        <x:v>0</x:v>
      </x:c>
      <x:c r="L1142" s="23">
        <x:v>0</x:v>
      </x:c>
    </x:row>
    <x:row r="1143">
      <x:c r="A1143" s="18" t="s">
        <x:v>2556</x:v>
      </x:c>
      <x:c r="B1143" s="19" t="s">
        <x:v>2557</x:v>
      </x:c>
      <x:c r="C1143" s="20">
        <x:v>32089090</x:v>
      </x:c>
      <x:c r="D1143" s="20">
        <x:v>939.6</x:v>
      </x:c>
      <x:c r="E1143" s="18" t="s">
        <x:v>227</x:v>
      </x:c>
      <x:c r="F1143" s="19" t="s">
        <x:v>2551</x:v>
      </x:c>
      <x:c r="G1143" s="20">
        <x:v>0</x:v>
      </x:c>
      <x:c r="H1143" s="21"/>
      <x:c r="I1143" s="21"/>
      <x:c r="J1143" s="22">
        <x:v>0</x:v>
      </x:c>
      <x:c r="K1143" s="22">
        <x:v>0</x:v>
      </x:c>
      <x:c r="L1143" s="23">
        <x:v>0</x:v>
      </x:c>
    </x:row>
    <x:row r="1144">
      <x:c r="A1144" s="18" t="s">
        <x:v>2558</x:v>
      </x:c>
      <x:c r="B1144" s="19" t="s">
        <x:v>2559</x:v>
      </x:c>
      <x:c r="C1144" s="20">
        <x:v>32089090</x:v>
      </x:c>
      <x:c r="D1144" s="20">
        <x:v>116.63</x:v>
      </x:c>
      <x:c r="E1144" s="18" t="s">
        <x:v>227</x:v>
      </x:c>
      <x:c r="F1144" s="19" t="s">
        <x:v>2551</x:v>
      </x:c>
      <x:c r="G1144" s="20">
        <x:v>0</x:v>
      </x:c>
      <x:c r="H1144" s="21"/>
      <x:c r="I1144" s="21"/>
      <x:c r="J1144" s="22">
        <x:v>0</x:v>
      </x:c>
      <x:c r="K1144" s="22">
        <x:v>0</x:v>
      </x:c>
      <x:c r="L1144" s="23">
        <x:v>0</x:v>
      </x:c>
    </x:row>
    <x:row r="1145">
      <x:c r="A1145" s="18" t="s">
        <x:v>2560</x:v>
      </x:c>
      <x:c r="B1145" s="19" t="s">
        <x:v>2561</x:v>
      </x:c>
      <x:c r="C1145" s="20">
        <x:v>32089090</x:v>
      </x:c>
      <x:c r="D1145" s="20">
        <x:v>4500</x:v>
      </x:c>
      <x:c r="E1145" s="18" t="s">
        <x:v>227</x:v>
      </x:c>
      <x:c r="F1145" s="19" t="s">
        <x:v>2551</x:v>
      </x:c>
      <x:c r="G1145" s="20">
        <x:v>1150</x:v>
      </x:c>
      <x:c r="H1145" s="21"/>
      <x:c r="I1145" s="26" t="s">
        <x:v>272</x:v>
      </x:c>
      <x:c r="J1145" s="22">
        <x:v>0</x:v>
      </x:c>
      <x:c r="K1145" s="22">
        <x:v>0</x:v>
      </x:c>
      <x:c r="L1145" s="23">
        <x:v>3</x:v>
      </x:c>
    </x:row>
    <x:row r="1146">
      <x:c r="A1146" s="18" t="s">
        <x:v>2562</x:v>
      </x:c>
      <x:c r="B1146" s="19" t="s">
        <x:v>2563</x:v>
      </x:c>
      <x:c r="C1146" s="20">
        <x:v>32089090</x:v>
      </x:c>
      <x:c r="D1146" s="20">
        <x:v>70</x:v>
      </x:c>
      <x:c r="E1146" s="18" t="s">
        <x:v>227</x:v>
      </x:c>
      <x:c r="F1146" s="19" t="s">
        <x:v>2551</x:v>
      </x:c>
      <x:c r="G1146" s="20">
        <x:v>0</x:v>
      </x:c>
      <x:c r="H1146" s="21"/>
      <x:c r="I1146" s="21"/>
      <x:c r="J1146" s="22">
        <x:v>0</x:v>
      </x:c>
      <x:c r="K1146" s="22">
        <x:v>0</x:v>
      </x:c>
      <x:c r="L1146" s="23">
        <x:v>0</x:v>
      </x:c>
    </x:row>
    <x:row r="1147">
      <x:c r="A1147" s="18" t="s">
        <x:v>2564</x:v>
      </x:c>
      <x:c r="B1147" s="19" t="s">
        <x:v>2565</x:v>
      </x:c>
      <x:c r="C1147" s="20">
        <x:v>32089090</x:v>
      </x:c>
      <x:c r="D1147" s="20">
        <x:v>167.39</x:v>
      </x:c>
      <x:c r="E1147" s="18" t="s">
        <x:v>227</x:v>
      </x:c>
      <x:c r="F1147" s="19" t="s">
        <x:v>2551</x:v>
      </x:c>
      <x:c r="G1147" s="20">
        <x:v>168</x:v>
      </x:c>
      <x:c r="H1147" s="21"/>
      <x:c r="I1147" s="26" t="s">
        <x:v>272</x:v>
      </x:c>
      <x:c r="J1147" s="22">
        <x:v>0</x:v>
      </x:c>
      <x:c r="K1147" s="22">
        <x:v>0</x:v>
      </x:c>
      <x:c r="L1147" s="23">
        <x:v>1</x:v>
      </x:c>
    </x:row>
    <x:row r="1148">
      <x:c r="A1148" s="18" t="s">
        <x:v>2566</x:v>
      </x:c>
      <x:c r="B1148" s="19" t="s">
        <x:v>2567</x:v>
      </x:c>
      <x:c r="C1148" s="20">
        <x:v>32089090</x:v>
      </x:c>
      <x:c r="D1148" s="20">
        <x:v>41.63</x:v>
      </x:c>
      <x:c r="E1148" s="18" t="s">
        <x:v>227</x:v>
      </x:c>
      <x:c r="F1148" s="19" t="s">
        <x:v>11</x:v>
      </x:c>
      <x:c r="G1148" s="20">
        <x:v>0</x:v>
      </x:c>
      <x:c r="H1148" s="21"/>
      <x:c r="I1148" s="21"/>
      <x:c r="J1148" s="23">
        <x:v>177</x:v>
      </x:c>
      <x:c r="K1148" s="23">
        <x:v>1265.55</x:v>
      </x:c>
      <x:c r="L1148" s="23">
        <x:v>173</x:v>
      </x:c>
    </x:row>
    <x:row r="1149">
      <x:c r="A1149" s="18" t="s">
        <x:v>2568</x:v>
      </x:c>
      <x:c r="B1149" s="19" t="s">
        <x:v>2569</x:v>
      </x:c>
      <x:c r="C1149" s="20">
        <x:v>48239090</x:v>
      </x:c>
      <x:c r="D1149" s="20">
        <x:v>54.71</x:v>
      </x:c>
      <x:c r="E1149" s="18" t="s">
        <x:v>227</x:v>
      </x:c>
      <x:c r="F1149" s="19" t="s">
        <x:v>87</x:v>
      </x:c>
      <x:c r="G1149" s="20">
        <x:v>0</x:v>
      </x:c>
      <x:c r="H1149" s="21"/>
      <x:c r="I1149" s="21"/>
      <x:c r="J1149" s="22">
        <x:v>0</x:v>
      </x:c>
      <x:c r="K1149" s="22">
        <x:v>0</x:v>
      </x:c>
      <x:c r="L1149" s="23">
        <x:v>0</x:v>
      </x:c>
    </x:row>
    <x:row r="1150">
      <x:c r="A1150" s="18" t="s">
        <x:v>2570</x:v>
      </x:c>
      <x:c r="B1150" s="19" t="s">
        <x:v>2571</x:v>
      </x:c>
      <x:c r="C1150" s="20">
        <x:v>83024200</x:v>
      </x:c>
      <x:c r="D1150" s="20">
        <x:v>1044.32</x:v>
      </x:c>
      <x:c r="E1150" s="18" t="s">
        <x:v>227</x:v>
      </x:c>
      <x:c r="F1150" s="19" t="s">
        <x:v>11</x:v>
      </x:c>
      <x:c r="G1150" s="20">
        <x:v>0</x:v>
      </x:c>
      <x:c r="H1150" s="21"/>
      <x:c r="I1150" s="21"/>
      <x:c r="J1150" s="22">
        <x:v>0</x:v>
      </x:c>
      <x:c r="K1150" s="22">
        <x:v>0</x:v>
      </x:c>
      <x:c r="L1150" s="23">
        <x:v>0</x:v>
      </x:c>
    </x:row>
    <x:row r="1151">
      <x:c r="A1151" s="18" t="s">
        <x:v>2572</x:v>
      </x:c>
      <x:c r="B1151" s="19" t="s">
        <x:v>2573</x:v>
      </x:c>
      <x:c r="C1151" s="20">
        <x:v>83024200</x:v>
      </x:c>
      <x:c r="D1151" s="20">
        <x:v>842.12</x:v>
      </x:c>
      <x:c r="E1151" s="18" t="s">
        <x:v>227</x:v>
      </x:c>
      <x:c r="F1151" s="19" t="s">
        <x:v>11</x:v>
      </x:c>
      <x:c r="G1151" s="20">
        <x:v>0</x:v>
      </x:c>
      <x:c r="H1151" s="21"/>
      <x:c r="I1151" s="21"/>
      <x:c r="J1151" s="22">
        <x:v>0</x:v>
      </x:c>
      <x:c r="K1151" s="22">
        <x:v>0</x:v>
      </x:c>
      <x:c r="L1151" s="23">
        <x:v>0</x:v>
      </x:c>
    </x:row>
    <x:row r="1152">
      <x:c r="A1152" s="18" t="s">
        <x:v>2574</x:v>
      </x:c>
      <x:c r="B1152" s="19" t="s">
        <x:v>2575</x:v>
      </x:c>
      <x:c r="C1152" s="20">
        <x:v>44109010</x:v>
      </x:c>
      <x:c r="D1152" s="20">
        <x:v>3318</x:v>
      </x:c>
      <x:c r="E1152" s="18" t="s">
        <x:v>227</x:v>
      </x:c>
      <x:c r="F1152" s="19" t="s">
        <x:v>11</x:v>
      </x:c>
      <x:c r="G1152" s="20">
        <x:v>1153.5</x:v>
      </x:c>
      <x:c r="H1152" s="21"/>
      <x:c r="I1152" s="26" t="s">
        <x:v>2118</x:v>
      </x:c>
      <x:c r="J1152" s="23">
        <x:v>465</x:v>
      </x:c>
      <x:c r="K1152" s="23">
        <x:v>536382.15</x:v>
      </x:c>
      <x:c r="L1152" s="23">
        <x:v>111</x:v>
      </x:c>
    </x:row>
    <x:row r="1153">
      <x:c r="A1153" s="18" t="s">
        <x:v>2576</x:v>
      </x:c>
      <x:c r="B1153" s="19" t="s">
        <x:v>2577</x:v>
      </x:c>
      <x:c r="C1153" s="20">
        <x:v>44109010</x:v>
      </x:c>
      <x:c r="D1153" s="20">
        <x:v>2400</x:v>
      </x:c>
      <x:c r="E1153" s="18" t="s">
        <x:v>227</x:v>
      </x:c>
      <x:c r="F1153" s="19" t="s">
        <x:v>11</x:v>
      </x:c>
      <x:c r="G1153" s="20">
        <x:v>1153.5</x:v>
      </x:c>
      <x:c r="H1153" s="21"/>
      <x:c r="I1153" s="26" t="s">
        <x:v>2118</x:v>
      </x:c>
      <x:c r="J1153" s="23">
        <x:v>252</x:v>
      </x:c>
      <x:c r="K1153" s="23">
        <x:v>290683.99</x:v>
      </x:c>
      <x:c r="L1153" s="23">
        <x:v>510</x:v>
      </x:c>
    </x:row>
    <x:row r="1154">
      <x:c r="A1154" s="18" t="s">
        <x:v>2578</x:v>
      </x:c>
      <x:c r="B1154" s="19" t="s">
        <x:v>2579</x:v>
      </x:c>
      <x:c r="C1154" s="20">
        <x:v>44109010</x:v>
      </x:c>
      <x:c r="D1154" s="20">
        <x:v>115</x:v>
      </x:c>
      <x:c r="E1154" s="18" t="s">
        <x:v>227</x:v>
      </x:c>
      <x:c r="F1154" s="19" t="s">
        <x:v>11</x:v>
      </x:c>
      <x:c r="G1154" s="20">
        <x:v>1666.5</x:v>
      </x:c>
      <x:c r="H1154" s="21"/>
      <x:c r="I1154" s="26" t="s">
        <x:v>2118</x:v>
      </x:c>
      <x:c r="J1154" s="22">
        <x:v>0</x:v>
      </x:c>
      <x:c r="K1154" s="22">
        <x:v>0</x:v>
      </x:c>
      <x:c r="L1154" s="23">
        <x:v>35</x:v>
      </x:c>
    </x:row>
    <x:row r="1155">
      <x:c r="A1155" s="18" t="s">
        <x:v>2580</x:v>
      </x:c>
      <x:c r="B1155" s="19" t="s">
        <x:v>2581</x:v>
      </x:c>
      <x:c r="C1155" s="20">
        <x:v>44109010</x:v>
      </x:c>
      <x:c r="D1155" s="20">
        <x:v>2268.3000000000002</x:v>
      </x:c>
      <x:c r="E1155" s="18" t="s">
        <x:v>227</x:v>
      </x:c>
      <x:c r="F1155" s="19" t="s">
        <x:v>11</x:v>
      </x:c>
      <x:c r="G1155" s="20">
        <x:v>1741</x:v>
      </x:c>
      <x:c r="H1155" s="21"/>
      <x:c r="I1155" s="26" t="s">
        <x:v>2582</x:v>
      </x:c>
      <x:c r="J1155" s="23">
        <x:v>1</x:v>
      </x:c>
      <x:c r="K1155" s="23">
        <x:v>1648.32</x:v>
      </x:c>
      <x:c r="L1155" s="23">
        <x:v>211</x:v>
      </x:c>
    </x:row>
    <x:row r="1156">
      <x:c r="A1156" s="18" t="s">
        <x:v>2583</x:v>
      </x:c>
      <x:c r="B1156" s="19" t="s">
        <x:v>2584</x:v>
      </x:c>
      <x:c r="C1156" s="20">
        <x:v>44109010</x:v>
      </x:c>
      <x:c r="D1156" s="20">
        <x:v>1215.4100000000001</x:v>
      </x:c>
      <x:c r="E1156" s="18" t="s">
        <x:v>227</x:v>
      </x:c>
      <x:c r="F1156" s="19" t="s">
        <x:v>11</x:v>
      </x:c>
      <x:c r="G1156" s="20">
        <x:v>0</x:v>
      </x:c>
      <x:c r="H1156" s="21"/>
      <x:c r="I1156" s="21"/>
      <x:c r="J1156" s="23">
        <x:v>9</x:v>
      </x:c>
      <x:c r="K1156" s="23">
        <x:v>15737.76</x:v>
      </x:c>
      <x:c r="L1156" s="23">
        <x:v>4</x:v>
      </x:c>
    </x:row>
    <x:row r="1157">
      <x:c r="A1157" s="18" t="s">
        <x:v>2585</x:v>
      </x:c>
      <x:c r="B1157" s="19" t="s">
        <x:v>2586</x:v>
      </x:c>
      <x:c r="C1157" s="20">
        <x:v>44109010</x:v>
      </x:c>
      <x:c r="D1157" s="20">
        <x:v>1783.65</x:v>
      </x:c>
      <x:c r="E1157" s="18" t="s">
        <x:v>227</x:v>
      </x:c>
      <x:c r="F1157" s="19" t="s">
        <x:v>11</x:v>
      </x:c>
      <x:c r="G1157" s="20">
        <x:v>1847</x:v>
      </x:c>
      <x:c r="H1157" s="21"/>
      <x:c r="I1157" s="26" t="s">
        <x:v>2582</x:v>
      </x:c>
      <x:c r="J1157" s="23">
        <x:v>269</x:v>
      </x:c>
      <x:c r="K1157" s="23">
        <x:v>470384.16</x:v>
      </x:c>
      <x:c r="L1157" s="23">
        <x:v>286</x:v>
      </x:c>
    </x:row>
    <x:row r="1158">
      <x:c r="A1158" s="18" t="s">
        <x:v>2587</x:v>
      </x:c>
      <x:c r="B1158" s="19" t="s">
        <x:v>2588</x:v>
      </x:c>
      <x:c r="C1158" s="20">
        <x:v>44109010</x:v>
      </x:c>
      <x:c r="D1158" s="20">
        <x:v>11476</x:v>
      </x:c>
      <x:c r="E1158" s="18" t="s">
        <x:v>227</x:v>
      </x:c>
      <x:c r="F1158" s="19" t="s">
        <x:v>11</x:v>
      </x:c>
      <x:c r="G1158" s="20">
        <x:v>825.08</x:v>
      </x:c>
      <x:c r="H1158" s="21"/>
      <x:c r="I1158" s="26" t="s">
        <x:v>2118</x:v>
      </x:c>
      <x:c r="J1158" s="23">
        <x:v>167</x:v>
      </x:c>
      <x:c r="K1158" s="23">
        <x:v>137788.35999999999</x:v>
      </x:c>
      <x:c r="L1158" s="23">
        <x:v>39</x:v>
      </x:c>
    </x:row>
    <x:row r="1159">
      <x:c r="A1159" s="18" t="s">
        <x:v>2589</x:v>
      </x:c>
      <x:c r="B1159" s="19" t="s">
        <x:v>2590</x:v>
      </x:c>
      <x:c r="C1159" s="20">
        <x:v>44109010</x:v>
      </x:c>
      <x:c r="D1159" s="20">
        <x:v>660</x:v>
      </x:c>
      <x:c r="E1159" s="18" t="s">
        <x:v>227</x:v>
      </x:c>
      <x:c r="F1159" s="19" t="s">
        <x:v>11</x:v>
      </x:c>
      <x:c r="G1159" s="20">
        <x:v>825.08</x:v>
      </x:c>
      <x:c r="H1159" s="21"/>
      <x:c r="I1159" s="26" t="s">
        <x:v>2118</x:v>
      </x:c>
      <x:c r="J1159" s="23">
        <x:v>23</x:v>
      </x:c>
      <x:c r="K1159" s="23">
        <x:v>18975.400000000001</x:v>
      </x:c>
      <x:c r="L1159" s="23">
        <x:v>286</x:v>
      </x:c>
    </x:row>
    <x:row r="1160">
      <x:c r="A1160" s="18" t="s">
        <x:v>2591</x:v>
      </x:c>
      <x:c r="B1160" s="19" t="s">
        <x:v>2592</x:v>
      </x:c>
      <x:c r="C1160" s="20">
        <x:v>44109010</x:v>
      </x:c>
      <x:c r="D1160" s="20">
        <x:v>1443.96</x:v>
      </x:c>
      <x:c r="E1160" s="18" t="s">
        <x:v>227</x:v>
      </x:c>
      <x:c r="F1160" s="19" t="s">
        <x:v>11</x:v>
      </x:c>
      <x:c r="G1160" s="20">
        <x:v>1370.4</x:v>
      </x:c>
      <x:c r="H1160" s="21"/>
      <x:c r="I1160" s="26" t="s">
        <x:v>2582</x:v>
      </x:c>
      <x:c r="J1160" s="23">
        <x:v>236</x:v>
      </x:c>
      <x:c r="K1160" s="23">
        <x:v>306195.84000000003</x:v>
      </x:c>
      <x:c r="L1160" s="23">
        <x:v>22</x:v>
      </x:c>
    </x:row>
    <x:row r="1161">
      <x:c r="A1161" s="18" t="s">
        <x:v>2593</x:v>
      </x:c>
      <x:c r="B1161" s="19" t="s">
        <x:v>2594</x:v>
      </x:c>
      <x:c r="C1161" s="20">
        <x:v>39269099</x:v>
      </x:c>
      <x:c r="D1161" s="20">
        <x:v>1117.1400000000001</x:v>
      </x:c>
      <x:c r="E1161" s="18" t="s">
        <x:v>227</x:v>
      </x:c>
      <x:c r="F1161" s="19" t="s">
        <x:v>41</x:v>
      </x:c>
      <x:c r="G1161" s="20">
        <x:v>0</x:v>
      </x:c>
      <x:c r="H1161" s="21"/>
      <x:c r="I1161" s="21"/>
      <x:c r="J1161" s="23">
        <x:v>5617</x:v>
      </x:c>
      <x:c r="K1161" s="23">
        <x:v>153119.42000000001</x:v>
      </x:c>
      <x:c r="L1161" s="23">
        <x:v>5038</x:v>
      </x:c>
    </x:row>
    <x:row r="1162">
      <x:c r="A1162" s="18" t="s">
        <x:v>2595</x:v>
      </x:c>
      <x:c r="B1162" s="19" t="s">
        <x:v>2596</x:v>
      </x:c>
      <x:c r="C1162" s="20">
        <x:v>39269099</x:v>
      </x:c>
      <x:c r="D1162" s="20">
        <x:v>10868</x:v>
      </x:c>
      <x:c r="E1162" s="18" t="s">
        <x:v>227</x:v>
      </x:c>
      <x:c r="F1162" s="19" t="s">
        <x:v>41</x:v>
      </x:c>
      <x:c r="G1162" s="20">
        <x:v>0</x:v>
      </x:c>
      <x:c r="H1162" s="21"/>
      <x:c r="I1162" s="21"/>
      <x:c r="J1162" s="23">
        <x:v>1709.5</x:v>
      </x:c>
      <x:c r="K1162" s="23">
        <x:v>43472.59</x:v>
      </x:c>
      <x:c r="L1162" s="23">
        <x:v>0</x:v>
      </x:c>
    </x:row>
    <x:row r="1163">
      <x:c r="A1163" s="18" t="s">
        <x:v>2597</x:v>
      </x:c>
      <x:c r="B1163" s="19" t="s">
        <x:v>183</x:v>
      </x:c>
      <x:c r="C1163" s="20">
        <x:v>39269099</x:v>
      </x:c>
      <x:c r="D1163" s="20">
        <x:v>115</x:v>
      </x:c>
      <x:c r="E1163" s="18" t="s">
        <x:v>227</x:v>
      </x:c>
      <x:c r="F1163" s="19" t="s">
        <x:v>41</x:v>
      </x:c>
      <x:c r="G1163" s="20">
        <x:v>11</x:v>
      </x:c>
      <x:c r="H1163" s="21"/>
      <x:c r="I1163" s="26" t="s">
        <x:v>272</x:v>
      </x:c>
      <x:c r="J1163" s="22">
        <x:v>0</x:v>
      </x:c>
      <x:c r="K1163" s="22">
        <x:v>0</x:v>
      </x:c>
      <x:c r="L1163" s="23">
        <x:v>1500</x:v>
      </x:c>
    </x:row>
    <x:row r="1164">
      <x:c r="A1164" s="18" t="s">
        <x:v>2598</x:v>
      </x:c>
      <x:c r="B1164" s="19" t="s">
        <x:v>2599</x:v>
      </x:c>
      <x:c r="C1164" s="20">
        <x:v>83024200</x:v>
      </x:c>
      <x:c r="D1164" s="20">
        <x:v>1085</x:v>
      </x:c>
      <x:c r="E1164" s="18" t="s">
        <x:v>227</x:v>
      </x:c>
      <x:c r="F1164" s="19" t="s">
        <x:v>11</x:v>
      </x:c>
      <x:c r="G1164" s="20">
        <x:v>0</x:v>
      </x:c>
      <x:c r="H1164" s="21"/>
      <x:c r="I1164" s="21"/>
      <x:c r="J1164" s="22">
        <x:v>0</x:v>
      </x:c>
      <x:c r="K1164" s="22">
        <x:v>0</x:v>
      </x:c>
      <x:c r="L1164" s="23">
        <x:v>0</x:v>
      </x:c>
    </x:row>
    <x:row r="1165">
      <x:c r="A1165" s="18" t="s">
        <x:v>2600</x:v>
      </x:c>
      <x:c r="B1165" s="19" t="s">
        <x:v>2601</x:v>
      </x:c>
      <x:c r="C1165" s="20">
        <x:v>83024200</x:v>
      </x:c>
      <x:c r="D1165" s="20">
        <x:v>1754.4</x:v>
      </x:c>
      <x:c r="E1165" s="18" t="s">
        <x:v>227</x:v>
      </x:c>
      <x:c r="F1165" s="19" t="s">
        <x:v>11</x:v>
      </x:c>
      <x:c r="G1165" s="20">
        <x:v>0</x:v>
      </x:c>
      <x:c r="H1165" s="21"/>
      <x:c r="I1165" s="21"/>
      <x:c r="J1165" s="23">
        <x:v>6795</x:v>
      </x:c>
      <x:c r="K1165" s="23">
        <x:v>224235</x:v>
      </x:c>
      <x:c r="L1165" s="23">
        <x:v>4928</x:v>
      </x:c>
    </x:row>
    <x:row r="1166">
      <x:c r="A1166" s="18" t="s">
        <x:v>2602</x:v>
      </x:c>
      <x:c r="B1166" s="19" t="s">
        <x:v>2603</x:v>
      </x:c>
      <x:c r="C1166" s="20">
        <x:v>39249090</x:v>
      </x:c>
      <x:c r="D1166" s="20">
        <x:v>990</x:v>
      </x:c>
      <x:c r="E1166" s="18" t="s">
        <x:v>227</x:v>
      </x:c>
      <x:c r="F1166" s="19" t="s">
        <x:v>11</x:v>
      </x:c>
      <x:c r="G1166" s="20">
        <x:v>0</x:v>
      </x:c>
      <x:c r="H1166" s="21"/>
      <x:c r="I1166" s="21"/>
      <x:c r="J1166" s="23">
        <x:v>1</x:v>
      </x:c>
      <x:c r="K1166" s="23">
        <x:v>3220.25</x:v>
      </x:c>
      <x:c r="L1166" s="23">
        <x:v>0</x:v>
      </x:c>
    </x:row>
    <x:row r="1167">
      <x:c r="A1167" s="18" t="s">
        <x:v>2604</x:v>
      </x:c>
      <x:c r="B1167" s="19" t="s">
        <x:v>2605</x:v>
      </x:c>
      <x:c r="C1167" s="20">
        <x:v>39249090</x:v>
      </x:c>
      <x:c r="D1167" s="20">
        <x:v>2531.59</x:v>
      </x:c>
      <x:c r="E1167" s="18" t="s">
        <x:v>227</x:v>
      </x:c>
      <x:c r="F1167" s="19" t="s">
        <x:v>11</x:v>
      </x:c>
      <x:c r="G1167" s="20">
        <x:v>0</x:v>
      </x:c>
      <x:c r="H1167" s="21"/>
      <x:c r="I1167" s="21"/>
      <x:c r="J1167" s="23">
        <x:v>1</x:v>
      </x:c>
      <x:c r="K1167" s="23">
        <x:v>3499.12</x:v>
      </x:c>
      <x:c r="L1167" s="23">
        <x:v>0</x:v>
      </x:c>
    </x:row>
    <x:row r="1168">
      <x:c r="A1168" s="18" t="s">
        <x:v>2606</x:v>
      </x:c>
      <x:c r="B1168" s="19" t="s">
        <x:v>2607</x:v>
      </x:c>
      <x:c r="C1168" s="20">
        <x:v>39249090</x:v>
      </x:c>
      <x:c r="D1168" s="20">
        <x:v>2531.59</x:v>
      </x:c>
      <x:c r="E1168" s="18" t="s">
        <x:v>227</x:v>
      </x:c>
      <x:c r="F1168" s="19" t="s">
        <x:v>11</x:v>
      </x:c>
      <x:c r="G1168" s="20">
        <x:v>0</x:v>
      </x:c>
      <x:c r="H1168" s="21"/>
      <x:c r="I1168" s="21"/>
      <x:c r="J1168" s="23">
        <x:v>1</x:v>
      </x:c>
      <x:c r="K1168" s="23">
        <x:v>3794.32</x:v>
      </x:c>
      <x:c r="L1168" s="23">
        <x:v>0</x:v>
      </x:c>
    </x:row>
    <x:row r="1169">
      <x:c r="A1169" s="18" t="s">
        <x:v>2608</x:v>
      </x:c>
      <x:c r="B1169" s="19" t="s">
        <x:v>2609</x:v>
      </x:c>
      <x:c r="C1169" s="20">
        <x:v>39249090</x:v>
      </x:c>
      <x:c r="D1169" s="20">
        <x:v>2531.59</x:v>
      </x:c>
      <x:c r="E1169" s="18" t="s">
        <x:v>227</x:v>
      </x:c>
      <x:c r="F1169" s="19" t="s">
        <x:v>11</x:v>
      </x:c>
      <x:c r="G1169" s="20">
        <x:v>0</x:v>
      </x:c>
      <x:c r="H1169" s="21"/>
      <x:c r="I1169" s="21"/>
      <x:c r="J1169" s="23">
        <x:v>1</x:v>
      </x:c>
      <x:c r="K1169" s="23">
        <x:v>4210.42</x:v>
      </x:c>
      <x:c r="L1169" s="23">
        <x:v>1</x:v>
      </x:c>
    </x:row>
    <x:row r="1170">
      <x:c r="A1170" s="18" t="s">
        <x:v>2610</x:v>
      </x:c>
      <x:c r="B1170" s="19" t="s">
        <x:v>2611</x:v>
      </x:c>
      <x:c r="C1170" s="20">
        <x:v>39249090</x:v>
      </x:c>
      <x:c r="D1170" s="20">
        <x:v>487.5</x:v>
      </x:c>
      <x:c r="E1170" s="18" t="s">
        <x:v>227</x:v>
      </x:c>
      <x:c r="F1170" s="19" t="s">
        <x:v>11</x:v>
      </x:c>
      <x:c r="G1170" s="20">
        <x:v>0</x:v>
      </x:c>
      <x:c r="H1170" s="21"/>
      <x:c r="I1170" s="21"/>
      <x:c r="J1170" s="23">
        <x:v>1</x:v>
      </x:c>
      <x:c r="K1170" s="23">
        <x:v>4602.4399999999996</x:v>
      </x:c>
      <x:c r="L1170" s="23">
        <x:v>1</x:v>
      </x:c>
    </x:row>
    <x:row r="1171">
      <x:c r="A1171" s="18" t="s">
        <x:v>2612</x:v>
      </x:c>
      <x:c r="B1171" s="19" t="s">
        <x:v>2613</x:v>
      </x:c>
      <x:c r="C1171" s="20">
        <x:v>39249090</x:v>
      </x:c>
      <x:c r="D1171" s="20">
        <x:v>1114.7</x:v>
      </x:c>
      <x:c r="E1171" s="18" t="s">
        <x:v>227</x:v>
      </x:c>
      <x:c r="F1171" s="19" t="s">
        <x:v>11</x:v>
      </x:c>
      <x:c r="G1171" s="20">
        <x:v>0</x:v>
      </x:c>
      <x:c r="H1171" s="21"/>
      <x:c r="I1171" s="21"/>
      <x:c r="J1171" s="23">
        <x:v>250</x:v>
      </x:c>
      <x:c r="K1171" s="23">
        <x:v>1642.5</x:v>
      </x:c>
      <x:c r="L1171" s="23">
        <x:v>230</x:v>
      </x:c>
    </x:row>
    <x:row r="1172">
      <x:c r="A1172" s="18" t="s">
        <x:v>2614</x:v>
      </x:c>
      <x:c r="B1172" s="19" t="s">
        <x:v>2615</x:v>
      </x:c>
      <x:c r="C1172" s="20">
        <x:v>39249090</x:v>
      </x:c>
      <x:c r="D1172" s="20">
        <x:v>1114.7</x:v>
      </x:c>
      <x:c r="E1172" s="18" t="s">
        <x:v>227</x:v>
      </x:c>
      <x:c r="F1172" s="19" t="s">
        <x:v>11</x:v>
      </x:c>
      <x:c r="G1172" s="20">
        <x:v>0</x:v>
      </x:c>
      <x:c r="H1172" s="21"/>
      <x:c r="I1172" s="21"/>
      <x:c r="J1172" s="23">
        <x:v>250</x:v>
      </x:c>
      <x:c r="K1172" s="23">
        <x:v>1642.5</x:v>
      </x:c>
      <x:c r="L1172" s="23">
        <x:v>250</x:v>
      </x:c>
    </x:row>
    <x:row r="1173">
      <x:c r="A1173" s="18" t="s">
        <x:v>2616</x:v>
      </x:c>
      <x:c r="B1173" s="19" t="s">
        <x:v>2617</x:v>
      </x:c>
      <x:c r="C1173" s="20">
        <x:v>39249090</x:v>
      </x:c>
      <x:c r="D1173" s="20">
        <x:v>686</x:v>
      </x:c>
      <x:c r="E1173" s="18" t="s">
        <x:v>227</x:v>
      </x:c>
      <x:c r="F1173" s="19" t="s">
        <x:v>236</x:v>
      </x:c>
      <x:c r="G1173" s="20">
        <x:v>0</x:v>
      </x:c>
      <x:c r="H1173" s="21"/>
      <x:c r="I1173" s="21"/>
      <x:c r="J1173" s="23">
        <x:v>55</x:v>
      </x:c>
      <x:c r="K1173" s="23">
        <x:v>5940</x:v>
      </x:c>
      <x:c r="L1173" s="23">
        <x:v>55</x:v>
      </x:c>
    </x:row>
    <x:row r="1174">
      <x:c r="A1174" s="18" t="s">
        <x:v>2618</x:v>
      </x:c>
      <x:c r="B1174" s="19" t="s">
        <x:v>2619</x:v>
      </x:c>
      <x:c r="C1174" s="20">
        <x:v>39219099</x:v>
      </x:c>
      <x:c r="D1174" s="20">
        <x:v>686</x:v>
      </x:c>
      <x:c r="E1174" s="18" t="s">
        <x:v>227</x:v>
      </x:c>
      <x:c r="F1174" s="19" t="s">
        <x:v>236</x:v>
      </x:c>
      <x:c r="G1174" s="20">
        <x:v>0</x:v>
      </x:c>
      <x:c r="H1174" s="21"/>
      <x:c r="I1174" s="21"/>
      <x:c r="J1174" s="22">
        <x:v>0</x:v>
      </x:c>
      <x:c r="K1174" s="22">
        <x:v>0</x:v>
      </x:c>
      <x:c r="L1174" s="23">
        <x:v>0</x:v>
      </x:c>
    </x:row>
    <x:row r="1175">
      <x:c r="A1175" s="18" t="s">
        <x:v>2620</x:v>
      </x:c>
      <x:c r="B1175" s="19" t="s">
        <x:v>2621</x:v>
      </x:c>
      <x:c r="C1175" s="20">
        <x:v>39219099</x:v>
      </x:c>
      <x:c r="D1175" s="20">
        <x:v>686</x:v>
      </x:c>
      <x:c r="E1175" s="18" t="s">
        <x:v>227</x:v>
      </x:c>
      <x:c r="F1175" s="19" t="s">
        <x:v>236</x:v>
      </x:c>
      <x:c r="G1175" s="20">
        <x:v>98</x:v>
      </x:c>
      <x:c r="H1175" s="21"/>
      <x:c r="I1175" s="26" t="s">
        <x:v>2622</x:v>
      </x:c>
      <x:c r="J1175" s="22">
        <x:v>0</x:v>
      </x:c>
      <x:c r="K1175" s="22">
        <x:v>0</x:v>
      </x:c>
      <x:c r="L1175" s="23">
        <x:v>326</x:v>
      </x:c>
    </x:row>
    <x:row r="1176">
      <x:c r="A1176" s="18" t="s">
        <x:v>2623</x:v>
      </x:c>
      <x:c r="B1176" s="19" t="s">
        <x:v>2624</x:v>
      </x:c>
      <x:c r="C1176" s="20">
        <x:v>39219099</x:v>
      </x:c>
      <x:c r="D1176" s="20">
        <x:v>4950</x:v>
      </x:c>
      <x:c r="E1176" s="18" t="s">
        <x:v>227</x:v>
      </x:c>
      <x:c r="F1176" s="19" t="s">
        <x:v>236</x:v>
      </x:c>
      <x:c r="G1176" s="20">
        <x:v>185</x:v>
      </x:c>
      <x:c r="H1176" s="21"/>
      <x:c r="I1176" s="26" t="s">
        <x:v>979</x:v>
      </x:c>
      <x:c r="J1176" s="22">
        <x:v>0</x:v>
      </x:c>
      <x:c r="K1176" s="22">
        <x:v>0</x:v>
      </x:c>
      <x:c r="L1176" s="23">
        <x:v>0.74</x:v>
      </x:c>
    </x:row>
    <x:row r="1177">
      <x:c r="A1177" s="18" t="s">
        <x:v>2625</x:v>
      </x:c>
      <x:c r="B1177" s="19" t="s">
        <x:v>2626</x:v>
      </x:c>
      <x:c r="C1177" s="20">
        <x:v>39219099</x:v>
      </x:c>
      <x:c r="D1177" s="20">
        <x:v>1650</x:v>
      </x:c>
      <x:c r="E1177" s="18" t="s">
        <x:v>227</x:v>
      </x:c>
      <x:c r="F1177" s="19" t="s">
        <x:v>236</x:v>
      </x:c>
      <x:c r="G1177" s="20">
        <x:v>180</x:v>
      </x:c>
      <x:c r="H1177" s="21"/>
      <x:c r="I1177" s="26" t="s">
        <x:v>1215</x:v>
      </x:c>
      <x:c r="J1177" s="23">
        <x:v>216.55</x:v>
      </x:c>
      <x:c r="K1177" s="23">
        <x:v>30317</x:v>
      </x:c>
      <x:c r="L1177" s="23">
        <x:v>528.1</x:v>
      </x:c>
    </x:row>
    <x:row r="1178">
      <x:c r="A1178" s="18" t="s">
        <x:v>2627</x:v>
      </x:c>
      <x:c r="B1178" s="19" t="s">
        <x:v>2628</x:v>
      </x:c>
      <x:c r="C1178" s="20">
        <x:v>39249090</x:v>
      </x:c>
      <x:c r="D1178" s="20">
        <x:v>11.42</x:v>
      </x:c>
      <x:c r="E1178" s="18" t="s">
        <x:v>227</x:v>
      </x:c>
      <x:c r="F1178" s="19" t="s">
        <x:v>11</x:v>
      </x:c>
      <x:c r="G1178" s="20">
        <x:v>0</x:v>
      </x:c>
      <x:c r="H1178" s="21"/>
      <x:c r="I1178" s="21"/>
      <x:c r="J1178" s="22">
        <x:v>0</x:v>
      </x:c>
      <x:c r="K1178" s="22">
        <x:v>0</x:v>
      </x:c>
      <x:c r="L1178" s="23">
        <x:v>0</x:v>
      </x:c>
    </x:row>
    <x:row r="1179">
      <x:c r="A1179" s="18" t="s">
        <x:v>2629</x:v>
      </x:c>
      <x:c r="B1179" s="19" t="s">
        <x:v>2630</x:v>
      </x:c>
      <x:c r="C1179" s="20">
        <x:v>8302</x:v>
      </x:c>
      <x:c r="D1179" s="20">
        <x:v>1602</x:v>
      </x:c>
      <x:c r="E1179" s="18" t="s">
        <x:v>227</x:v>
      </x:c>
      <x:c r="F1179" s="19" t="s">
        <x:v>11</x:v>
      </x:c>
      <x:c r="G1179" s="20">
        <x:v>0</x:v>
      </x:c>
      <x:c r="H1179" s="21"/>
      <x:c r="I1179" s="21"/>
      <x:c r="J1179" s="23">
        <x:v>1</x:v>
      </x:c>
      <x:c r="K1179" s="23">
        <x:v>380.95</x:v>
      </x:c>
      <x:c r="L1179" s="23">
        <x:v>1</x:v>
      </x:c>
    </x:row>
    <x:row r="1180">
      <x:c r="A1180" s="18" t="s">
        <x:v>2631</x:v>
      </x:c>
      <x:c r="B1180" s="19" t="s">
        <x:v>2632</x:v>
      </x:c>
      <x:c r="C1180" s="20">
        <x:v>8302</x:v>
      </x:c>
      <x:c r="D1180" s="20">
        <x:v>2.93</x:v>
      </x:c>
      <x:c r="E1180" s="18" t="s">
        <x:v>227</x:v>
      </x:c>
      <x:c r="F1180" s="19" t="s">
        <x:v>11</x:v>
      </x:c>
      <x:c r="G1180" s="20">
        <x:v>0</x:v>
      </x:c>
      <x:c r="H1180" s="21"/>
      <x:c r="I1180" s="21"/>
      <x:c r="J1180" s="22">
        <x:v>0</x:v>
      </x:c>
      <x:c r="K1180" s="22">
        <x:v>0</x:v>
      </x:c>
      <x:c r="L1180" s="23">
        <x:v>0</x:v>
      </x:c>
    </x:row>
    <x:row r="1181">
      <x:c r="A1181" s="18" t="s">
        <x:v>2633</x:v>
      </x:c>
      <x:c r="B1181" s="19" t="s">
        <x:v>2634</x:v>
      </x:c>
      <x:c r="C1181" s="20">
        <x:v>8302</x:v>
      </x:c>
      <x:c r="D1181" s="20">
        <x:v>1.76</x:v>
      </x:c>
      <x:c r="E1181" s="18" t="s">
        <x:v>227</x:v>
      </x:c>
      <x:c r="F1181" s="19" t="s">
        <x:v>11</x:v>
      </x:c>
      <x:c r="G1181" s="20">
        <x:v>0</x:v>
      </x:c>
      <x:c r="H1181" s="21"/>
      <x:c r="I1181" s="21"/>
      <x:c r="J1181" s="23">
        <x:v>1</x:v>
      </x:c>
      <x:c r="K1181" s="23">
        <x:v>425</x:v>
      </x:c>
      <x:c r="L1181" s="23">
        <x:v>1</x:v>
      </x:c>
    </x:row>
    <x:row r="1182">
      <x:c r="A1182" s="18" t="s">
        <x:v>2635</x:v>
      </x:c>
      <x:c r="B1182" s="19" t="s">
        <x:v>2636</x:v>
      </x:c>
      <x:c r="C1182" s="20">
        <x:v>44123990</x:v>
      </x:c>
      <x:c r="D1182" s="20">
        <x:v>15435.85</x:v>
      </x:c>
      <x:c r="E1182" s="18" t="s">
        <x:v>227</x:v>
      </x:c>
      <x:c r="F1182" s="19" t="s">
        <x:v>11</x:v>
      </x:c>
      <x:c r="G1182" s="20">
        <x:v>2547.1999999999998</x:v>
      </x:c>
      <x:c r="H1182" s="21"/>
      <x:c r="I1182" s="26" t="s">
        <x:v>2637</x:v>
      </x:c>
      <x:c r="J1182" s="23">
        <x:v>50</x:v>
      </x:c>
      <x:c r="K1182" s="23">
        <x:v>111339</x:v>
      </x:c>
      <x:c r="L1182" s="23">
        <x:v>0</x:v>
      </x:c>
    </x:row>
    <x:row r="1183">
      <x:c r="A1183" s="18" t="s">
        <x:v>2638</x:v>
      </x:c>
      <x:c r="B1183" s="19" t="s">
        <x:v>60</x:v>
      </x:c>
      <x:c r="C1183" s="20">
        <x:v>44123990</x:v>
      </x:c>
      <x:c r="D1183" s="20">
        <x:v>191</x:v>
      </x:c>
      <x:c r="E1183" s="18" t="s">
        <x:v>227</x:v>
      </x:c>
      <x:c r="F1183" s="19" t="s">
        <x:v>11</x:v>
      </x:c>
      <x:c r="G1183" s="20">
        <x:v>1922.5</x:v>
      </x:c>
      <x:c r="H1183" s="21"/>
      <x:c r="I1183" s="26" t="s">
        <x:v>2637</x:v>
      </x:c>
      <x:c r="J1183" s="23">
        <x:v>74</x:v>
      </x:c>
      <x:c r="K1183" s="23">
        <x:v>142257.60000000001</x:v>
      </x:c>
      <x:c r="L1183" s="23">
        <x:v>0</x:v>
      </x:c>
    </x:row>
    <x:row r="1184">
      <x:c r="A1184" s="18" t="s">
        <x:v>2639</x:v>
      </x:c>
      <x:c r="B1184" s="19" t="s">
        <x:v>2640</x:v>
      </x:c>
      <x:c r="C1184" s="20">
        <x:v>73231000</x:v>
      </x:c>
      <x:c r="D1184" s="20">
        <x:v>9.3800000000000008</x:v>
      </x:c>
      <x:c r="E1184" s="18" t="s">
        <x:v>227</x:v>
      </x:c>
      <x:c r="F1184" s="19" t="s">
        <x:v>11</x:v>
      </x:c>
      <x:c r="G1184" s="20">
        <x:v>152.55000000000001</x:v>
      </x:c>
      <x:c r="H1184" s="21"/>
      <x:c r="I1184" s="26" t="s">
        <x:v>791</x:v>
      </x:c>
      <x:c r="J1184" s="23">
        <x:v>40</x:v>
      </x:c>
      <x:c r="K1184" s="23">
        <x:v>6102</x:v>
      </x:c>
      <x:c r="L1184" s="23">
        <x:v>450</x:v>
      </x:c>
    </x:row>
    <x:row r="1185">
      <x:c r="A1185" s="18" t="s">
        <x:v>2641</x:v>
      </x:c>
      <x:c r="B1185" s="19" t="s">
        <x:v>2642</x:v>
      </x:c>
      <x:c r="C1185" s="20">
        <x:v>73231000</x:v>
      </x:c>
      <x:c r="D1185" s="20">
        <x:v>540</x:v>
      </x:c>
      <x:c r="E1185" s="18" t="s">
        <x:v>227</x:v>
      </x:c>
      <x:c r="F1185" s="19" t="s">
        <x:v>11</x:v>
      </x:c>
      <x:c r="G1185" s="20">
        <x:v>0</x:v>
      </x:c>
      <x:c r="H1185" s="21"/>
      <x:c r="I1185" s="21"/>
      <x:c r="J1185" s="23">
        <x:v>130</x:v>
      </x:c>
      <x:c r="K1185" s="23">
        <x:v>10816</x:v>
      </x:c>
      <x:c r="L1185" s="23">
        <x:v>60</x:v>
      </x:c>
    </x:row>
    <x:row r="1186">
      <x:c r="A1186" s="18" t="s">
        <x:v>2643</x:v>
      </x:c>
      <x:c r="B1186" s="19" t="s">
        <x:v>2644</x:v>
      </x:c>
      <x:c r="C1186" s="20">
        <x:v>73231000</x:v>
      </x:c>
      <x:c r="D1186" s="20">
        <x:v>2403.19</x:v>
      </x:c>
      <x:c r="E1186" s="18" t="s">
        <x:v>227</x:v>
      </x:c>
      <x:c r="F1186" s="19" t="s">
        <x:v>11</x:v>
      </x:c>
      <x:c r="G1186" s="20">
        <x:v>120</x:v>
      </x:c>
      <x:c r="H1186" s="21"/>
      <x:c r="I1186" s="26" t="s">
        <x:v>979</x:v>
      </x:c>
      <x:c r="J1186" s="23">
        <x:v>90</x:v>
      </x:c>
      <x:c r="K1186" s="23">
        <x:v>11212.2</x:v>
      </x:c>
      <x:c r="L1186" s="23">
        <x:v>590</x:v>
      </x:c>
    </x:row>
    <x:row r="1187">
      <x:c r="A1187" s="18" t="s">
        <x:v>2645</x:v>
      </x:c>
      <x:c r="B1187" s="19" t="s">
        <x:v>2646</x:v>
      </x:c>
      <x:c r="C1187" s="20">
        <x:v>73231000</x:v>
      </x:c>
      <x:c r="D1187" s="20">
        <x:v>2595</x:v>
      </x:c>
      <x:c r="E1187" s="18" t="s">
        <x:v>227</x:v>
      </x:c>
      <x:c r="F1187" s="19" t="s">
        <x:v>11</x:v>
      </x:c>
      <x:c r="G1187" s="20">
        <x:v>0</x:v>
      </x:c>
      <x:c r="H1187" s="21"/>
      <x:c r="I1187" s="21"/>
      <x:c r="J1187" s="23">
        <x:v>80</x:v>
      </x:c>
      <x:c r="K1187" s="23">
        <x:v>12204</x:v>
      </x:c>
      <x:c r="L1187" s="23">
        <x:v>40</x:v>
      </x:c>
    </x:row>
    <x:row r="1188">
      <x:c r="A1188" s="18" t="s">
        <x:v>2647</x:v>
      </x:c>
      <x:c r="B1188" s="19" t="s">
        <x:v>2648</x:v>
      </x:c>
      <x:c r="C1188" s="20">
        <x:v>73231000</x:v>
      </x:c>
      <x:c r="D1188" s="20">
        <x:v>857.14</x:v>
      </x:c>
      <x:c r="E1188" s="18" t="s">
        <x:v>227</x:v>
      </x:c>
      <x:c r="F1188" s="19" t="s">
        <x:v>11</x:v>
      </x:c>
      <x:c r="G1188" s="20">
        <x:v>0</x:v>
      </x:c>
      <x:c r="H1188" s="21"/>
      <x:c r="I1188" s="21"/>
      <x:c r="J1188" s="23">
        <x:v>90</x:v>
      </x:c>
      <x:c r="K1188" s="23">
        <x:v>13729.5</x:v>
      </x:c>
      <x:c r="L1188" s="23">
        <x:v>30</x:v>
      </x:c>
    </x:row>
    <x:row r="1189">
      <x:c r="A1189" s="18" t="s">
        <x:v>2649</x:v>
      </x:c>
      <x:c r="B1189" s="19" t="s">
        <x:v>2650</x:v>
      </x:c>
      <x:c r="C1189" s="20">
        <x:v>73231000</x:v>
      </x:c>
      <x:c r="D1189" s="20">
        <x:v>512.5</x:v>
      </x:c>
      <x:c r="E1189" s="18" t="s">
        <x:v>227</x:v>
      </x:c>
      <x:c r="F1189" s="19" t="s">
        <x:v>11</x:v>
      </x:c>
      <x:c r="G1189" s="20">
        <x:v>0</x:v>
      </x:c>
      <x:c r="H1189" s="21"/>
      <x:c r="I1189" s="21"/>
      <x:c r="J1189" s="23">
        <x:v>240</x:v>
      </x:c>
      <x:c r="K1189" s="23">
        <x:v>28800</x:v>
      </x:c>
      <x:c r="L1189" s="23">
        <x:v>200</x:v>
      </x:c>
    </x:row>
    <x:row r="1190">
      <x:c r="A1190" s="18" t="s">
        <x:v>2651</x:v>
      </x:c>
      <x:c r="B1190" s="19" t="s">
        <x:v>2652</x:v>
      </x:c>
      <x:c r="C1190" s="20">
        <x:v>73231000</x:v>
      </x:c>
      <x:c r="D1190" s="20">
        <x:v>768.5</x:v>
      </x:c>
      <x:c r="E1190" s="18" t="s">
        <x:v>227</x:v>
      </x:c>
      <x:c r="F1190" s="19" t="s">
        <x:v>11</x:v>
      </x:c>
      <x:c r="G1190" s="20">
        <x:v>0</x:v>
      </x:c>
      <x:c r="H1190" s="21"/>
      <x:c r="I1190" s="21"/>
      <x:c r="J1190" s="22">
        <x:v>0</x:v>
      </x:c>
      <x:c r="K1190" s="22">
        <x:v>0</x:v>
      </x:c>
      <x:c r="L1190" s="23">
        <x:v>0</x:v>
      </x:c>
    </x:row>
    <x:row r="1191">
      <x:c r="A1191" s="18" t="s">
        <x:v>2653</x:v>
      </x:c>
      <x:c r="B1191" s="19" t="s">
        <x:v>2654</x:v>
      </x:c>
      <x:c r="C1191" s="20">
        <x:v>39232100</x:v>
      </x:c>
      <x:c r="D1191" s="20">
        <x:v>1201.58</x:v>
      </x:c>
      <x:c r="E1191" s="18" t="s">
        <x:v>227</x:v>
      </x:c>
      <x:c r="F1191" s="19" t="s">
        <x:v>236</x:v>
      </x:c>
      <x:c r="G1191" s="20">
        <x:v>200</x:v>
      </x:c>
      <x:c r="H1191" s="21"/>
      <x:c r="I1191" s="26" t="s">
        <x:v>1215</x:v>
      </x:c>
      <x:c r="J1191" s="23">
        <x:v>7</x:v>
      </x:c>
      <x:c r="K1191" s="23">
        <x:v>1232</x:v>
      </x:c>
      <x:c r="L1191" s="23">
        <x:v>0</x:v>
      </x:c>
    </x:row>
    <x:row r="1192">
      <x:c r="A1192" s="18" t="s">
        <x:v>2655</x:v>
      </x:c>
      <x:c r="B1192" s="19" t="s">
        <x:v>2656</x:v>
      </x:c>
      <x:c r="C1192" s="20">
        <x:v>83024900</x:v>
      </x:c>
      <x:c r="D1192" s="20">
        <x:v>1861.71</x:v>
      </x:c>
      <x:c r="E1192" s="18" t="s">
        <x:v>227</x:v>
      </x:c>
      <x:c r="F1192" s="19" t="s">
        <x:v>82</x:v>
      </x:c>
      <x:c r="G1192" s="20">
        <x:v>12576</x:v>
      </x:c>
      <x:c r="H1192" s="21"/>
      <x:c r="I1192" s="26" t="s">
        <x:v>2217</x:v>
      </x:c>
      <x:c r="J1192" s="23">
        <x:v>1</x:v>
      </x:c>
      <x:c r="K1192" s="23">
        <x:v>9431.9500000000007</x:v>
      </x:c>
      <x:c r="L1192" s="23">
        <x:v>0</x:v>
      </x:c>
    </x:row>
    <x:row r="1193">
      <x:c r="A1193" s="18" t="s">
        <x:v>2657</x:v>
      </x:c>
      <x:c r="B1193" s="19" t="s">
        <x:v>2658</x:v>
      </x:c>
      <x:c r="C1193" s="20">
        <x:v>83024900</x:v>
      </x:c>
      <x:c r="D1193" s="20">
        <x:v>630</x:v>
      </x:c>
      <x:c r="E1193" s="18" t="s">
        <x:v>227</x:v>
      </x:c>
      <x:c r="F1193" s="19" t="s">
        <x:v>82</x:v>
      </x:c>
      <x:c r="G1193" s="20">
        <x:v>15612</x:v>
      </x:c>
      <x:c r="H1193" s="21"/>
      <x:c r="I1193" s="26" t="s">
        <x:v>2217</x:v>
      </x:c>
      <x:c r="J1193" s="23">
        <x:v>15</x:v>
      </x:c>
      <x:c r="K1193" s="23">
        <x:v>233804.57</x:v>
      </x:c>
      <x:c r="L1193" s="23">
        <x:v>8</x:v>
      </x:c>
    </x:row>
    <x:row r="1194">
      <x:c r="A1194" s="18" t="s">
        <x:v>2659</x:v>
      </x:c>
      <x:c r="B1194" s="19" t="s">
        <x:v>2660</x:v>
      </x:c>
      <x:c r="C1194" s="20">
        <x:v>39235090</x:v>
      </x:c>
      <x:c r="D1194" s="20">
        <x:v>6.5</x:v>
      </x:c>
      <x:c r="E1194" s="18" t="s">
        <x:v>227</x:v>
      </x:c>
      <x:c r="F1194" s="19" t="s">
        <x:v>11</x:v>
      </x:c>
      <x:c r="G1194" s="20">
        <x:v>2.5</x:v>
      </x:c>
      <x:c r="H1194" s="21"/>
      <x:c r="I1194" s="26" t="s">
        <x:v>228</x:v>
      </x:c>
      <x:c r="J1194" s="23">
        <x:v>1460</x:v>
      </x:c>
      <x:c r="K1194" s="23">
        <x:v>3650</x:v>
      </x:c>
      <x:c r="L1194" s="23">
        <x:v>2690</x:v>
      </x:c>
    </x:row>
    <x:row r="1195">
      <x:c r="A1195" s="18" t="s">
        <x:v>2661</x:v>
      </x:c>
      <x:c r="B1195" s="19" t="s">
        <x:v>2662</x:v>
      </x:c>
      <x:c r="C1195" s="20">
        <x:v>39235090</x:v>
      </x:c>
      <x:c r="D1195" s="20">
        <x:v>1050</x:v>
      </x:c>
      <x:c r="E1195" s="18" t="s">
        <x:v>227</x:v>
      </x:c>
      <x:c r="F1195" s="19" t="s">
        <x:v>11</x:v>
      </x:c>
      <x:c r="G1195" s="20">
        <x:v>2.02</x:v>
      </x:c>
      <x:c r="H1195" s="21"/>
      <x:c r="I1195" s="26" t="s">
        <x:v>228</x:v>
      </x:c>
      <x:c r="J1195" s="23">
        <x:v>30570</x:v>
      </x:c>
      <x:c r="K1195" s="23">
        <x:v>61751.4</x:v>
      </x:c>
      <x:c r="L1195" s="23">
        <x:v>3454</x:v>
      </x:c>
    </x:row>
    <x:row r="1196">
      <x:c r="A1196" s="18" t="s">
        <x:v>2663</x:v>
      </x:c>
      <x:c r="B1196" s="19" t="s">
        <x:v>2664</x:v>
      </x:c>
      <x:c r="C1196" s="20">
        <x:v>39235090</x:v>
      </x:c>
      <x:c r="D1196" s="20">
        <x:v>242.69</x:v>
      </x:c>
      <x:c r="E1196" s="18" t="s">
        <x:v>227</x:v>
      </x:c>
      <x:c r="F1196" s="19" t="s">
        <x:v>11</x:v>
      </x:c>
      <x:c r="G1196" s="20">
        <x:v>0</x:v>
      </x:c>
      <x:c r="H1196" s="21"/>
      <x:c r="I1196" s="21"/>
      <x:c r="J1196" s="23">
        <x:v>3000</x:v>
      </x:c>
      <x:c r="K1196" s="23">
        <x:v>9000</x:v>
      </x:c>
      <x:c r="L1196" s="23">
        <x:v>3000</x:v>
      </x:c>
    </x:row>
    <x:row r="1197">
      <x:c r="A1197" s="18" t="s">
        <x:v>2665</x:v>
      </x:c>
      <x:c r="B1197" s="19" t="s">
        <x:v>2666</x:v>
      </x:c>
      <x:c r="C1197" s="20">
        <x:v>39235090</x:v>
      </x:c>
      <x:c r="D1197" s="20">
        <x:v>9.75</x:v>
      </x:c>
      <x:c r="E1197" s="18" t="s">
        <x:v>227</x:v>
      </x:c>
      <x:c r="F1197" s="19" t="s">
        <x:v>11</x:v>
      </x:c>
      <x:c r="G1197" s="20">
        <x:v>2.7</x:v>
      </x:c>
      <x:c r="H1197" s="21"/>
      <x:c r="I1197" s="26" t="s">
        <x:v>228</x:v>
      </x:c>
      <x:c r="J1197" s="23">
        <x:v>5000</x:v>
      </x:c>
      <x:c r="K1197" s="23">
        <x:v>13500</x:v>
      </x:c>
      <x:c r="L1197" s="23">
        <x:v>5150</x:v>
      </x:c>
    </x:row>
    <x:row r="1198">
      <x:c r="A1198" s="18" t="s">
        <x:v>2667</x:v>
      </x:c>
      <x:c r="B1198" s="19" t="s">
        <x:v>2668</x:v>
      </x:c>
      <x:c r="C1198" s="20">
        <x:v>39235090</x:v>
      </x:c>
      <x:c r="D1198" s="20">
        <x:v>196.14</x:v>
      </x:c>
      <x:c r="E1198" s="18" t="s">
        <x:v>227</x:v>
      </x:c>
      <x:c r="F1198" s="19" t="s">
        <x:v>11</x:v>
      </x:c>
      <x:c r="G1198" s="20">
        <x:v>3.1</x:v>
      </x:c>
      <x:c r="H1198" s="21"/>
      <x:c r="I1198" s="26" t="s">
        <x:v>228</x:v>
      </x:c>
      <x:c r="J1198" s="23">
        <x:v>1200</x:v>
      </x:c>
      <x:c r="K1198" s="23">
        <x:v>3720</x:v>
      </x:c>
      <x:c r="L1198" s="23">
        <x:v>1359</x:v>
      </x:c>
    </x:row>
    <x:row r="1199">
      <x:c r="A1199" s="18" t="s">
        <x:v>2669</x:v>
      </x:c>
      <x:c r="B1199" s="19" t="s">
        <x:v>2670</x:v>
      </x:c>
      <x:c r="C1199" s="20">
        <x:v>39235090</x:v>
      </x:c>
      <x:c r="D1199" s="20">
        <x:v>367.4</x:v>
      </x:c>
      <x:c r="E1199" s="18" t="s">
        <x:v>227</x:v>
      </x:c>
      <x:c r="F1199" s="19" t="s">
        <x:v>11</x:v>
      </x:c>
      <x:c r="G1199" s="20">
        <x:v>5.5</x:v>
      </x:c>
      <x:c r="H1199" s="21"/>
      <x:c r="I1199" s="26" t="s">
        <x:v>228</x:v>
      </x:c>
      <x:c r="J1199" s="23">
        <x:v>1200</x:v>
      </x:c>
      <x:c r="K1199" s="23">
        <x:v>6600</x:v>
      </x:c>
      <x:c r="L1199" s="23">
        <x:v>1380</x:v>
      </x:c>
    </x:row>
    <x:row r="1200">
      <x:c r="A1200" s="18" t="s">
        <x:v>2671</x:v>
      </x:c>
      <x:c r="B1200" s="19" t="s">
        <x:v>2672</x:v>
      </x:c>
      <x:c r="C1200" s="20">
        <x:v>39235090</x:v>
      </x:c>
      <x:c r="D1200" s="20">
        <x:v>1109.27</x:v>
      </x:c>
      <x:c r="E1200" s="18" t="s">
        <x:v>227</x:v>
      </x:c>
      <x:c r="F1200" s="19" t="s">
        <x:v>11</x:v>
      </x:c>
      <x:c r="G1200" s="20">
        <x:v>6.5</x:v>
      </x:c>
      <x:c r="H1200" s="21"/>
      <x:c r="I1200" s="26" t="s">
        <x:v>228</x:v>
      </x:c>
      <x:c r="J1200" s="22">
        <x:v>0</x:v>
      </x:c>
      <x:c r="K1200" s="22">
        <x:v>0</x:v>
      </x:c>
      <x:c r="L1200" s="23">
        <x:v>3124</x:v>
      </x:c>
    </x:row>
    <x:row r="1201">
      <x:c r="A1201" s="18" t="s">
        <x:v>2673</x:v>
      </x:c>
      <x:c r="B1201" s="19" t="s">
        <x:v>2674</x:v>
      </x:c>
      <x:c r="C1201" s="22">
        <x:v>0</x:v>
      </x:c>
      <x:c r="D1201" s="20">
        <x:v>1235.6099999999999</x:v>
      </x:c>
      <x:c r="E1201" s="18" t="s">
        <x:v>227</x:v>
      </x:c>
      <x:c r="F1201" s="19" t="s">
        <x:v>11</x:v>
      </x:c>
      <x:c r="G1201" s="20">
        <x:v>0</x:v>
      </x:c>
      <x:c r="H1201" s="21"/>
      <x:c r="I1201" s="21"/>
      <x:c r="J1201" s="22">
        <x:v>0</x:v>
      </x:c>
      <x:c r="K1201" s="22">
        <x:v>0</x:v>
      </x:c>
      <x:c r="L1201" s="23">
        <x:v>0</x:v>
      </x:c>
    </x:row>
    <x:row r="1202">
      <x:c r="A1202" s="18" t="s">
        <x:v>2675</x:v>
      </x:c>
      <x:c r="B1202" s="19" t="s">
        <x:v>2676</x:v>
      </x:c>
      <x:c r="C1202" s="20">
        <x:v>83025000</x:v>
      </x:c>
      <x:c r="D1202" s="20">
        <x:v>440.34</x:v>
      </x:c>
      <x:c r="E1202" s="18" t="s">
        <x:v>227</x:v>
      </x:c>
      <x:c r="F1202" s="19" t="s">
        <x:v>11</x:v>
      </x:c>
      <x:c r="G1202" s="20">
        <x:v>0</x:v>
      </x:c>
      <x:c r="H1202" s="21"/>
      <x:c r="I1202" s="21"/>
      <x:c r="J1202" s="23">
        <x:v>5</x:v>
      </x:c>
      <x:c r="K1202" s="23">
        <x:v>32279.85</x:v>
      </x:c>
      <x:c r="L1202" s="23">
        <x:v>5</x:v>
      </x:c>
    </x:row>
    <x:row r="1203">
      <x:c r="A1203" s="18" t="s">
        <x:v>2677</x:v>
      </x:c>
      <x:c r="B1203" s="19" t="s">
        <x:v>2678</x:v>
      </x:c>
      <x:c r="C1203" s="20">
        <x:v>83024200</x:v>
      </x:c>
      <x:c r="D1203" s="20">
        <x:v>2070</x:v>
      </x:c>
      <x:c r="E1203" s="18" t="s">
        <x:v>227</x:v>
      </x:c>
      <x:c r="F1203" s="19" t="s">
        <x:v>11</x:v>
      </x:c>
      <x:c r="G1203" s="20">
        <x:v>0</x:v>
      </x:c>
      <x:c r="H1203" s="21"/>
      <x:c r="I1203" s="21"/>
      <x:c r="J1203" s="23">
        <x:v>39</x:v>
      </x:c>
      <x:c r="K1203" s="23">
        <x:v>1075.8499999999999</x:v>
      </x:c>
      <x:c r="L1203" s="23">
        <x:v>30</x:v>
      </x:c>
    </x:row>
    <x:row r="1204">
      <x:c r="A1204" s="18" t="s">
        <x:v>2679</x:v>
      </x:c>
      <x:c r="B1204" s="19" t="s">
        <x:v>114</x:v>
      </x:c>
      <x:c r="C1204" s="20">
        <x:v>39269099</x:v>
      </x:c>
      <x:c r="D1204" s="20">
        <x:v>1821.7</x:v>
      </x:c>
      <x:c r="E1204" s="18" t="s">
        <x:v>227</x:v>
      </x:c>
      <x:c r="F1204" s="19" t="s">
        <x:v>11</x:v>
      </x:c>
      <x:c r="G1204" s="20">
        <x:v>2</x:v>
      </x:c>
      <x:c r="H1204" s="21"/>
      <x:c r="I1204" s="26" t="s">
        <x:v>233</x:v>
      </x:c>
      <x:c r="J1204" s="23">
        <x:v>2560</x:v>
      </x:c>
      <x:c r="K1204" s="23">
        <x:v>5120</x:v>
      </x:c>
      <x:c r="L1204" s="23">
        <x:v>1618</x:v>
      </x:c>
    </x:row>
    <x:row r="1205">
      <x:c r="A1205" s="18" t="s">
        <x:v>2680</x:v>
      </x:c>
      <x:c r="B1205" s="19" t="s">
        <x:v>2681</x:v>
      </x:c>
      <x:c r="C1205" s="20">
        <x:v>39249090</x:v>
      </x:c>
      <x:c r="D1205" s="20">
        <x:v>4149</x:v>
      </x:c>
      <x:c r="E1205" s="18" t="s">
        <x:v>227</x:v>
      </x:c>
      <x:c r="F1205" s="19" t="s">
        <x:v>11</x:v>
      </x:c>
      <x:c r="G1205" s="20">
        <x:v>0</x:v>
      </x:c>
      <x:c r="H1205" s="21"/>
      <x:c r="I1205" s="21"/>
      <x:c r="J1205" s="23">
        <x:v>9</x:v>
      </x:c>
      <x:c r="K1205" s="23">
        <x:v>5278.1</x:v>
      </x:c>
      <x:c r="L1205" s="23">
        <x:v>5</x:v>
      </x:c>
    </x:row>
    <x:row r="1206">
      <x:c r="A1206" s="18" t="s">
        <x:v>2682</x:v>
      </x:c>
      <x:c r="B1206" s="19" t="s">
        <x:v>2683</x:v>
      </x:c>
      <x:c r="C1206" s="20">
        <x:v>39249090</x:v>
      </x:c>
      <x:c r="D1206" s="20">
        <x:v>1583.59</x:v>
      </x:c>
      <x:c r="E1206" s="18" t="s">
        <x:v>227</x:v>
      </x:c>
      <x:c r="F1206" s="19" t="s">
        <x:v>11</x:v>
      </x:c>
      <x:c r="G1206" s="20">
        <x:v>0</x:v>
      </x:c>
      <x:c r="H1206" s="21"/>
      <x:c r="I1206" s="21"/>
      <x:c r="J1206" s="22">
        <x:v>0</x:v>
      </x:c>
      <x:c r="K1206" s="22">
        <x:v>0</x:v>
      </x:c>
      <x:c r="L1206" s="23">
        <x:v>0</x:v>
      </x:c>
    </x:row>
    <x:row r="1207">
      <x:c r="A1207" s="18" t="s">
        <x:v>2684</x:v>
      </x:c>
      <x:c r="B1207" s="19" t="s">
        <x:v>2685</x:v>
      </x:c>
      <x:c r="C1207" s="20">
        <x:v>39249090</x:v>
      </x:c>
      <x:c r="D1207" s="20">
        <x:v>1669</x:v>
      </x:c>
      <x:c r="E1207" s="18" t="s">
        <x:v>227</x:v>
      </x:c>
      <x:c r="F1207" s="19" t="s">
        <x:v>11</x:v>
      </x:c>
      <x:c r="G1207" s="20">
        <x:v>0</x:v>
      </x:c>
      <x:c r="H1207" s="21"/>
      <x:c r="I1207" s="21"/>
      <x:c r="J1207" s="23">
        <x:v>15</x:v>
      </x:c>
      <x:c r="K1207" s="23">
        <x:v>17114.25</x:v>
      </x:c>
      <x:c r="L1207" s="23">
        <x:v>8</x:v>
      </x:c>
    </x:row>
    <x:row r="1208">
      <x:c r="A1208" s="18" t="s">
        <x:v>2686</x:v>
      </x:c>
      <x:c r="B1208" s="19" t="s">
        <x:v>2687</x:v>
      </x:c>
      <x:c r="C1208" s="20">
        <x:v>39269099</x:v>
      </x:c>
      <x:c r="D1208" s="20">
        <x:v>1413</x:v>
      </x:c>
      <x:c r="E1208" s="18" t="s">
        <x:v>227</x:v>
      </x:c>
      <x:c r="F1208" s="19" t="s">
        <x:v>41</x:v>
      </x:c>
      <x:c r="G1208" s="20">
        <x:v>20</x:v>
      </x:c>
      <x:c r="H1208" s="21"/>
      <x:c r="I1208" s="26" t="s">
        <x:v>2688</x:v>
      </x:c>
      <x:c r="J1208" s="23">
        <x:v>1698</x:v>
      </x:c>
      <x:c r="K1208" s="23">
        <x:v>18720.45</x:v>
      </x:c>
      <x:c r="L1208" s="23">
        <x:v>1568</x:v>
      </x:c>
    </x:row>
    <x:row r="1209">
      <x:c r="A1209" s="18" t="s">
        <x:v>2689</x:v>
      </x:c>
      <x:c r="B1209" s="19" t="s">
        <x:v>2690</x:v>
      </x:c>
      <x:c r="C1209" s="20">
        <x:v>39269099</x:v>
      </x:c>
      <x:c r="D1209" s="20">
        <x:v>2232.73</x:v>
      </x:c>
      <x:c r="E1209" s="18" t="s">
        <x:v>227</x:v>
      </x:c>
      <x:c r="F1209" s="19" t="s">
        <x:v>41</x:v>
      </x:c>
      <x:c r="G1209" s="20">
        <x:v>0</x:v>
      </x:c>
      <x:c r="H1209" s="21"/>
      <x:c r="I1209" s="21"/>
      <x:c r="J1209" s="22">
        <x:v>0</x:v>
      </x:c>
      <x:c r="K1209" s="22">
        <x:v>0</x:v>
      </x:c>
      <x:c r="L1209" s="23">
        <x:v>3979</x:v>
      </x:c>
    </x:row>
    <x:row r="1210">
      <x:c r="A1210" s="18" t="s">
        <x:v>2691</x:v>
      </x:c>
      <x:c r="B1210" s="19" t="s">
        <x:v>2692</x:v>
      </x:c>
      <x:c r="C1210" s="20">
        <x:v>39269099</x:v>
      </x:c>
      <x:c r="D1210" s="20">
        <x:v>1204</x:v>
      </x:c>
      <x:c r="E1210" s="18" t="s">
        <x:v>227</x:v>
      </x:c>
      <x:c r="F1210" s="19" t="s">
        <x:v>41</x:v>
      </x:c>
      <x:c r="G1210" s="20">
        <x:v>13</x:v>
      </x:c>
      <x:c r="H1210" s="21"/>
      <x:c r="I1210" s="26" t="s">
        <x:v>272</x:v>
      </x:c>
      <x:c r="J1210" s="23">
        <x:v>418.5</x:v>
      </x:c>
      <x:c r="K1210" s="23">
        <x:v>4185</x:v>
      </x:c>
      <x:c r="L1210" s="23">
        <x:v>5083</x:v>
      </x:c>
    </x:row>
    <x:row r="1211">
      <x:c r="A1211" s="18" t="s">
        <x:v>2693</x:v>
      </x:c>
      <x:c r="B1211" s="19" t="s">
        <x:v>2694</x:v>
      </x:c>
      <x:c r="C1211" s="20">
        <x:v>39269099</x:v>
      </x:c>
      <x:c r="D1211" s="20">
        <x:v>11.53</x:v>
      </x:c>
      <x:c r="E1211" s="18" t="s">
        <x:v>227</x:v>
      </x:c>
      <x:c r="F1211" s="19" t="s">
        <x:v>11</x:v>
      </x:c>
      <x:c r="G1211" s="20">
        <x:v>0</x:v>
      </x:c>
      <x:c r="H1211" s="21"/>
      <x:c r="I1211" s="21"/>
      <x:c r="J1211" s="22">
        <x:v>0</x:v>
      </x:c>
      <x:c r="K1211" s="22">
        <x:v>0</x:v>
      </x:c>
      <x:c r="L1211" s="23">
        <x:v>0</x:v>
      </x:c>
    </x:row>
    <x:row r="1212">
      <x:c r="A1212" s="18" t="s">
        <x:v>2695</x:v>
      </x:c>
      <x:c r="B1212" s="19" t="s">
        <x:v>2696</x:v>
      </x:c>
      <x:c r="C1212" s="20">
        <x:v>39269099</x:v>
      </x:c>
      <x:c r="D1212" s="20">
        <x:v>1089</x:v>
      </x:c>
      <x:c r="E1212" s="18" t="s">
        <x:v>227</x:v>
      </x:c>
      <x:c r="F1212" s="19" t="s">
        <x:v>11</x:v>
      </x:c>
      <x:c r="G1212" s="20">
        <x:v>0</x:v>
      </x:c>
      <x:c r="H1212" s="21"/>
      <x:c r="I1212" s="21"/>
      <x:c r="J1212" s="22">
        <x:v>0</x:v>
      </x:c>
      <x:c r="K1212" s="22">
        <x:v>0</x:v>
      </x:c>
      <x:c r="L1212" s="23">
        <x:v>0</x:v>
      </x:c>
    </x:row>
    <x:row r="1213">
      <x:c r="A1213" s="18" t="s">
        <x:v>2697</x:v>
      </x:c>
      <x:c r="B1213" s="19" t="s">
        <x:v>2698</x:v>
      </x:c>
      <x:c r="C1213" s="20">
        <x:v>39269099</x:v>
      </x:c>
      <x:c r="D1213" s="20">
        <x:v>720</x:v>
      </x:c>
      <x:c r="E1213" s="18" t="s">
        <x:v>227</x:v>
      </x:c>
      <x:c r="F1213" s="19" t="s">
        <x:v>11</x:v>
      </x:c>
      <x:c r="G1213" s="20">
        <x:v>55.09</x:v>
      </x:c>
      <x:c r="H1213" s="21"/>
      <x:c r="I1213" s="26" t="s">
        <x:v>791</x:v>
      </x:c>
      <x:c r="J1213" s="23">
        <x:v>32</x:v>
      </x:c>
      <x:c r="K1213" s="23">
        <x:v>1762.88</x:v>
      </x:c>
      <x:c r="L1213" s="23">
        <x:v>82</x:v>
      </x:c>
    </x:row>
    <x:row r="1214">
      <x:c r="A1214" s="18" t="s">
        <x:v>2699</x:v>
      </x:c>
      <x:c r="B1214" s="19" t="s">
        <x:v>2700</x:v>
      </x:c>
      <x:c r="C1214" s="20">
        <x:v>39204900</x:v>
      </x:c>
      <x:c r="D1214" s="20">
        <x:v>1733.38</x:v>
      </x:c>
      <x:c r="E1214" s="18" t="s">
        <x:v>227</x:v>
      </x:c>
      <x:c r="F1214" s="19" t="s">
        <x:v>41</x:v>
      </x:c>
      <x:c r="G1214" s="20">
        <x:v>0</x:v>
      </x:c>
      <x:c r="H1214" s="21"/>
      <x:c r="I1214" s="21"/>
      <x:c r="J1214" s="22">
        <x:v>0</x:v>
      </x:c>
      <x:c r="K1214" s="22">
        <x:v>0</x:v>
      </x:c>
      <x:c r="L1214" s="23">
        <x:v>0</x:v>
      </x:c>
    </x:row>
    <x:row r="1215">
      <x:c r="A1215" s="18" t="s">
        <x:v>2701</x:v>
      </x:c>
      <x:c r="B1215" s="19" t="s">
        <x:v>2702</x:v>
      </x:c>
      <x:c r="C1215" s="20">
        <x:v>39204900</x:v>
      </x:c>
      <x:c r="D1215" s="20">
        <x:v>1201.5899999999999</x:v>
      </x:c>
      <x:c r="E1215" s="18" t="s">
        <x:v>227</x:v>
      </x:c>
      <x:c r="F1215" s="19" t="s">
        <x:v>41</x:v>
      </x:c>
      <x:c r="G1215" s="20">
        <x:v>226.94</x:v>
      </x:c>
      <x:c r="H1215" s="21"/>
      <x:c r="I1215" s="26" t="s">
        <x:v>2703</x:v>
      </x:c>
      <x:c r="J1215" s="22">
        <x:v>0</x:v>
      </x:c>
      <x:c r="K1215" s="22">
        <x:v>0</x:v>
      </x:c>
      <x:c r="L1215" s="23">
        <x:v>2991</x:v>
      </x:c>
    </x:row>
    <x:row r="1216">
      <x:c r="A1216" s="18" t="s">
        <x:v>2704</x:v>
      </x:c>
      <x:c r="B1216" s="19" t="s">
        <x:v>2705</x:v>
      </x:c>
      <x:c r="C1216" s="20">
        <x:v>39204900</x:v>
      </x:c>
      <x:c r="D1216" s="20">
        <x:v>1161.8399999999999</x:v>
      </x:c>
      <x:c r="E1216" s="18" t="s">
        <x:v>227</x:v>
      </x:c>
      <x:c r="F1216" s="19" t="s">
        <x:v>41</x:v>
      </x:c>
      <x:c r="G1216" s="20">
        <x:v>1150.2</x:v>
      </x:c>
      <x:c r="H1216" s="21"/>
      <x:c r="I1216" s="26" t="s">
        <x:v>2706</x:v>
      </x:c>
      <x:c r="J1216" s="22">
        <x:v>0</x:v>
      </x:c>
      <x:c r="K1216" s="22">
        <x:v>0</x:v>
      </x:c>
      <x:c r="L1216" s="23">
        <x:v>0</x:v>
      </x:c>
    </x:row>
    <x:row r="1217">
      <x:c r="A1217" s="18" t="s">
        <x:v>2707</x:v>
      </x:c>
      <x:c r="B1217" s="19" t="s">
        <x:v>2708</x:v>
      </x:c>
      <x:c r="C1217" s="20">
        <x:v>39204900</x:v>
      </x:c>
      <x:c r="D1217" s="20">
        <x:v>9.3800000000000008</x:v>
      </x:c>
      <x:c r="E1217" s="18" t="s">
        <x:v>227</x:v>
      </x:c>
      <x:c r="F1217" s="19" t="s">
        <x:v>41</x:v>
      </x:c>
      <x:c r="G1217" s="20">
        <x:v>1228.3</x:v>
      </x:c>
      <x:c r="H1217" s="21"/>
      <x:c r="I1217" s="26" t="s">
        <x:v>2706</x:v>
      </x:c>
      <x:c r="J1217" s="22">
        <x:v>0</x:v>
      </x:c>
      <x:c r="K1217" s="22">
        <x:v>0</x:v>
      </x:c>
      <x:c r="L1217" s="23">
        <x:v>2</x:v>
      </x:c>
    </x:row>
    <x:row r="1218">
      <x:c r="A1218" s="18" t="s">
        <x:v>2709</x:v>
      </x:c>
      <x:c r="B1218" s="19" t="s">
        <x:v>2710</x:v>
      </x:c>
      <x:c r="C1218" s="20">
        <x:v>39269099</x:v>
      </x:c>
      <x:c r="D1218" s="20">
        <x:v>455.4</x:v>
      </x:c>
      <x:c r="E1218" s="18" t="s">
        <x:v>227</x:v>
      </x:c>
      <x:c r="F1218" s="19" t="s">
        <x:v>11</x:v>
      </x:c>
      <x:c r="G1218" s="20">
        <x:v>60</x:v>
      </x:c>
      <x:c r="H1218" s="21"/>
      <x:c r="I1218" s="26" t="s">
        <x:v>2688</x:v>
      </x:c>
      <x:c r="J1218" s="22">
        <x:v>0</x:v>
      </x:c>
      <x:c r="K1218" s="22">
        <x:v>0</x:v>
      </x:c>
      <x:c r="L1218" s="23">
        <x:v>67</x:v>
      </x:c>
    </x:row>
    <x:row r="1219">
      <x:c r="A1219" s="18" t="s">
        <x:v>2711</x:v>
      </x:c>
      <x:c r="B1219" s="19" t="s">
        <x:v>2712</x:v>
      </x:c>
      <x:c r="C1219" s="20">
        <x:v>39269099</x:v>
      </x:c>
      <x:c r="D1219" s="20">
        <x:v>511.48</x:v>
      </x:c>
      <x:c r="E1219" s="18" t="s">
        <x:v>227</x:v>
      </x:c>
      <x:c r="F1219" s="19" t="s">
        <x:v>11</x:v>
      </x:c>
      <x:c r="G1219" s="20">
        <x:v>4.4000000000000004</x:v>
      </x:c>
      <x:c r="H1219" s="21"/>
      <x:c r="I1219" s="26" t="s">
        <x:v>272</x:v>
      </x:c>
      <x:c r="J1219" s="22">
        <x:v>0</x:v>
      </x:c>
      <x:c r="K1219" s="22">
        <x:v>0</x:v>
      </x:c>
      <x:c r="L1219" s="23">
        <x:v>491</x:v>
      </x:c>
    </x:row>
    <x:row r="1220">
      <x:c r="A1220" s="18" t="s">
        <x:v>2713</x:v>
      </x:c>
      <x:c r="B1220" s="19" t="s">
        <x:v>2714</x:v>
      </x:c>
      <x:c r="C1220" s="20">
        <x:v>39269099</x:v>
      </x:c>
      <x:c r="D1220" s="20">
        <x:v>459.22</x:v>
      </x:c>
      <x:c r="E1220" s="18" t="s">
        <x:v>227</x:v>
      </x:c>
      <x:c r="F1220" s="19" t="s">
        <x:v>41</x:v>
      </x:c>
      <x:c r="G1220" s="20">
        <x:v>4</x:v>
      </x:c>
      <x:c r="H1220" s="21"/>
      <x:c r="I1220" s="26" t="s">
        <x:v>2715</x:v>
      </x:c>
      <x:c r="J1220" s="22">
        <x:v>0</x:v>
      </x:c>
      <x:c r="K1220" s="22">
        <x:v>0</x:v>
      </x:c>
      <x:c r="L1220" s="23">
        <x:v>9000</x:v>
      </x:c>
    </x:row>
    <x:row r="1221">
      <x:c r="A1221" s="18" t="s">
        <x:v>2716</x:v>
      </x:c>
      <x:c r="B1221" s="19" t="s">
        <x:v>2717</x:v>
      </x:c>
      <x:c r="C1221" s="20">
        <x:v>39269010</x:v>
      </x:c>
      <x:c r="D1221" s="20">
        <x:v>2239.52</x:v>
      </x:c>
      <x:c r="E1221" s="18" t="s">
        <x:v>227</x:v>
      </x:c>
      <x:c r="F1221" s="19" t="s">
        <x:v>11</x:v>
      </x:c>
      <x:c r="G1221" s="20">
        <x:v>0</x:v>
      </x:c>
      <x:c r="H1221" s="21"/>
      <x:c r="I1221" s="21"/>
      <x:c r="J1221" s="23">
        <x:v>1495</x:v>
      </x:c>
      <x:c r="K1221" s="23">
        <x:v>1539.85</x:v>
      </x:c>
      <x:c r="L1221" s="23">
        <x:v>1335</x:v>
      </x:c>
    </x:row>
    <x:row r="1222">
      <x:c r="A1222" s="18" t="s">
        <x:v>2718</x:v>
      </x:c>
      <x:c r="B1222" s="19" t="s">
        <x:v>105</x:v>
      </x:c>
      <x:c r="C1222" s="20">
        <x:v>39269010</x:v>
      </x:c>
      <x:c r="D1222" s="20">
        <x:v>1971</x:v>
      </x:c>
      <x:c r="E1222" s="18" t="s">
        <x:v>227</x:v>
      </x:c>
      <x:c r="F1222" s="19" t="s">
        <x:v>11</x:v>
      </x:c>
      <x:c r="G1222" s="20">
        <x:v>0</x:v>
      </x:c>
      <x:c r="H1222" s="21"/>
      <x:c r="I1222" s="21"/>
      <x:c r="J1222" s="23">
        <x:v>48832</x:v>
      </x:c>
      <x:c r="K1222" s="23">
        <x:v>54273.599999999999</x:v>
      </x:c>
      <x:c r="L1222" s="23">
        <x:v>18607</x:v>
      </x:c>
    </x:row>
    <x:row r="1223">
      <x:c r="A1223" s="18" t="s">
        <x:v>2719</x:v>
      </x:c>
      <x:c r="B1223" s="19" t="s">
        <x:v>2720</x:v>
      </x:c>
      <x:c r="C1223" s="20">
        <x:v>39269099</x:v>
      </x:c>
      <x:c r="D1223" s="20">
        <x:v>4608.6499999999996</x:v>
      </x:c>
      <x:c r="E1223" s="18" t="s">
        <x:v>227</x:v>
      </x:c>
      <x:c r="F1223" s="19" t="s">
        <x:v>11</x:v>
      </x:c>
      <x:c r="G1223" s="20">
        <x:v>0</x:v>
      </x:c>
      <x:c r="H1223" s="21"/>
      <x:c r="I1223" s="21"/>
      <x:c r="J1223" s="23">
        <x:v>100</x:v>
      </x:c>
      <x:c r="K1223" s="23">
        <x:v>15000</x:v>
      </x:c>
      <x:c r="L1223" s="23">
        <x:v>93</x:v>
      </x:c>
    </x:row>
    <x:row r="1224">
      <x:c r="A1224" s="18" t="s">
        <x:v>2721</x:v>
      </x:c>
      <x:c r="B1224" s="19" t="s">
        <x:v>2722</x:v>
      </x:c>
      <x:c r="C1224" s="20">
        <x:v>39269099</x:v>
      </x:c>
      <x:c r="D1224" s="20">
        <x:v>372</x:v>
      </x:c>
      <x:c r="E1224" s="18" t="s">
        <x:v>227</x:v>
      </x:c>
      <x:c r="F1224" s="19" t="s">
        <x:v>11</x:v>
      </x:c>
      <x:c r="G1224" s="20">
        <x:v>0</x:v>
      </x:c>
      <x:c r="H1224" s="21"/>
      <x:c r="I1224" s="21"/>
      <x:c r="J1224" s="23">
        <x:v>55</x:v>
      </x:c>
      <x:c r="K1224" s="23">
        <x:v>4950</x:v>
      </x:c>
      <x:c r="L1224" s="23">
        <x:v>38</x:v>
      </x:c>
    </x:row>
    <x:row r="1225">
      <x:c r="A1225" s="18" t="s">
        <x:v>2723</x:v>
      </x:c>
      <x:c r="B1225" s="19" t="s">
        <x:v>2724</x:v>
      </x:c>
      <x:c r="C1225" s="20">
        <x:v>39269099</x:v>
      </x:c>
      <x:c r="D1225" s="20">
        <x:v>2160</x:v>
      </x:c>
      <x:c r="E1225" s="18" t="s">
        <x:v>227</x:v>
      </x:c>
      <x:c r="F1225" s="19" t="s">
        <x:v>11</x:v>
      </x:c>
      <x:c r="G1225" s="20">
        <x:v>0</x:v>
      </x:c>
      <x:c r="H1225" s="21"/>
      <x:c r="I1225" s="21"/>
      <x:c r="J1225" s="22">
        <x:v>0</x:v>
      </x:c>
      <x:c r="K1225" s="22">
        <x:v>0</x:v>
      </x:c>
      <x:c r="L1225" s="23">
        <x:v>0</x:v>
      </x:c>
    </x:row>
    <x:row r="1226">
      <x:c r="A1226" s="18" t="s">
        <x:v>2725</x:v>
      </x:c>
      <x:c r="B1226" s="19" t="s">
        <x:v>2726</x:v>
      </x:c>
      <x:c r="C1226" s="20">
        <x:v>39269099</x:v>
      </x:c>
      <x:c r="D1226" s="20">
        <x:v>456</x:v>
      </x:c>
      <x:c r="E1226" s="18" t="s">
        <x:v>227</x:v>
      </x:c>
      <x:c r="F1226" s="19" t="s">
        <x:v>11</x:v>
      </x:c>
      <x:c r="G1226" s="20">
        <x:v>1</x:v>
      </x:c>
      <x:c r="H1226" s="21"/>
      <x:c r="I1226" s="26" t="s">
        <x:v>233</x:v>
      </x:c>
      <x:c r="J1226" s="23">
        <x:v>121</x:v>
      </x:c>
      <x:c r="K1226" s="23">
        <x:v>121</x:v>
      </x:c>
      <x:c r="L1226" s="23">
        <x:v>13</x:v>
      </x:c>
    </x:row>
    <x:row r="1227">
      <x:c r="A1227" s="18" t="s">
        <x:v>2727</x:v>
      </x:c>
      <x:c r="B1227" s="19" t="s">
        <x:v>2728</x:v>
      </x:c>
      <x:c r="C1227" s="20">
        <x:v>39269099</x:v>
      </x:c>
      <x:c r="D1227" s="20">
        <x:v>9.3800000000000008</x:v>
      </x:c>
      <x:c r="E1227" s="18" t="s">
        <x:v>227</x:v>
      </x:c>
      <x:c r="F1227" s="19" t="s">
        <x:v>11</x:v>
      </x:c>
      <x:c r="G1227" s="20">
        <x:v>0</x:v>
      </x:c>
      <x:c r="H1227" s="21"/>
      <x:c r="I1227" s="21"/>
      <x:c r="J1227" s="22">
        <x:v>0</x:v>
      </x:c>
      <x:c r="K1227" s="22">
        <x:v>0</x:v>
      </x:c>
      <x:c r="L1227" s="23">
        <x:v>0</x:v>
      </x:c>
    </x:row>
    <x:row r="1228">
      <x:c r="A1228" s="18" t="s">
        <x:v>2729</x:v>
      </x:c>
      <x:c r="B1228" s="19" t="s">
        <x:v>2730</x:v>
      </x:c>
      <x:c r="C1228" s="20">
        <x:v>39269099</x:v>
      </x:c>
      <x:c r="D1228" s="20">
        <x:v>2403.1799999999998</x:v>
      </x:c>
      <x:c r="E1228" s="18" t="s">
        <x:v>227</x:v>
      </x:c>
      <x:c r="F1228" s="19" t="s">
        <x:v>82</x:v>
      </x:c>
      <x:c r="G1228" s="20">
        <x:v>0</x:v>
      </x:c>
      <x:c r="H1228" s="21"/>
      <x:c r="I1228" s="21"/>
      <x:c r="J1228" s="22">
        <x:v>0</x:v>
      </x:c>
      <x:c r="K1228" s="22">
        <x:v>0</x:v>
      </x:c>
      <x:c r="L1228" s="23">
        <x:v>0</x:v>
      </x:c>
    </x:row>
    <x:row r="1229">
      <x:c r="A1229" s="18" t="s">
        <x:v>2731</x:v>
      </x:c>
      <x:c r="B1229" s="19" t="s">
        <x:v>2732</x:v>
      </x:c>
      <x:c r="C1229" s="20">
        <x:v>39269099</x:v>
      </x:c>
      <x:c r="D1229" s="20">
        <x:v>866</x:v>
      </x:c>
      <x:c r="E1229" s="18" t="s">
        <x:v>227</x:v>
      </x:c>
      <x:c r="F1229" s="19" t="s">
        <x:v>82</x:v>
      </x:c>
      <x:c r="G1229" s="20">
        <x:v>0</x:v>
      </x:c>
      <x:c r="H1229" s="21"/>
      <x:c r="I1229" s="21"/>
      <x:c r="J1229" s="22">
        <x:v>0</x:v>
      </x:c>
      <x:c r="K1229" s="22">
        <x:v>0</x:v>
      </x:c>
      <x:c r="L1229" s="23">
        <x:v>0</x:v>
      </x:c>
    </x:row>
    <x:row r="1230">
      <x:c r="A1230" s="18" t="s">
        <x:v>2733</x:v>
      </x:c>
      <x:c r="B1230" s="19" t="s">
        <x:v>2734</x:v>
      </x:c>
      <x:c r="C1230" s="20">
        <x:v>39269099</x:v>
      </x:c>
      <x:c r="D1230" s="20">
        <x:v>1175</x:v>
      </x:c>
      <x:c r="E1230" s="18" t="s">
        <x:v>227</x:v>
      </x:c>
      <x:c r="F1230" s="19" t="s">
        <x:v>82</x:v>
      </x:c>
      <x:c r="G1230" s="20">
        <x:v>6888</x:v>
      </x:c>
      <x:c r="H1230" s="21"/>
      <x:c r="I1230" s="26" t="s">
        <x:v>2735</x:v>
      </x:c>
      <x:c r="J1230" s="23">
        <x:v>1</x:v>
      </x:c>
      <x:c r="K1230" s="23">
        <x:v>4132.8</x:v>
      </x:c>
      <x:c r="L1230" s="23">
        <x:v>8</x:v>
      </x:c>
    </x:row>
    <x:row r="1231">
      <x:c r="A1231" s="18" t="s">
        <x:v>2736</x:v>
      </x:c>
      <x:c r="B1231" s="19" t="s">
        <x:v>2737</x:v>
      </x:c>
      <x:c r="C1231" s="20">
        <x:v>39269099</x:v>
      </x:c>
      <x:c r="D1231" s="20">
        <x:v>603.70000000000005</x:v>
      </x:c>
      <x:c r="E1231" s="18" t="s">
        <x:v>227</x:v>
      </x:c>
      <x:c r="F1231" s="19" t="s">
        <x:v>82</x:v>
      </x:c>
      <x:c r="G1231" s="20">
        <x:v>0</x:v>
      </x:c>
      <x:c r="H1231" s="21"/>
      <x:c r="I1231" s="21"/>
      <x:c r="J1231" s="23">
        <x:v>19</x:v>
      </x:c>
      <x:c r="K1231" s="23">
        <x:v>11879.56</x:v>
      </x:c>
      <x:c r="L1231" s="23">
        <x:v>19</x:v>
      </x:c>
    </x:row>
    <x:row r="1232">
      <x:c r="A1232" s="18" t="s">
        <x:v>2738</x:v>
      </x:c>
      <x:c r="B1232" s="19" t="s">
        <x:v>2739</x:v>
      </x:c>
      <x:c r="C1232" s="20">
        <x:v>39269099</x:v>
      </x:c>
      <x:c r="D1232" s="20">
        <x:v>2848</x:v>
      </x:c>
      <x:c r="E1232" s="18" t="s">
        <x:v>227</x:v>
      </x:c>
      <x:c r="F1232" s="19" t="s">
        <x:v>82</x:v>
      </x:c>
      <x:c r="G1232" s="20">
        <x:v>0</x:v>
      </x:c>
      <x:c r="H1232" s="21"/>
      <x:c r="I1232" s="21"/>
      <x:c r="J1232" s="23">
        <x:v>10</x:v>
      </x:c>
      <x:c r="K1232" s="23">
        <x:v>7239</x:v>
      </x:c>
      <x:c r="L1232" s="23">
        <x:v>10</x:v>
      </x:c>
    </x:row>
    <x:row r="1233">
      <x:c r="A1233" s="18" t="s">
        <x:v>2740</x:v>
      </x:c>
      <x:c r="B1233" s="19" t="s">
        <x:v>2741</x:v>
      </x:c>
      <x:c r="C1233" s="20">
        <x:v>39269099</x:v>
      </x:c>
      <x:c r="D1233" s="20">
        <x:v>1165</x:v>
      </x:c>
      <x:c r="E1233" s="18" t="s">
        <x:v>227</x:v>
      </x:c>
      <x:c r="F1233" s="19" t="s">
        <x:v>82</x:v>
      </x:c>
      <x:c r="G1233" s="20">
        <x:v>0</x:v>
      </x:c>
      <x:c r="H1233" s="21"/>
      <x:c r="I1233" s="21"/>
      <x:c r="J1233" s="23">
        <x:v>5</x:v>
      </x:c>
      <x:c r="K1233" s="23">
        <x:v>7260</x:v>
      </x:c>
      <x:c r="L1233" s="23">
        <x:v>5</x:v>
      </x:c>
    </x:row>
    <x:row r="1234">
      <x:c r="A1234" s="18" t="s">
        <x:v>2742</x:v>
      </x:c>
      <x:c r="B1234" s="19" t="s">
        <x:v>2743</x:v>
      </x:c>
      <x:c r="C1234" s="20">
        <x:v>39269099</x:v>
      </x:c>
      <x:c r="D1234" s="20">
        <x:v>38000</x:v>
      </x:c>
      <x:c r="E1234" s="18" t="s">
        <x:v>227</x:v>
      </x:c>
      <x:c r="F1234" s="19" t="s">
        <x:v>82</x:v>
      </x:c>
      <x:c r="G1234" s="20">
        <x:v>1091</x:v>
      </x:c>
      <x:c r="H1234" s="21"/>
      <x:c r="I1234" s="26" t="s">
        <x:v>858</x:v>
      </x:c>
      <x:c r="J1234" s="23">
        <x:v>3</x:v>
      </x:c>
      <x:c r="K1234" s="23">
        <x:v>3081.6</x:v>
      </x:c>
      <x:c r="L1234" s="23">
        <x:v>9</x:v>
      </x:c>
    </x:row>
    <x:row r="1235">
      <x:c r="A1235" s="18" t="s">
        <x:v>2744</x:v>
      </x:c>
      <x:c r="B1235" s="19" t="s">
        <x:v>2745</x:v>
      </x:c>
      <x:c r="C1235" s="20">
        <x:v>39269099</x:v>
      </x:c>
      <x:c r="D1235" s="20">
        <x:v>770</x:v>
      </x:c>
      <x:c r="E1235" s="18" t="s">
        <x:v>227</x:v>
      </x:c>
      <x:c r="F1235" s="19" t="s">
        <x:v>82</x:v>
      </x:c>
      <x:c r="G1235" s="20">
        <x:v>0</x:v>
      </x:c>
      <x:c r="H1235" s="21"/>
      <x:c r="I1235" s="21"/>
      <x:c r="J1235" s="23">
        <x:v>8</x:v>
      </x:c>
      <x:c r="K1235" s="23">
        <x:v>7206.32</x:v>
      </x:c>
      <x:c r="L1235" s="23">
        <x:v>8</x:v>
      </x:c>
    </x:row>
    <x:row r="1236">
      <x:c r="A1236" s="18" t="s">
        <x:v>2746</x:v>
      </x:c>
      <x:c r="B1236" s="19" t="s">
        <x:v>2747</x:v>
      </x:c>
      <x:c r="C1236" s="20">
        <x:v>39269099</x:v>
      </x:c>
      <x:c r="D1236" s="20">
        <x:v>686</x:v>
      </x:c>
      <x:c r="E1236" s="18" t="s">
        <x:v>227</x:v>
      </x:c>
      <x:c r="F1236" s="19" t="s">
        <x:v>82</x:v>
      </x:c>
      <x:c r="G1236" s="20">
        <x:v>1149</x:v>
      </x:c>
      <x:c r="H1236" s="21"/>
      <x:c r="I1236" s="26" t="s">
        <x:v>858</x:v>
      </x:c>
      <x:c r="J1236" s="22">
        <x:v>0</x:v>
      </x:c>
      <x:c r="K1236" s="22">
        <x:v>0</x:v>
      </x:c>
      <x:c r="L1236" s="23">
        <x:v>6</x:v>
      </x:c>
    </x:row>
    <x:row r="1237">
      <x:c r="A1237" s="18" t="s">
        <x:v>2748</x:v>
      </x:c>
      <x:c r="B1237" s="19" t="s">
        <x:v>2749</x:v>
      </x:c>
      <x:c r="C1237" s="20">
        <x:v>39269099</x:v>
      </x:c>
      <x:c r="D1237" s="20">
        <x:v>593</x:v>
      </x:c>
      <x:c r="E1237" s="18" t="s">
        <x:v>227</x:v>
      </x:c>
      <x:c r="F1237" s="19" t="s">
        <x:v>82</x:v>
      </x:c>
      <x:c r="G1237" s="20">
        <x:v>0</x:v>
      </x:c>
      <x:c r="H1237" s="21"/>
      <x:c r="I1237" s="21"/>
      <x:c r="J1237" s="23">
        <x:v>175</x:v>
      </x:c>
      <x:c r="K1237" s="23">
        <x:v>78820.009999999995</x:v>
      </x:c>
      <x:c r="L1237" s="23">
        <x:v>194</x:v>
      </x:c>
    </x:row>
    <x:row r="1238">
      <x:c r="A1238" s="18" t="s">
        <x:v>2750</x:v>
      </x:c>
      <x:c r="B1238" s="19" t="s">
        <x:v>2751</x:v>
      </x:c>
      <x:c r="C1238" s="20">
        <x:v>39269099</x:v>
      </x:c>
      <x:c r="D1238" s="20">
        <x:v>35.93</x:v>
      </x:c>
      <x:c r="E1238" s="18" t="s">
        <x:v>227</x:v>
      </x:c>
      <x:c r="F1238" s="19" t="s">
        <x:v>11</x:v>
      </x:c>
      <x:c r="G1238" s="20">
        <x:v>0</x:v>
      </x:c>
      <x:c r="H1238" s="21"/>
      <x:c r="I1238" s="21"/>
      <x:c r="J1238" s="22">
        <x:v>0</x:v>
      </x:c>
      <x:c r="K1238" s="22">
        <x:v>0</x:v>
      </x:c>
      <x:c r="L1238" s="23">
        <x:v>0</x:v>
      </x:c>
    </x:row>
    <x:row r="1239">
      <x:c r="A1239" s="18" t="s">
        <x:v>2752</x:v>
      </x:c>
      <x:c r="B1239" s="19" t="s">
        <x:v>2753</x:v>
      </x:c>
      <x:c r="C1239" s="20">
        <x:v>39269099</x:v>
      </x:c>
      <x:c r="D1239" s="20">
        <x:v>54884.24</x:v>
      </x:c>
      <x:c r="E1239" s="18" t="s">
        <x:v>227</x:v>
      </x:c>
      <x:c r="F1239" s="19" t="s">
        <x:v>11</x:v>
      </x:c>
      <x:c r="G1239" s="20">
        <x:v>0</x:v>
      </x:c>
      <x:c r="H1239" s="21"/>
      <x:c r="I1239" s="21"/>
      <x:c r="J1239" s="23">
        <x:v>1</x:v>
      </x:c>
      <x:c r="K1239" s="23">
        <x:v>13291.66</x:v>
      </x:c>
      <x:c r="L1239" s="23">
        <x:v>1</x:v>
      </x:c>
    </x:row>
    <x:row r="1240">
      <x:c r="A1240" s="18" t="s">
        <x:v>2754</x:v>
      </x:c>
      <x:c r="B1240" s="19" t="s">
        <x:v>2755</x:v>
      </x:c>
      <x:c r="C1240" s="20">
        <x:v>39269099</x:v>
      </x:c>
      <x:c r="D1240" s="20">
        <x:v>54884.24</x:v>
      </x:c>
      <x:c r="E1240" s="18" t="s">
        <x:v>227</x:v>
      </x:c>
      <x:c r="F1240" s="19" t="s">
        <x:v>11</x:v>
      </x:c>
      <x:c r="G1240" s="20">
        <x:v>0</x:v>
      </x:c>
      <x:c r="H1240" s="21"/>
      <x:c r="I1240" s="21"/>
      <x:c r="J1240" s="23">
        <x:v>1</x:v>
      </x:c>
      <x:c r="K1240" s="23">
        <x:v>16013.02</x:v>
      </x:c>
      <x:c r="L1240" s="23">
        <x:v>1</x:v>
      </x:c>
    </x:row>
    <x:row r="1241">
      <x:c r="A1241" s="18" t="s">
        <x:v>2756</x:v>
      </x:c>
      <x:c r="B1241" s="19" t="s">
        <x:v>2757</x:v>
      </x:c>
      <x:c r="C1241" s="20">
        <x:v>39269099</x:v>
      </x:c>
      <x:c r="D1241" s="20">
        <x:v>1.57</x:v>
      </x:c>
      <x:c r="E1241" s="18" t="s">
        <x:v>227</x:v>
      </x:c>
      <x:c r="F1241" s="19" t="s">
        <x:v>11</x:v>
      </x:c>
      <x:c r="G1241" s="20">
        <x:v>0</x:v>
      </x:c>
      <x:c r="H1241" s="21"/>
      <x:c r="I1241" s="21"/>
      <x:c r="J1241" s="22">
        <x:v>0</x:v>
      </x:c>
      <x:c r="K1241" s="22">
        <x:v>0</x:v>
      </x:c>
      <x:c r="L1241" s="23">
        <x:v>0</x:v>
      </x:c>
    </x:row>
    <x:row r="1242">
      <x:c r="A1242" s="18" t="s">
        <x:v>2758</x:v>
      </x:c>
      <x:c r="B1242" s="19" t="s">
        <x:v>2759</x:v>
      </x:c>
      <x:c r="C1242" s="20">
        <x:v>83024200</x:v>
      </x:c>
      <x:c r="D1242" s="20">
        <x:v>2140.2399999999998</x:v>
      </x:c>
      <x:c r="E1242" s="18" t="s">
        <x:v>227</x:v>
      </x:c>
      <x:c r="F1242" s="19" t="s">
        <x:v>11</x:v>
      </x:c>
      <x:c r="G1242" s="20">
        <x:v>630</x:v>
      </x:c>
      <x:c r="H1242" s="21"/>
      <x:c r="I1242" s="26" t="s">
        <x:v>275</x:v>
      </x:c>
      <x:c r="J1242" s="22">
        <x:v>0</x:v>
      </x:c>
      <x:c r="K1242" s="22">
        <x:v>0</x:v>
      </x:c>
      <x:c r="L1242" s="23">
        <x:v>0</x:v>
      </x:c>
    </x:row>
    <x:row r="1243">
      <x:c r="A1243" s="18" t="s">
        <x:v>2760</x:v>
      </x:c>
      <x:c r="B1243" s="19" t="s">
        <x:v>2761</x:v>
      </x:c>
      <x:c r="C1243" s="20">
        <x:v>96121090</x:v>
      </x:c>
      <x:c r="D1243" s="20">
        <x:v>3350.52</x:v>
      </x:c>
      <x:c r="E1243" s="18" t="s">
        <x:v>227</x:v>
      </x:c>
      <x:c r="F1243" s="19" t="s">
        <x:v>11</x:v>
      </x:c>
      <x:c r="G1243" s="20">
        <x:v>0</x:v>
      </x:c>
      <x:c r="H1243" s="21"/>
      <x:c r="I1243" s="21"/>
      <x:c r="J1243" s="23">
        <x:v>61</x:v>
      </x:c>
      <x:c r="K1243" s="23">
        <x:v>54595</x:v>
      </x:c>
      <x:c r="L1243" s="23">
        <x:v>43</x:v>
      </x:c>
    </x:row>
    <x:row r="1244">
      <x:c r="A1244" s="18" t="s">
        <x:v>2762</x:v>
      </x:c>
      <x:c r="B1244" s="19" t="s">
        <x:v>2763</x:v>
      </x:c>
      <x:c r="C1244" s="20">
        <x:v>42023110</x:v>
      </x:c>
      <x:c r="D1244" s="20">
        <x:v>506</x:v>
      </x:c>
      <x:c r="E1244" s="18" t="s">
        <x:v>227</x:v>
      </x:c>
      <x:c r="F1244" s="19" t="s">
        <x:v>11</x:v>
      </x:c>
      <x:c r="G1244" s="20">
        <x:v>3075</x:v>
      </x:c>
      <x:c r="H1244" s="21"/>
      <x:c r="I1244" s="26" t="s">
        <x:v>255</x:v>
      </x:c>
      <x:c r="J1244" s="22">
        <x:v>0</x:v>
      </x:c>
      <x:c r="K1244" s="22">
        <x:v>0</x:v>
      </x:c>
      <x:c r="L1244" s="23">
        <x:v>0</x:v>
      </x:c>
    </x:row>
    <x:row r="1245">
      <x:c r="A1245" s="18" t="s">
        <x:v>2764</x:v>
      </x:c>
      <x:c r="B1245" s="19" t="s">
        <x:v>2765</x:v>
      </x:c>
      <x:c r="C1245" s="20">
        <x:v>76109090</x:v>
      </x:c>
      <x:c r="D1245" s="20">
        <x:v>356.67</x:v>
      </x:c>
      <x:c r="E1245" s="18" t="s">
        <x:v>227</x:v>
      </x:c>
      <x:c r="F1245" s="19" t="s">
        <x:v>11</x:v>
      </x:c>
      <x:c r="G1245" s="20">
        <x:v>0</x:v>
      </x:c>
      <x:c r="H1245" s="21"/>
      <x:c r="I1245" s="21"/>
      <x:c r="J1245" s="23">
        <x:v>480</x:v>
      </x:c>
      <x:c r="K1245" s="23">
        <x:v>108475.01</x:v>
      </x:c>
      <x:c r="L1245" s="23">
        <x:v>447</x:v>
      </x:c>
    </x:row>
    <x:row r="1246">
      <x:c r="A1246" s="18" t="s">
        <x:v>2766</x:v>
      </x:c>
      <x:c r="B1246" s="19" t="s">
        <x:v>2767</x:v>
      </x:c>
      <x:c r="C1246" s="20">
        <x:v>76109090</x:v>
      </x:c>
      <x:c r="D1246" s="20">
        <x:v>335.33</x:v>
      </x:c>
      <x:c r="E1246" s="18" t="s">
        <x:v>227</x:v>
      </x:c>
      <x:c r="F1246" s="19" t="s">
        <x:v>82</x:v>
      </x:c>
      <x:c r="G1246" s="20">
        <x:v>0</x:v>
      </x:c>
      <x:c r="H1246" s="21"/>
      <x:c r="I1246" s="21"/>
      <x:c r="J1246" s="23">
        <x:v>2</x:v>
      </x:c>
      <x:c r="K1246" s="23">
        <x:v>13000</x:v>
      </x:c>
      <x:c r="L1246" s="23">
        <x:v>1</x:v>
      </x:c>
    </x:row>
    <x:row r="1247">
      <x:c r="A1247" s="18" t="s">
        <x:v>2768</x:v>
      </x:c>
      <x:c r="B1247" s="19" t="s">
        <x:v>2769</x:v>
      </x:c>
      <x:c r="C1247" s="20">
        <x:v>76109090</x:v>
      </x:c>
      <x:c r="D1247" s="20">
        <x:v>600</x:v>
      </x:c>
      <x:c r="E1247" s="18" t="s">
        <x:v>227</x:v>
      </x:c>
      <x:c r="F1247" s="19" t="s">
        <x:v>82</x:v>
      </x:c>
      <x:c r="G1247" s="20">
        <x:v>12500</x:v>
      </x:c>
      <x:c r="H1247" s="21"/>
      <x:c r="I1247" s="26" t="s">
        <x:v>233</x:v>
      </x:c>
      <x:c r="J1247" s="23">
        <x:v>2</x:v>
      </x:c>
      <x:c r="K1247" s="23">
        <x:v>25000</x:v>
      </x:c>
      <x:c r="L1247" s="23">
        <x:v>1</x:v>
      </x:c>
    </x:row>
    <x:row r="1248">
      <x:c r="A1248" s="18" t="s">
        <x:v>2770</x:v>
      </x:c>
      <x:c r="B1248" s="19" t="s">
        <x:v>2771</x:v>
      </x:c>
      <x:c r="C1248" s="20">
        <x:v>76109090</x:v>
      </x:c>
      <x:c r="D1248" s="20">
        <x:v>2150</x:v>
      </x:c>
      <x:c r="E1248" s="18" t="s">
        <x:v>227</x:v>
      </x:c>
      <x:c r="F1248" s="19" t="s">
        <x:v>82</x:v>
      </x:c>
      <x:c r="G1248" s="20">
        <x:v>12500</x:v>
      </x:c>
      <x:c r="H1248" s="21"/>
      <x:c r="I1248" s="26" t="s">
        <x:v>233</x:v>
      </x:c>
      <x:c r="J1248" s="23">
        <x:v>5</x:v>
      </x:c>
      <x:c r="K1248" s="23">
        <x:v>62500</x:v>
      </x:c>
      <x:c r="L1248" s="23">
        <x:v>5</x:v>
      </x:c>
    </x:row>
    <x:row r="1249">
      <x:c r="A1249" s="18" t="s">
        <x:v>2772</x:v>
      </x:c>
      <x:c r="B1249" s="19" t="s">
        <x:v>2773</x:v>
      </x:c>
      <x:c r="C1249" s="20">
        <x:v>76109090</x:v>
      </x:c>
      <x:c r="D1249" s="20">
        <x:v>1730</x:v>
      </x:c>
      <x:c r="E1249" s="18" t="s">
        <x:v>227</x:v>
      </x:c>
      <x:c r="F1249" s="19" t="s">
        <x:v>82</x:v>
      </x:c>
      <x:c r="G1249" s="20">
        <x:v>44000</x:v>
      </x:c>
      <x:c r="H1249" s="21"/>
      <x:c r="I1249" s="26" t="s">
        <x:v>2339</x:v>
      </x:c>
      <x:c r="J1249" s="23">
        <x:v>2</x:v>
      </x:c>
      <x:c r="K1249" s="23">
        <x:v>109768.48</x:v>
      </x:c>
      <x:c r="L1249" s="23">
        <x:v>3</x:v>
      </x:c>
    </x:row>
    <x:row r="1250">
      <x:c r="A1250" s="18" t="s">
        <x:v>2774</x:v>
      </x:c>
      <x:c r="B1250" s="19" t="s">
        <x:v>2775</x:v>
      </x:c>
      <x:c r="C1250" s="20">
        <x:v>76109090</x:v>
      </x:c>
      <x:c r="D1250" s="20">
        <x:v>1328.15</x:v>
      </x:c>
      <x:c r="E1250" s="18" t="s">
        <x:v>227</x:v>
      </x:c>
      <x:c r="F1250" s="19" t="s">
        <x:v>82</x:v>
      </x:c>
      <x:c r="G1250" s="20">
        <x:v>0</x:v>
      </x:c>
      <x:c r="H1250" s="21"/>
      <x:c r="I1250" s="21"/>
      <x:c r="J1250" s="23">
        <x:v>2</x:v>
      </x:c>
      <x:c r="K1250" s="23">
        <x:v>109768.48</x:v>
      </x:c>
      <x:c r="L1250" s="23">
        <x:v>2</x:v>
      </x:c>
    </x:row>
    <x:row r="1251">
      <x:c r="A1251" s="18" t="s">
        <x:v>2776</x:v>
      </x:c>
      <x:c r="B1251" s="19" t="s">
        <x:v>2777</x:v>
      </x:c>
      <x:c r="C1251" s="20">
        <x:v>76109090</x:v>
      </x:c>
      <x:c r="D1251" s="20">
        <x:v>11.69</x:v>
      </x:c>
      <x:c r="E1251" s="18" t="s">
        <x:v>227</x:v>
      </x:c>
      <x:c r="F1251" s="19" t="s">
        <x:v>82</x:v>
      </x:c>
      <x:c r="G1251" s="20">
        <x:v>0</x:v>
      </x:c>
      <x:c r="H1251" s="21"/>
      <x:c r="I1251" s="21"/>
      <x:c r="J1251" s="23">
        <x:v>1</x:v>
      </x:c>
      <x:c r="K1251" s="23">
        <x:v>54884.24</x:v>
      </x:c>
      <x:c r="L1251" s="23">
        <x:v>1</x:v>
      </x:c>
    </x:row>
    <x:row r="1252">
      <x:c r="A1252" s="18" t="s">
        <x:v>2778</x:v>
      </x:c>
      <x:c r="B1252" s="19" t="s">
        <x:v>2779</x:v>
      </x:c>
      <x:c r="C1252" s="20">
        <x:v>76109090</x:v>
      </x:c>
      <x:c r="D1252" s="20">
        <x:v>11.79</x:v>
      </x:c>
      <x:c r="E1252" s="18" t="s">
        <x:v>227</x:v>
      </x:c>
      <x:c r="F1252" s="19" t="s">
        <x:v>82</x:v>
      </x:c>
      <x:c r="G1252" s="20">
        <x:v>0</x:v>
      </x:c>
      <x:c r="H1252" s="21"/>
      <x:c r="I1252" s="21"/>
      <x:c r="J1252" s="22">
        <x:v>0</x:v>
      </x:c>
      <x:c r="K1252" s="22">
        <x:v>0</x:v>
      </x:c>
      <x:c r="L1252" s="23">
        <x:v>0</x:v>
      </x:c>
    </x:row>
    <x:row r="1253">
      <x:c r="A1253" s="18" t="s">
        <x:v>2780</x:v>
      </x:c>
      <x:c r="B1253" s="19" t="s">
        <x:v>2781</x:v>
      </x:c>
      <x:c r="C1253" s="20">
        <x:v>76109090</x:v>
      </x:c>
      <x:c r="D1253" s="20">
        <x:v>606</x:v>
      </x:c>
      <x:c r="E1253" s="18" t="s">
        <x:v>227</x:v>
      </x:c>
      <x:c r="F1253" s="19" t="s">
        <x:v>82</x:v>
      </x:c>
      <x:c r="G1253" s="20">
        <x:v>0</x:v>
      </x:c>
      <x:c r="H1253" s="21"/>
      <x:c r="I1253" s="21"/>
      <x:c r="J1253" s="23">
        <x:v>1</x:v>
      </x:c>
      <x:c r="K1253" s="23">
        <x:v>10461.4</x:v>
      </x:c>
      <x:c r="L1253" s="23">
        <x:v>1</x:v>
      </x:c>
    </x:row>
    <x:row r="1254">
      <x:c r="A1254" s="18" t="s">
        <x:v>2782</x:v>
      </x:c>
      <x:c r="B1254" s="19" t="s">
        <x:v>2783</x:v>
      </x:c>
      <x:c r="C1254" s="20">
        <x:v>76109090</x:v>
      </x:c>
      <x:c r="D1254" s="20">
        <x:v>1080</x:v>
      </x:c>
      <x:c r="E1254" s="18" t="s">
        <x:v>227</x:v>
      </x:c>
      <x:c r="F1254" s="19" t="s">
        <x:v>82</x:v>
      </x:c>
      <x:c r="G1254" s="20">
        <x:v>0</x:v>
      </x:c>
      <x:c r="H1254" s="21"/>
      <x:c r="I1254" s="21"/>
      <x:c r="J1254" s="23">
        <x:v>1</x:v>
      </x:c>
      <x:c r="K1254" s="23">
        <x:v>24851.200000000001</x:v>
      </x:c>
      <x:c r="L1254" s="23">
        <x:v>1</x:v>
      </x:c>
    </x:row>
    <x:row r="1255">
      <x:c r="A1255" s="18" t="s">
        <x:v>2784</x:v>
      </x:c>
      <x:c r="B1255" s="19" t="s">
        <x:v>2785</x:v>
      </x:c>
      <x:c r="C1255" s="20">
        <x:v>76109090</x:v>
      </x:c>
      <x:c r="D1255" s="20">
        <x:v>1675</x:v>
      </x:c>
      <x:c r="E1255" s="18" t="s">
        <x:v>227</x:v>
      </x:c>
      <x:c r="F1255" s="19" t="s">
        <x:v>82</x:v>
      </x:c>
      <x:c r="G1255" s="20">
        <x:v>0</x:v>
      </x:c>
      <x:c r="H1255" s="20">
        <x:v>10</x:v>
      </x:c>
      <x:c r="I1255" s="21"/>
      <x:c r="J1255" s="23">
        <x:v>5</x:v>
      </x:c>
      <x:c r="K1255" s="23">
        <x:v>113659</x:v>
      </x:c>
      <x:c r="L1255" s="23">
        <x:v>3</x:v>
      </x:c>
    </x:row>
    <x:row r="1256">
      <x:c r="A1256" s="18" t="s">
        <x:v>2786</x:v>
      </x:c>
      <x:c r="B1256" s="19" t="s">
        <x:v>2787</x:v>
      </x:c>
      <x:c r="C1256" s="20">
        <x:v>76042990</x:v>
      </x:c>
      <x:c r="D1256" s="20">
        <x:v>875</x:v>
      </x:c>
      <x:c r="E1256" s="18" t="s">
        <x:v>227</x:v>
      </x:c>
      <x:c r="F1256" s="19" t="s">
        <x:v>11</x:v>
      </x:c>
      <x:c r="G1256" s="20">
        <x:v>0</x:v>
      </x:c>
      <x:c r="H1256" s="20">
        <x:v>10</x:v>
      </x:c>
      <x:c r="I1256" s="21"/>
      <x:c r="J1256" s="23">
        <x:v>1234</x:v>
      </x:c>
      <x:c r="K1256" s="23">
        <x:v>13339.54</x:v>
      </x:c>
      <x:c r="L1256" s="23">
        <x:v>1234</x:v>
      </x:c>
    </x:row>
    <x:row r="1257">
      <x:c r="A1257" s="18" t="s">
        <x:v>2788</x:v>
      </x:c>
      <x:c r="B1257" s="19" t="s">
        <x:v>2789</x:v>
      </x:c>
      <x:c r="C1257" s="20">
        <x:v>76042990</x:v>
      </x:c>
      <x:c r="D1257" s="20">
        <x:v>875</x:v>
      </x:c>
      <x:c r="E1257" s="18" t="s">
        <x:v>227</x:v>
      </x:c>
      <x:c r="F1257" s="19" t="s">
        <x:v>11</x:v>
      </x:c>
      <x:c r="G1257" s="20">
        <x:v>0</x:v>
      </x:c>
      <x:c r="H1257" s="20">
        <x:v>10</x:v>
      </x:c>
      <x:c r="I1257" s="21"/>
      <x:c r="J1257" s="23">
        <x:v>3151</x:v>
      </x:c>
      <x:c r="K1257" s="23">
        <x:v>47674.63</x:v>
      </x:c>
      <x:c r="L1257" s="23">
        <x:v>3151</x:v>
      </x:c>
    </x:row>
    <x:row r="1258">
      <x:c r="A1258" s="18" t="s">
        <x:v>2790</x:v>
      </x:c>
      <x:c r="B1258" s="19" t="s">
        <x:v>2791</x:v>
      </x:c>
      <x:c r="C1258" s="20">
        <x:v>40169350</x:v>
      </x:c>
      <x:c r="D1258" s="20">
        <x:v>1966</x:v>
      </x:c>
      <x:c r="E1258" s="18" t="s">
        <x:v>227</x:v>
      </x:c>
      <x:c r="F1258" s="19" t="s">
        <x:v>41</x:v>
      </x:c>
      <x:c r="G1258" s="20">
        <x:v>0</x:v>
      </x:c>
      <x:c r="H1258" s="20">
        <x:v>10</x:v>
      </x:c>
      <x:c r="I1258" s="21"/>
      <x:c r="J1258" s="23">
        <x:v>3691.8</x:v>
      </x:c>
      <x:c r="K1258" s="23">
        <x:v>39391.5</x:v>
      </x:c>
      <x:c r="L1258" s="23">
        <x:v>3500.8</x:v>
      </x:c>
    </x:row>
    <x:row r="1259">
      <x:c r="A1259" s="18" t="s">
        <x:v>2792</x:v>
      </x:c>
      <x:c r="B1259" s="19" t="s">
        <x:v>2793</x:v>
      </x:c>
      <x:c r="C1259" s="20">
        <x:v>83030000</x:v>
      </x:c>
      <x:c r="D1259" s="20">
        <x:v>1998</x:v>
      </x:c>
      <x:c r="E1259" s="18" t="s">
        <x:v>227</x:v>
      </x:c>
      <x:c r="F1259" s="19" t="s">
        <x:v>82</x:v>
      </x:c>
      <x:c r="G1259" s="20">
        <x:v>0</x:v>
      </x:c>
      <x:c r="H1259" s="20">
        <x:v>10</x:v>
      </x:c>
      <x:c r="I1259" s="21"/>
      <x:c r="J1259" s="23">
        <x:v>2</x:v>
      </x:c>
      <x:c r="K1259" s="23">
        <x:v>51840</x:v>
      </x:c>
      <x:c r="L1259" s="23">
        <x:v>1</x:v>
      </x:c>
    </x:row>
    <x:row r="1260">
      <x:c r="A1260" s="18" t="s">
        <x:v>2794</x:v>
      </x:c>
      <x:c r="B1260" s="19" t="s">
        <x:v>2795</x:v>
      </x:c>
      <x:c r="C1260" s="20">
        <x:v>68052090</x:v>
      </x:c>
      <x:c r="D1260" s="20">
        <x:v>1475</x:v>
      </x:c>
      <x:c r="E1260" s="18" t="s">
        <x:v>227</x:v>
      </x:c>
      <x:c r="F1260" s="19" t="s">
        <x:v>11</x:v>
      </x:c>
      <x:c r="G1260" s="20">
        <x:v>0</x:v>
      </x:c>
      <x:c r="H1260" s="20">
        <x:v>10</x:v>
      </x:c>
      <x:c r="I1260" s="21"/>
      <x:c r="J1260" s="22">
        <x:v>0</x:v>
      </x:c>
      <x:c r="K1260" s="22">
        <x:v>0</x:v>
      </x:c>
      <x:c r="L1260" s="23">
        <x:v>0</x:v>
      </x:c>
    </x:row>
    <x:row r="1261">
      <x:c r="A1261" s="18" t="s">
        <x:v>2796</x:v>
      </x:c>
      <x:c r="B1261" s="19" t="s">
        <x:v>2797</x:v>
      </x:c>
      <x:c r="C1261" s="20">
        <x:v>68052090</x:v>
      </x:c>
      <x:c r="D1261" s="20">
        <x:v>3400</x:v>
      </x:c>
      <x:c r="E1261" s="18" t="s">
        <x:v>227</x:v>
      </x:c>
      <x:c r="F1261" s="19" t="s">
        <x:v>11</x:v>
      </x:c>
      <x:c r="G1261" s="20">
        <x:v>0</x:v>
      </x:c>
      <x:c r="H1261" s="20">
        <x:v>10</x:v>
      </x:c>
      <x:c r="I1261" s="21"/>
      <x:c r="J1261" s="22">
        <x:v>0</x:v>
      </x:c>
      <x:c r="K1261" s="22">
        <x:v>0</x:v>
      </x:c>
      <x:c r="L1261" s="23">
        <x:v>0</x:v>
      </x:c>
    </x:row>
    <x:row r="1262">
      <x:c r="A1262" s="18" t="s">
        <x:v>2798</x:v>
      </x:c>
      <x:c r="B1262" s="19" t="s">
        <x:v>2799</x:v>
      </x:c>
      <x:c r="C1262" s="20">
        <x:v>68052090</x:v>
      </x:c>
      <x:c r="D1262" s="20">
        <x:v>0</x:v>
      </x:c>
      <x:c r="E1262" s="18" t="s">
        <x:v>227</x:v>
      </x:c>
      <x:c r="F1262" s="19" t="s">
        <x:v>11</x:v>
      </x:c>
      <x:c r="G1262" s="20">
        <x:v>0</x:v>
      </x:c>
      <x:c r="H1262" s="21"/>
      <x:c r="I1262" s="21"/>
      <x:c r="J1262" s="22">
        <x:v>0</x:v>
      </x:c>
      <x:c r="K1262" s="22">
        <x:v>0</x:v>
      </x:c>
      <x:c r="L1262" s="23">
        <x:v>0</x:v>
      </x:c>
    </x:row>
    <x:row r="1263">
      <x:c r="A1263" s="18" t="s">
        <x:v>2800</x:v>
      </x:c>
      <x:c r="B1263" s="19" t="s">
        <x:v>2801</x:v>
      </x:c>
      <x:c r="C1263" s="20">
        <x:v>68052090</x:v>
      </x:c>
      <x:c r="D1263" s="20">
        <x:v>0</x:v>
      </x:c>
      <x:c r="E1263" s="18" t="s">
        <x:v>227</x:v>
      </x:c>
      <x:c r="F1263" s="19" t="s">
        <x:v>11</x:v>
      </x:c>
      <x:c r="G1263" s="20">
        <x:v>0</x:v>
      </x:c>
      <x:c r="H1263" s="21"/>
      <x:c r="I1263" s="21"/>
      <x:c r="J1263" s="22">
        <x:v>0</x:v>
      </x:c>
      <x:c r="K1263" s="22">
        <x:v>0</x:v>
      </x:c>
      <x:c r="L1263" s="23">
        <x:v>0</x:v>
      </x:c>
    </x:row>
    <x:row r="1264">
      <x:c r="A1264" s="18" t="s">
        <x:v>2802</x:v>
      </x:c>
      <x:c r="B1264" s="19" t="s">
        <x:v>2803</x:v>
      </x:c>
      <x:c r="C1264" s="20">
        <x:v>68052090</x:v>
      </x:c>
      <x:c r="D1264" s="20">
        <x:v>0</x:v>
      </x:c>
      <x:c r="E1264" s="18" t="s">
        <x:v>227</x:v>
      </x:c>
      <x:c r="F1264" s="19" t="s">
        <x:v>11</x:v>
      </x:c>
      <x:c r="G1264" s="20">
        <x:v>0</x:v>
      </x:c>
      <x:c r="H1264" s="21"/>
      <x:c r="I1264" s="21"/>
      <x:c r="J1264" s="22">
        <x:v>0</x:v>
      </x:c>
      <x:c r="K1264" s="22">
        <x:v>0</x:v>
      </x:c>
      <x:c r="L1264" s="23">
        <x:v>0</x:v>
      </x:c>
    </x:row>
    <x:row r="1265">
      <x:c r="A1265" s="18" t="s">
        <x:v>2804</x:v>
      </x:c>
      <x:c r="B1265" s="19" t="s">
        <x:v>2805</x:v>
      </x:c>
      <x:c r="C1265" s="20">
        <x:v>68052090</x:v>
      </x:c>
      <x:c r="D1265" s="20">
        <x:v>0</x:v>
      </x:c>
      <x:c r="E1265" s="18" t="s">
        <x:v>227</x:v>
      </x:c>
      <x:c r="F1265" s="19" t="s">
        <x:v>11</x:v>
      </x:c>
      <x:c r="G1265" s="20">
        <x:v>0</x:v>
      </x:c>
      <x:c r="H1265" s="21"/>
      <x:c r="I1265" s="21"/>
      <x:c r="J1265" s="22">
        <x:v>0</x:v>
      </x:c>
      <x:c r="K1265" s="22">
        <x:v>0</x:v>
      </x:c>
      <x:c r="L1265" s="23">
        <x:v>0</x:v>
      </x:c>
    </x:row>
    <x:row r="1266">
      <x:c r="A1266" s="18" t="s">
        <x:v>2806</x:v>
      </x:c>
      <x:c r="B1266" s="19" t="s">
        <x:v>2807</x:v>
      </x:c>
      <x:c r="C1266" s="20">
        <x:v>68052090</x:v>
      </x:c>
      <x:c r="D1266" s="20">
        <x:v>0</x:v>
      </x:c>
      <x:c r="E1266" s="18" t="s">
        <x:v>227</x:v>
      </x:c>
      <x:c r="F1266" s="19" t="s">
        <x:v>11</x:v>
      </x:c>
      <x:c r="G1266" s="20">
        <x:v>300</x:v>
      </x:c>
      <x:c r="H1266" s="21"/>
      <x:c r="I1266" s="26" t="s">
        <x:v>2808</x:v>
      </x:c>
      <x:c r="J1266" s="22">
        <x:v>0</x:v>
      </x:c>
      <x:c r="K1266" s="22">
        <x:v>0</x:v>
      </x:c>
      <x:c r="L1266" s="23">
        <x:v>34</x:v>
      </x:c>
    </x:row>
    <x:row r="1267">
      <x:c r="A1267" s="18" t="s">
        <x:v>2809</x:v>
      </x:c>
      <x:c r="B1267" s="19" t="s">
        <x:v>2810</x:v>
      </x:c>
      <x:c r="C1267" s="20">
        <x:v>68052090</x:v>
      </x:c>
      <x:c r="D1267" s="20">
        <x:v>0</x:v>
      </x:c>
      <x:c r="E1267" s="18" t="s">
        <x:v>227</x:v>
      </x:c>
      <x:c r="F1267" s="19" t="s">
        <x:v>11</x:v>
      </x:c>
      <x:c r="G1267" s="20">
        <x:v>300</x:v>
      </x:c>
      <x:c r="H1267" s="21"/>
      <x:c r="I1267" s="26" t="s">
        <x:v>2808</x:v>
      </x:c>
      <x:c r="J1267" s="22">
        <x:v>0</x:v>
      </x:c>
      <x:c r="K1267" s="22">
        <x:v>0</x:v>
      </x:c>
      <x:c r="L1267" s="23">
        <x:v>34</x:v>
      </x:c>
    </x:row>
    <x:row r="1268">
      <x:c r="A1268" s="18" t="s">
        <x:v>2811</x:v>
      </x:c>
      <x:c r="B1268" s="19" t="s">
        <x:v>2812</x:v>
      </x:c>
      <x:c r="C1268" s="20">
        <x:v>73181500</x:v>
      </x:c>
      <x:c r="D1268" s="20">
        <x:v>2</x:v>
      </x:c>
      <x:c r="E1268" s="18" t="s">
        <x:v>227</x:v>
      </x:c>
      <x:c r="F1268" s="19" t="s">
        <x:v>11</x:v>
      </x:c>
      <x:c r="G1268" s="20">
        <x:v>0</x:v>
      </x:c>
      <x:c r="H1268" s="21"/>
      <x:c r="I1268" s="21"/>
      <x:c r="J1268" s="23">
        <x:v>1495</x:v>
      </x:c>
      <x:c r="K1268" s="23">
        <x:v>2990</x:v>
      </x:c>
      <x:c r="L1268" s="23">
        <x:v>1495</x:v>
      </x:c>
    </x:row>
    <x:row r="1269">
      <x:c r="A1269" s="18" t="s">
        <x:v>2813</x:v>
      </x:c>
      <x:c r="B1269" s="19" t="s">
        <x:v>2814</x:v>
      </x:c>
      <x:c r="C1269" s="20">
        <x:v>73181500</x:v>
      </x:c>
      <x:c r="D1269" s="20">
        <x:v>0.39</x:v>
      </x:c>
      <x:c r="E1269" s="18" t="s">
        <x:v>227</x:v>
      </x:c>
      <x:c r="F1269" s="19" t="s">
        <x:v>11</x:v>
      </x:c>
      <x:c r="G1269" s="20">
        <x:v>0.39</x:v>
      </x:c>
      <x:c r="H1269" s="21"/>
      <x:c r="I1269" s="26" t="s">
        <x:v>2815</x:v>
      </x:c>
      <x:c r="J1269" s="23">
        <x:v>41314</x:v>
      </x:c>
      <x:c r="K1269" s="23">
        <x:v>16112.46</x:v>
      </x:c>
      <x:c r="L1269" s="23">
        <x:v>29023</x:v>
      </x:c>
    </x:row>
    <x:row r="1270">
      <x:c r="A1270" s="18" t="s">
        <x:v>2816</x:v>
      </x:c>
      <x:c r="B1270" s="19" t="s">
        <x:v>2817</x:v>
      </x:c>
      <x:c r="C1270" s="20">
        <x:v>73181500</x:v>
      </x:c>
      <x:c r="D1270" s="20">
        <x:v>0.62</x:v>
      </x:c>
      <x:c r="E1270" s="18" t="s">
        <x:v>227</x:v>
      </x:c>
      <x:c r="F1270" s="19" t="s">
        <x:v>11</x:v>
      </x:c>
      <x:c r="G1270" s="20">
        <x:v>0</x:v>
      </x:c>
      <x:c r="H1270" s="21"/>
      <x:c r="I1270" s="21"/>
      <x:c r="J1270" s="23">
        <x:v>23974</x:v>
      </x:c>
      <x:c r="K1270" s="23">
        <x:v>14863.88</x:v>
      </x:c>
      <x:c r="L1270" s="23">
        <x:v>23839</x:v>
      </x:c>
    </x:row>
    <x:row r="1271">
      <x:c r="A1271" s="18" t="s">
        <x:v>2818</x:v>
      </x:c>
      <x:c r="B1271" s="19" t="s">
        <x:v>2819</x:v>
      </x:c>
      <x:c r="C1271" s="20">
        <x:v>73181500</x:v>
      </x:c>
      <x:c r="D1271" s="20">
        <x:v>1.62</x:v>
      </x:c>
      <x:c r="E1271" s="18" t="s">
        <x:v>227</x:v>
      </x:c>
      <x:c r="F1271" s="19" t="s">
        <x:v>11</x:v>
      </x:c>
      <x:c r="G1271" s="20">
        <x:v>0</x:v>
      </x:c>
      <x:c r="H1271" s="21"/>
      <x:c r="I1271" s="21"/>
      <x:c r="J1271" s="23">
        <x:v>9992</x:v>
      </x:c>
      <x:c r="K1271" s="23">
        <x:v>16187.04</x:v>
      </x:c>
      <x:c r="L1271" s="23">
        <x:v>9992</x:v>
      </x:c>
    </x:row>
    <x:row r="1272">
      <x:c r="A1272" s="18" t="s">
        <x:v>2820</x:v>
      </x:c>
      <x:c r="B1272" s="19" t="s">
        <x:v>2821</x:v>
      </x:c>
      <x:c r="C1272" s="20">
        <x:v>73181500</x:v>
      </x:c>
      <x:c r="D1272" s="20">
        <x:v>0.65</x:v>
      </x:c>
      <x:c r="E1272" s="18" t="s">
        <x:v>227</x:v>
      </x:c>
      <x:c r="F1272" s="19" t="s">
        <x:v>11</x:v>
      </x:c>
      <x:c r="G1272" s="20">
        <x:v>0.73</x:v>
      </x:c>
      <x:c r="H1272" s="21"/>
      <x:c r="I1272" s="26" t="s">
        <x:v>2822</x:v>
      </x:c>
      <x:c r="J1272" s="23">
        <x:v>20402</x:v>
      </x:c>
      <x:c r="K1272" s="23">
        <x:v>14893.46</x:v>
      </x:c>
      <x:c r="L1272" s="23">
        <x:v>64245</x:v>
      </x:c>
    </x:row>
    <x:row r="1273">
      <x:c r="A1273" s="18" t="s">
        <x:v>2823</x:v>
      </x:c>
      <x:c r="B1273" s="19" t="s">
        <x:v>2824</x:v>
      </x:c>
      <x:c r="C1273" s="20">
        <x:v>73181500</x:v>
      </x:c>
      <x:c r="D1273" s="20">
        <x:v>0.34</x:v>
      </x:c>
      <x:c r="E1273" s="18" t="s">
        <x:v>227</x:v>
      </x:c>
      <x:c r="F1273" s="19" t="s">
        <x:v>11</x:v>
      </x:c>
      <x:c r="G1273" s="20">
        <x:v>0</x:v>
      </x:c>
      <x:c r="H1273" s="21"/>
      <x:c r="I1273" s="21"/>
      <x:c r="J1273" s="23">
        <x:v>85257</x:v>
      </x:c>
      <x:c r="K1273" s="23">
        <x:v>28987.38</x:v>
      </x:c>
      <x:c r="L1273" s="23">
        <x:v>85257</x:v>
      </x:c>
    </x:row>
    <x:row r="1274">
      <x:c r="A1274" s="18" t="s">
        <x:v>2825</x:v>
      </x:c>
      <x:c r="B1274" s="19" t="s">
        <x:v>96</x:v>
      </x:c>
      <x:c r="C1274" s="20">
        <x:v>73181500</x:v>
      </x:c>
      <x:c r="D1274" s="20">
        <x:v>0.4</x:v>
      </x:c>
      <x:c r="E1274" s="18" t="s">
        <x:v>227</x:v>
      </x:c>
      <x:c r="F1274" s="19" t="s">
        <x:v>11</x:v>
      </x:c>
      <x:c r="G1274" s="20">
        <x:v>0.4</x:v>
      </x:c>
      <x:c r="H1274" s="21"/>
      <x:c r="I1274" s="26" t="s">
        <x:v>2815</x:v>
      </x:c>
      <x:c r="J1274" s="23">
        <x:v>28947</x:v>
      </x:c>
      <x:c r="K1274" s="23">
        <x:v>11578.01</x:v>
      </x:c>
      <x:c r="L1274" s="23">
        <x:v>23222</x:v>
      </x:c>
    </x:row>
    <x:row r="1275">
      <x:c r="A1275" s="18" t="s">
        <x:v>2826</x:v>
      </x:c>
      <x:c r="B1275" s="19" t="s">
        <x:v>2827</x:v>
      </x:c>
      <x:c r="C1275" s="20">
        <x:v>73181500</x:v>
      </x:c>
      <x:c r="D1275" s="20">
        <x:v>0.86</x:v>
      </x:c>
      <x:c r="E1275" s="18" t="s">
        <x:v>227</x:v>
      </x:c>
      <x:c r="F1275" s="19" t="s">
        <x:v>11</x:v>
      </x:c>
      <x:c r="G1275" s="20">
        <x:v>0</x:v>
      </x:c>
      <x:c r="H1275" s="21"/>
      <x:c r="I1275" s="21"/>
      <x:c r="J1275" s="23">
        <x:v>76294</x:v>
      </x:c>
      <x:c r="K1275" s="23">
        <x:v>65612.84</x:v>
      </x:c>
      <x:c r="L1275" s="23">
        <x:v>24513</x:v>
      </x:c>
    </x:row>
    <x:row r="1276">
      <x:c r="A1276" s="18" t="s">
        <x:v>2828</x:v>
      </x:c>
      <x:c r="B1276" s="19" t="s">
        <x:v>2829</x:v>
      </x:c>
      <x:c r="C1276" s="20">
        <x:v>73181500</x:v>
      </x:c>
      <x:c r="D1276" s="20">
        <x:v>0.44</x:v>
      </x:c>
      <x:c r="E1276" s="18" t="s">
        <x:v>227</x:v>
      </x:c>
      <x:c r="F1276" s="19" t="s">
        <x:v>11</x:v>
      </x:c>
      <x:c r="G1276" s="20">
        <x:v>0</x:v>
      </x:c>
      <x:c r="H1276" s="21"/>
      <x:c r="I1276" s="21"/>
      <x:c r="J1276" s="23">
        <x:v>126873</x:v>
      </x:c>
      <x:c r="K1276" s="23">
        <x:v>55898.64</x:v>
      </x:c>
      <x:c r="L1276" s="23">
        <x:v>27757</x:v>
      </x:c>
    </x:row>
    <x:row r="1277">
      <x:c r="A1277" s="18" t="s">
        <x:v>2830</x:v>
      </x:c>
      <x:c r="B1277" s="19" t="s">
        <x:v>2831</x:v>
      </x:c>
      <x:c r="C1277" s="20">
        <x:v>73181500</x:v>
      </x:c>
      <x:c r="D1277" s="20">
        <x:v>3.5</x:v>
      </x:c>
      <x:c r="E1277" s="18" t="s">
        <x:v>227</x:v>
      </x:c>
      <x:c r="F1277" s="19" t="s">
        <x:v>11</x:v>
      </x:c>
      <x:c r="G1277" s="20">
        <x:v>0</x:v>
      </x:c>
      <x:c r="H1277" s="21"/>
      <x:c r="I1277" s="21"/>
      <x:c r="J1277" s="23">
        <x:v>800</x:v>
      </x:c>
      <x:c r="K1277" s="23">
        <x:v>2800</x:v>
      </x:c>
      <x:c r="L1277" s="23">
        <x:v>800</x:v>
      </x:c>
    </x:row>
    <x:row r="1278">
      <x:c r="A1278" s="18" t="s">
        <x:v>2832</x:v>
      </x:c>
      <x:c r="B1278" s="19" t="s">
        <x:v>98</x:v>
      </x:c>
      <x:c r="C1278" s="20">
        <x:v>73181500</x:v>
      </x:c>
      <x:c r="D1278" s="20">
        <x:v>0.62</x:v>
      </x:c>
      <x:c r="E1278" s="18" t="s">
        <x:v>227</x:v>
      </x:c>
      <x:c r="F1278" s="19" t="s">
        <x:v>11</x:v>
      </x:c>
      <x:c r="G1278" s="20">
        <x:v>0.62</x:v>
      </x:c>
      <x:c r="H1278" s="21"/>
      <x:c r="I1278" s="26" t="s">
        <x:v>2815</x:v>
      </x:c>
      <x:c r="J1278" s="23">
        <x:v>77123</x:v>
      </x:c>
      <x:c r="K1278" s="23">
        <x:v>47816.26</x:v>
      </x:c>
      <x:c r="L1278" s="23">
        <x:v>67491</x:v>
      </x:c>
    </x:row>
    <x:row r="1279">
      <x:c r="A1279" s="18" t="s">
        <x:v>2833</x:v>
      </x:c>
      <x:c r="B1279" s="19" t="s">
        <x:v>97</x:v>
      </x:c>
      <x:c r="C1279" s="20">
        <x:v>73181500</x:v>
      </x:c>
      <x:c r="D1279" s="20">
        <x:v>0.72</x:v>
      </x:c>
      <x:c r="E1279" s="18" t="s">
        <x:v>227</x:v>
      </x:c>
      <x:c r="F1279" s="19" t="s">
        <x:v>11</x:v>
      </x:c>
      <x:c r="G1279" s="20">
        <x:v>0.72</x:v>
      </x:c>
      <x:c r="H1279" s="21"/>
      <x:c r="I1279" s="26" t="s">
        <x:v>2815</x:v>
      </x:c>
      <x:c r="J1279" s="23">
        <x:v>18395</x:v>
      </x:c>
      <x:c r="K1279" s="23">
        <x:v>13244.4</x:v>
      </x:c>
      <x:c r="L1279" s="23">
        <x:v>21189</x:v>
      </x:c>
    </x:row>
    <x:row r="1280">
      <x:c r="A1280" s="18" t="s">
        <x:v>2834</x:v>
      </x:c>
      <x:c r="B1280" s="19" t="s">
        <x:v>2835</x:v>
      </x:c>
      <x:c r="C1280" s="20">
        <x:v>73181500</x:v>
      </x:c>
      <x:c r="D1280" s="20">
        <x:v>0.86</x:v>
      </x:c>
      <x:c r="E1280" s="18" t="s">
        <x:v>227</x:v>
      </x:c>
      <x:c r="F1280" s="19" t="s">
        <x:v>11</x:v>
      </x:c>
      <x:c r="G1280" s="20">
        <x:v>0</x:v>
      </x:c>
      <x:c r="H1280" s="21"/>
      <x:c r="I1280" s="21"/>
      <x:c r="J1280" s="23">
        <x:v>3891</x:v>
      </x:c>
      <x:c r="K1280" s="23">
        <x:v>3346.26</x:v>
      </x:c>
      <x:c r="L1280" s="23">
        <x:v>2891</x:v>
      </x:c>
    </x:row>
    <x:row r="1281">
      <x:c r="A1281" s="18" t="s">
        <x:v>2836</x:v>
      </x:c>
      <x:c r="B1281" s="19" t="s">
        <x:v>2837</x:v>
      </x:c>
      <x:c r="C1281" s="20">
        <x:v>73181500</x:v>
      </x:c>
      <x:c r="D1281" s="20">
        <x:v>1.77</x:v>
      </x:c>
      <x:c r="E1281" s="18" t="s">
        <x:v>227</x:v>
      </x:c>
      <x:c r="F1281" s="19" t="s">
        <x:v>11</x:v>
      </x:c>
      <x:c r="G1281" s="20">
        <x:v>0</x:v>
      </x:c>
      <x:c r="H1281" s="21"/>
      <x:c r="I1281" s="21"/>
      <x:c r="J1281" s="23">
        <x:v>24394</x:v>
      </x:c>
      <x:c r="K1281" s="23">
        <x:v>23070.720000000001</x:v>
      </x:c>
      <x:c r="L1281" s="23">
        <x:v>16804</x:v>
      </x:c>
    </x:row>
    <x:row r="1282">
      <x:c r="A1282" s="18" t="s">
        <x:v>2838</x:v>
      </x:c>
      <x:c r="B1282" s="19" t="s">
        <x:v>2839</x:v>
      </x:c>
      <x:c r="C1282" s="20">
        <x:v>73181500</x:v>
      </x:c>
      <x:c r="D1282" s="20">
        <x:v>1.1599999999999999</x:v>
      </x:c>
      <x:c r="E1282" s="18" t="s">
        <x:v>227</x:v>
      </x:c>
      <x:c r="F1282" s="19" t="s">
        <x:v>11</x:v>
      </x:c>
      <x:c r="G1282" s="20">
        <x:v>0</x:v>
      </x:c>
      <x:c r="H1282" s="21"/>
      <x:c r="I1282" s="21"/>
      <x:c r="J1282" s="23">
        <x:v>1908</x:v>
      </x:c>
      <x:c r="K1282" s="23">
        <x:v>2213.2800000000002</x:v>
      </x:c>
      <x:c r="L1282" s="23">
        <x:v>1848</x:v>
      </x:c>
    </x:row>
    <x:row r="1283">
      <x:c r="A1283" s="18" t="s">
        <x:v>2840</x:v>
      </x:c>
      <x:c r="B1283" s="19" t="s">
        <x:v>2841</x:v>
      </x:c>
      <x:c r="C1283" s="20">
        <x:v>73181500</x:v>
      </x:c>
      <x:c r="D1283" s="20">
        <x:v>1.25</x:v>
      </x:c>
      <x:c r="E1283" s="18" t="s">
        <x:v>227</x:v>
      </x:c>
      <x:c r="F1283" s="19" t="s">
        <x:v>11</x:v>
      </x:c>
      <x:c r="G1283" s="20">
        <x:v>1.25</x:v>
      </x:c>
      <x:c r="H1283" s="21"/>
      <x:c r="I1283" s="26" t="s">
        <x:v>2815</x:v>
      </x:c>
      <x:c r="J1283" s="23">
        <x:v>5078</x:v>
      </x:c>
      <x:c r="K1283" s="23">
        <x:v>6347.5</x:v>
      </x:c>
      <x:c r="L1283" s="23">
        <x:v>10932</x:v>
      </x:c>
    </x:row>
    <x:row r="1284">
      <x:c r="A1284" s="18" t="s">
        <x:v>2842</x:v>
      </x:c>
      <x:c r="B1284" s="19" t="s">
        <x:v>2843</x:v>
      </x:c>
      <x:c r="C1284" s="20">
        <x:v>73181500</x:v>
      </x:c>
      <x:c r="D1284" s="20">
        <x:v>2.09</x:v>
      </x:c>
      <x:c r="E1284" s="18" t="s">
        <x:v>227</x:v>
      </x:c>
      <x:c r="F1284" s="19" t="s">
        <x:v>11</x:v>
      </x:c>
      <x:c r="G1284" s="20">
        <x:v>0</x:v>
      </x:c>
      <x:c r="H1284" s="21"/>
      <x:c r="I1284" s="21"/>
      <x:c r="J1284" s="23">
        <x:v>3219</x:v>
      </x:c>
      <x:c r="K1284" s="23">
        <x:v>6727.71</x:v>
      </x:c>
      <x:c r="L1284" s="23">
        <x:v>2943</x:v>
      </x:c>
    </x:row>
    <x:row r="1285">
      <x:c r="A1285" s="18" t="s">
        <x:v>2844</x:v>
      </x:c>
      <x:c r="B1285" s="19" t="s">
        <x:v>2845</x:v>
      </x:c>
      <x:c r="C1285" s="20">
        <x:v>73181500</x:v>
      </x:c>
      <x:c r="D1285" s="20">
        <x:v>2.1</x:v>
      </x:c>
      <x:c r="E1285" s="18" t="s">
        <x:v>227</x:v>
      </x:c>
      <x:c r="F1285" s="19" t="s">
        <x:v>11</x:v>
      </x:c>
      <x:c r="G1285" s="20">
        <x:v>0</x:v>
      </x:c>
      <x:c r="H1285" s="21"/>
      <x:c r="I1285" s="21"/>
      <x:c r="J1285" s="23">
        <x:v>51510</x:v>
      </x:c>
      <x:c r="K1285" s="23">
        <x:v>108171</x:v>
      </x:c>
      <x:c r="L1285" s="23">
        <x:v>31123</x:v>
      </x:c>
    </x:row>
    <x:row r="1286">
      <x:c r="A1286" s="18" t="s">
        <x:v>2846</x:v>
      </x:c>
      <x:c r="B1286" s="19" t="s">
        <x:v>2847</x:v>
      </x:c>
      <x:c r="C1286" s="20">
        <x:v>73181500</x:v>
      </x:c>
      <x:c r="D1286" s="20">
        <x:v>2.38</x:v>
      </x:c>
      <x:c r="E1286" s="18" t="s">
        <x:v>227</x:v>
      </x:c>
      <x:c r="F1286" s="19" t="s">
        <x:v>11</x:v>
      </x:c>
      <x:c r="G1286" s="20">
        <x:v>0</x:v>
      </x:c>
      <x:c r="H1286" s="21"/>
      <x:c r="I1286" s="21"/>
      <x:c r="J1286" s="23">
        <x:v>3432</x:v>
      </x:c>
      <x:c r="K1286" s="23">
        <x:v>8168.16</x:v>
      </x:c>
      <x:c r="L1286" s="23">
        <x:v>3432</x:v>
      </x:c>
    </x:row>
    <x:row r="1287">
      <x:c r="A1287" s="18" t="s">
        <x:v>2848</x:v>
      </x:c>
      <x:c r="B1287" s="19" t="s">
        <x:v>2849</x:v>
      </x:c>
      <x:c r="C1287" s="20">
        <x:v>73181500</x:v>
      </x:c>
      <x:c r="D1287" s="20">
        <x:v>1.71</x:v>
      </x:c>
      <x:c r="E1287" s="18" t="s">
        <x:v>227</x:v>
      </x:c>
      <x:c r="F1287" s="19" t="s">
        <x:v>11</x:v>
      </x:c>
      <x:c r="G1287" s="20">
        <x:v>0</x:v>
      </x:c>
      <x:c r="H1287" s="21"/>
      <x:c r="I1287" s="21"/>
      <x:c r="J1287" s="23">
        <x:v>5412</x:v>
      </x:c>
      <x:c r="K1287" s="23">
        <x:v>9254.52</x:v>
      </x:c>
      <x:c r="L1287" s="23">
        <x:v>5412</x:v>
      </x:c>
    </x:row>
    <x:row r="1288">
      <x:c r="A1288" s="18" t="s">
        <x:v>2850</x:v>
      </x:c>
      <x:c r="B1288" s="19" t="s">
        <x:v>2851</x:v>
      </x:c>
      <x:c r="C1288" s="20">
        <x:v>73181500</x:v>
      </x:c>
      <x:c r="D1288" s="20">
        <x:v>2.02</x:v>
      </x:c>
      <x:c r="E1288" s="18" t="s">
        <x:v>227</x:v>
      </x:c>
      <x:c r="F1288" s="19" t="s">
        <x:v>11</x:v>
      </x:c>
      <x:c r="G1288" s="20">
        <x:v>0</x:v>
      </x:c>
      <x:c r="H1288" s="21"/>
      <x:c r="I1288" s="21"/>
      <x:c r="J1288" s="23">
        <x:v>6984</x:v>
      </x:c>
      <x:c r="K1288" s="23">
        <x:v>14107.68</x:v>
      </x:c>
      <x:c r="L1288" s="23">
        <x:v>6910</x:v>
      </x:c>
    </x:row>
    <x:row r="1289">
      <x:c r="A1289" s="18" t="s">
        <x:v>2852</x:v>
      </x:c>
      <x:c r="B1289" s="19" t="s">
        <x:v>2853</x:v>
      </x:c>
      <x:c r="C1289" s="20">
        <x:v>73181500</x:v>
      </x:c>
      <x:c r="D1289" s="20">
        <x:v>2.94</x:v>
      </x:c>
      <x:c r="E1289" s="18" t="s">
        <x:v>227</x:v>
      </x:c>
      <x:c r="F1289" s="19" t="s">
        <x:v>11</x:v>
      </x:c>
      <x:c r="G1289" s="20">
        <x:v>0</x:v>
      </x:c>
      <x:c r="H1289" s="21"/>
      <x:c r="I1289" s="21"/>
      <x:c r="J1289" s="23">
        <x:v>7196</x:v>
      </x:c>
      <x:c r="K1289" s="23">
        <x:v>21156.240000000002</x:v>
      </x:c>
      <x:c r="L1289" s="23">
        <x:v>7196</x:v>
      </x:c>
    </x:row>
    <x:row r="1290">
      <x:c r="A1290" s="18" t="s">
        <x:v>2854</x:v>
      </x:c>
      <x:c r="B1290" s="19" t="s">
        <x:v>2855</x:v>
      </x:c>
      <x:c r="C1290" s="20">
        <x:v>73181500</x:v>
      </x:c>
      <x:c r="D1290" s="20">
        <x:v>1.78</x:v>
      </x:c>
      <x:c r="E1290" s="18" t="s">
        <x:v>227</x:v>
      </x:c>
      <x:c r="F1290" s="19" t="s">
        <x:v>11</x:v>
      </x:c>
      <x:c r="G1290" s="20">
        <x:v>0</x:v>
      </x:c>
      <x:c r="H1290" s="21"/>
      <x:c r="I1290" s="21"/>
      <x:c r="J1290" s="23">
        <x:v>13817</x:v>
      </x:c>
      <x:c r="K1290" s="23">
        <x:v>24594.26</x:v>
      </x:c>
      <x:c r="L1290" s="23">
        <x:v>13767</x:v>
      </x:c>
    </x:row>
    <x:row r="1291">
      <x:c r="A1291" s="18" t="s">
        <x:v>2856</x:v>
      </x:c>
      <x:c r="B1291" s="19" t="s">
        <x:v>2857</x:v>
      </x:c>
      <x:c r="C1291" s="20">
        <x:v>73181500</x:v>
      </x:c>
      <x:c r="D1291" s="20">
        <x:v>6.93</x:v>
      </x:c>
      <x:c r="E1291" s="18" t="s">
        <x:v>227</x:v>
      </x:c>
      <x:c r="F1291" s="19" t="s">
        <x:v>11</x:v>
      </x:c>
      <x:c r="G1291" s="20">
        <x:v>0</x:v>
      </x:c>
      <x:c r="H1291" s="21"/>
      <x:c r="I1291" s="21"/>
      <x:c r="J1291" s="23">
        <x:v>1467</x:v>
      </x:c>
      <x:c r="K1291" s="23">
        <x:v>10166.31</x:v>
      </x:c>
      <x:c r="L1291" s="23">
        <x:v>1467</x:v>
      </x:c>
    </x:row>
    <x:row r="1292">
      <x:c r="A1292" s="18" t="s">
        <x:v>2858</x:v>
      </x:c>
      <x:c r="B1292" s="19" t="s">
        <x:v>2859</x:v>
      </x:c>
      <x:c r="C1292" s="20">
        <x:v>73181500</x:v>
      </x:c>
      <x:c r="D1292" s="20">
        <x:v>3.8</x:v>
      </x:c>
      <x:c r="E1292" s="18" t="s">
        <x:v>227</x:v>
      </x:c>
      <x:c r="F1292" s="19" t="s">
        <x:v>11</x:v>
      </x:c>
      <x:c r="G1292" s="20">
        <x:v>0</x:v>
      </x:c>
      <x:c r="H1292" s="21"/>
      <x:c r="I1292" s="21"/>
      <x:c r="J1292" s="23">
        <x:v>2670</x:v>
      </x:c>
      <x:c r="K1292" s="23">
        <x:v>10146</x:v>
      </x:c>
      <x:c r="L1292" s="23">
        <x:v>-930</x:v>
      </x:c>
    </x:row>
    <x:row r="1293">
      <x:c r="A1293" s="18" t="s">
        <x:v>2860</x:v>
      </x:c>
      <x:c r="B1293" s="19" t="s">
        <x:v>2861</x:v>
      </x:c>
      <x:c r="C1293" s="20">
        <x:v>73181500</x:v>
      </x:c>
      <x:c r="D1293" s="20">
        <x:v>8.0299999999999994</x:v>
      </x:c>
      <x:c r="E1293" s="18" t="s">
        <x:v>227</x:v>
      </x:c>
      <x:c r="F1293" s="19" t="s">
        <x:v>11</x:v>
      </x:c>
      <x:c r="G1293" s="20">
        <x:v>0</x:v>
      </x:c>
      <x:c r="H1293" s="21"/>
      <x:c r="I1293" s="21"/>
      <x:c r="J1293" s="23">
        <x:v>676</x:v>
      </x:c>
      <x:c r="K1293" s="23">
        <x:v>5428.28</x:v>
      </x:c>
      <x:c r="L1293" s="23">
        <x:v>604</x:v>
      </x:c>
    </x:row>
    <x:row r="1294">
      <x:c r="A1294" s="18" t="s">
        <x:v>2862</x:v>
      </x:c>
      <x:c r="B1294" s="19" t="s">
        <x:v>2863</x:v>
      </x:c>
      <x:c r="C1294" s="20">
        <x:v>73181500</x:v>
      </x:c>
      <x:c r="D1294" s="20">
        <x:v>3.41</x:v>
      </x:c>
      <x:c r="E1294" s="18" t="s">
        <x:v>227</x:v>
      </x:c>
      <x:c r="F1294" s="19" t="s">
        <x:v>11</x:v>
      </x:c>
      <x:c r="G1294" s="20">
        <x:v>0</x:v>
      </x:c>
      <x:c r="H1294" s="21"/>
      <x:c r="I1294" s="21"/>
      <x:c r="J1294" s="23">
        <x:v>2012</x:v>
      </x:c>
      <x:c r="K1294" s="23">
        <x:v>6860.92</x:v>
      </x:c>
      <x:c r="L1294" s="23">
        <x:v>1610</x:v>
      </x:c>
    </x:row>
    <x:row r="1295">
      <x:c r="A1295" s="18" t="s">
        <x:v>2864</x:v>
      </x:c>
      <x:c r="B1295" s="19" t="s">
        <x:v>2865</x:v>
      </x:c>
      <x:c r="C1295" s="20">
        <x:v>73181500</x:v>
      </x:c>
      <x:c r="D1295" s="20">
        <x:v>8.0299999999999994</x:v>
      </x:c>
      <x:c r="E1295" s="18" t="s">
        <x:v>227</x:v>
      </x:c>
      <x:c r="F1295" s="19" t="s">
        <x:v>11</x:v>
      </x:c>
      <x:c r="G1295" s="20">
        <x:v>0</x:v>
      </x:c>
      <x:c r="H1295" s="21"/>
      <x:c r="I1295" s="21"/>
      <x:c r="J1295" s="23">
        <x:v>447</x:v>
      </x:c>
      <x:c r="K1295" s="23">
        <x:v>3589.41</x:v>
      </x:c>
      <x:c r="L1295" s="23">
        <x:v>447</x:v>
      </x:c>
    </x:row>
    <x:row r="1296">
      <x:c r="A1296" s="18" t="s">
        <x:v>2866</x:v>
      </x:c>
      <x:c r="B1296" s="19" t="s">
        <x:v>2867</x:v>
      </x:c>
      <x:c r="C1296" s="20">
        <x:v>73181500</x:v>
      </x:c>
      <x:c r="D1296" s="20">
        <x:v>0.8</x:v>
      </x:c>
      <x:c r="E1296" s="18" t="s">
        <x:v>227</x:v>
      </x:c>
      <x:c r="F1296" s="19" t="s">
        <x:v>11</x:v>
      </x:c>
      <x:c r="G1296" s="20">
        <x:v>0</x:v>
      </x:c>
      <x:c r="H1296" s="21"/>
      <x:c r="I1296" s="21"/>
      <x:c r="J1296" s="23">
        <x:v>4398</x:v>
      </x:c>
      <x:c r="K1296" s="23">
        <x:v>3908.06</x:v>
      </x:c>
      <x:c r="L1296" s="23">
        <x:v>2858</x:v>
      </x:c>
    </x:row>
    <x:row r="1297">
      <x:c r="A1297" s="18" t="s">
        <x:v>2868</x:v>
      </x:c>
      <x:c r="B1297" s="19" t="s">
        <x:v>2869</x:v>
      </x:c>
      <x:c r="C1297" s="20">
        <x:v>73181500</x:v>
      </x:c>
      <x:c r="D1297" s="20">
        <x:v>1.65</x:v>
      </x:c>
      <x:c r="E1297" s="18" t="s">
        <x:v>227</x:v>
      </x:c>
      <x:c r="F1297" s="19" t="s">
        <x:v>11</x:v>
      </x:c>
      <x:c r="G1297" s="20">
        <x:v>1.65</x:v>
      </x:c>
      <x:c r="H1297" s="21"/>
      <x:c r="I1297" s="26" t="s">
        <x:v>2815</x:v>
      </x:c>
      <x:c r="J1297" s="23">
        <x:v>2224</x:v>
      </x:c>
      <x:c r="K1297" s="23">
        <x:v>3768.46</x:v>
      </x:c>
      <x:c r="L1297" s="23">
        <x:v>11412</x:v>
      </x:c>
    </x:row>
    <x:row r="1298">
      <x:c r="A1298" s="18" t="s">
        <x:v>2870</x:v>
      </x:c>
      <x:c r="B1298" s="19" t="s">
        <x:v>2871</x:v>
      </x:c>
      <x:c r="C1298" s="20">
        <x:v>73181500</x:v>
      </x:c>
      <x:c r="D1298" s="20">
        <x:v>1.27</x:v>
      </x:c>
      <x:c r="E1298" s="18" t="s">
        <x:v>227</x:v>
      </x:c>
      <x:c r="F1298" s="19" t="s">
        <x:v>11</x:v>
      </x:c>
      <x:c r="G1298" s="20">
        <x:v>0</x:v>
      </x:c>
      <x:c r="H1298" s="21"/>
      <x:c r="I1298" s="21"/>
      <x:c r="J1298" s="23">
        <x:v>4592</x:v>
      </x:c>
      <x:c r="K1298" s="23">
        <x:v>5716.2</x:v>
      </x:c>
      <x:c r="L1298" s="23">
        <x:v>4572</x:v>
      </x:c>
    </x:row>
    <x:row r="1299">
      <x:c r="A1299" s="18" t="s">
        <x:v>2872</x:v>
      </x:c>
      <x:c r="B1299" s="19" t="s">
        <x:v>2873</x:v>
      </x:c>
      <x:c r="C1299" s="20">
        <x:v>73181500</x:v>
      </x:c>
      <x:c r="D1299" s="20">
        <x:v>0</x:v>
      </x:c>
      <x:c r="E1299" s="18" t="s">
        <x:v>227</x:v>
      </x:c>
      <x:c r="F1299" s="19" t="s">
        <x:v>11</x:v>
      </x:c>
      <x:c r="G1299" s="20">
        <x:v>0</x:v>
      </x:c>
      <x:c r="H1299" s="21"/>
      <x:c r="I1299" s="21"/>
      <x:c r="J1299" s="22">
        <x:v>0</x:v>
      </x:c>
      <x:c r="K1299" s="22">
        <x:v>0</x:v>
      </x:c>
      <x:c r="L1299" s="23">
        <x:v>0</x:v>
      </x:c>
    </x:row>
    <x:row r="1300">
      <x:c r="A1300" s="18" t="s">
        <x:v>2874</x:v>
      </x:c>
      <x:c r="B1300" s="19" t="s">
        <x:v>2875</x:v>
      </x:c>
      <x:c r="C1300" s="20">
        <x:v>83024200</x:v>
      </x:c>
      <x:c r="D1300" s="20">
        <x:v>0</x:v>
      </x:c>
      <x:c r="E1300" s="18" t="s">
        <x:v>227</x:v>
      </x:c>
      <x:c r="F1300" s="19" t="s">
        <x:v>11</x:v>
      </x:c>
      <x:c r="G1300" s="20">
        <x:v>0</x:v>
      </x:c>
      <x:c r="H1300" s="21"/>
      <x:c r="I1300" s="21"/>
      <x:c r="J1300" s="23">
        <x:v>26</x:v>
      </x:c>
      <x:c r="K1300" s="23">
        <x:v>1535.46</x:v>
      </x:c>
      <x:c r="L1300" s="23">
        <x:v>0</x:v>
      </x:c>
    </x:row>
    <x:row r="1301">
      <x:c r="A1301" s="18" t="s">
        <x:v>2876</x:v>
      </x:c>
      <x:c r="B1301" s="19" t="s">
        <x:v>2877</x:v>
      </x:c>
      <x:c r="C1301" s="20">
        <x:v>83024200</x:v>
      </x:c>
      <x:c r="D1301" s="20">
        <x:v>59.87</x:v>
      </x:c>
      <x:c r="E1301" s="18" t="s">
        <x:v>227</x:v>
      </x:c>
      <x:c r="F1301" s="19" t="s">
        <x:v>82</x:v>
      </x:c>
      <x:c r="G1301" s="20">
        <x:v>0</x:v>
      </x:c>
      <x:c r="H1301" s="21"/>
      <x:c r="I1301" s="21"/>
      <x:c r="J1301" s="23">
        <x:v>40</x:v>
      </x:c>
      <x:c r="K1301" s="23">
        <x:v>2394.8000000000002</x:v>
      </x:c>
      <x:c r="L1301" s="23">
        <x:v>40</x:v>
      </x:c>
    </x:row>
    <x:row r="1302">
      <x:c r="A1302" s="18" t="s">
        <x:v>2878</x:v>
      </x:c>
      <x:c r="B1302" s="19" t="s">
        <x:v>2879</x:v>
      </x:c>
      <x:c r="C1302" s="20">
        <x:v>83024200</x:v>
      </x:c>
      <x:c r="D1302" s="20">
        <x:v>66.92</x:v>
      </x:c>
      <x:c r="E1302" s="18" t="s">
        <x:v>227</x:v>
      </x:c>
      <x:c r="F1302" s="19" t="s">
        <x:v>11</x:v>
      </x:c>
      <x:c r="G1302" s="20">
        <x:v>0</x:v>
      </x:c>
      <x:c r="H1302" s="21"/>
      <x:c r="I1302" s="21"/>
      <x:c r="J1302" s="23">
        <x:v>81</x:v>
      </x:c>
      <x:c r="K1302" s="23">
        <x:v>5420.52</x:v>
      </x:c>
      <x:c r="L1302" s="23">
        <x:v>69</x:v>
      </x:c>
    </x:row>
    <x:row r="1303">
      <x:c r="A1303" s="18" t="s">
        <x:v>2880</x:v>
      </x:c>
      <x:c r="B1303" s="19" t="s">
        <x:v>2881</x:v>
      </x:c>
      <x:c r="C1303" s="20">
        <x:v>83024200</x:v>
      </x:c>
      <x:c r="D1303" s="20">
        <x:v>114.95</x:v>
      </x:c>
      <x:c r="E1303" s="18" t="s">
        <x:v>227</x:v>
      </x:c>
      <x:c r="F1303" s="19" t="s">
        <x:v>11</x:v>
      </x:c>
      <x:c r="G1303" s="20">
        <x:v>0</x:v>
      </x:c>
      <x:c r="H1303" s="21"/>
      <x:c r="I1303" s="21"/>
      <x:c r="J1303" s="23">
        <x:v>51</x:v>
      </x:c>
      <x:c r="K1303" s="23">
        <x:v>5862.45</x:v>
      </x:c>
      <x:c r="L1303" s="23">
        <x:v>51</x:v>
      </x:c>
    </x:row>
    <x:row r="1304">
      <x:c r="A1304" s="18" t="s">
        <x:v>2882</x:v>
      </x:c>
      <x:c r="B1304" s="19" t="s">
        <x:v>2883</x:v>
      </x:c>
      <x:c r="C1304" s="20">
        <x:v>83024200</x:v>
      </x:c>
      <x:c r="D1304" s="20">
        <x:v>57.95</x:v>
      </x:c>
      <x:c r="E1304" s="18" t="s">
        <x:v>227</x:v>
      </x:c>
      <x:c r="F1304" s="19" t="s">
        <x:v>82</x:v>
      </x:c>
      <x:c r="G1304" s="20">
        <x:v>0</x:v>
      </x:c>
      <x:c r="H1304" s="21"/>
      <x:c r="I1304" s="21"/>
      <x:c r="J1304" s="23">
        <x:v>33</x:v>
      </x:c>
      <x:c r="K1304" s="23">
        <x:v>1912.35</x:v>
      </x:c>
      <x:c r="L1304" s="23">
        <x:v>19</x:v>
      </x:c>
    </x:row>
    <x:row r="1305">
      <x:c r="A1305" s="18" t="s">
        <x:v>2884</x:v>
      </x:c>
      <x:c r="B1305" s="19" t="s">
        <x:v>2885</x:v>
      </x:c>
      <x:c r="C1305" s="20">
        <x:v>83024200</x:v>
      </x:c>
      <x:c r="D1305" s="20">
        <x:v>326.64</x:v>
      </x:c>
      <x:c r="E1305" s="18" t="s">
        <x:v>227</x:v>
      </x:c>
      <x:c r="F1305" s="19" t="s">
        <x:v>82</x:v>
      </x:c>
      <x:c r="G1305" s="20">
        <x:v>0</x:v>
      </x:c>
      <x:c r="H1305" s="21"/>
      <x:c r="I1305" s="21"/>
      <x:c r="J1305" s="23">
        <x:v>4</x:v>
      </x:c>
      <x:c r="K1305" s="23">
        <x:v>1306.54</x:v>
      </x:c>
      <x:c r="L1305" s="23">
        <x:v>1</x:v>
      </x:c>
    </x:row>
    <x:row r="1306">
      <x:c r="A1306" s="18" t="s">
        <x:v>2886</x:v>
      </x:c>
      <x:c r="B1306" s="19" t="s">
        <x:v>2887</x:v>
      </x:c>
      <x:c r="C1306" s="20">
        <x:v>83024200</x:v>
      </x:c>
      <x:c r="D1306" s="20">
        <x:v>0</x:v>
      </x:c>
      <x:c r="E1306" s="18" t="s">
        <x:v>227</x:v>
      </x:c>
      <x:c r="F1306" s="19" t="s">
        <x:v>11</x:v>
      </x:c>
      <x:c r="G1306" s="20">
        <x:v>53500</x:v>
      </x:c>
      <x:c r="H1306" s="21"/>
      <x:c r="I1306" s="26" t="s">
        <x:v>275</x:v>
      </x:c>
      <x:c r="J1306" s="23">
        <x:v>2</x:v>
      </x:c>
      <x:c r="K1306" s="23">
        <x:v>44154.9</x:v>
      </x:c>
      <x:c r="L1306" s="23">
        <x:v>0</x:v>
      </x:c>
    </x:row>
    <x:row r="1307">
      <x:c r="A1307" s="18" t="s">
        <x:v>2888</x:v>
      </x:c>
      <x:c r="B1307" s="19" t="s">
        <x:v>2889</x:v>
      </x:c>
      <x:c r="C1307" s="20">
        <x:v>39241090</x:v>
      </x:c>
      <x:c r="D1307" s="20">
        <x:v>828.49</x:v>
      </x:c>
      <x:c r="E1307" s="18" t="s">
        <x:v>227</x:v>
      </x:c>
      <x:c r="F1307" s="19" t="s">
        <x:v>11</x:v>
      </x:c>
      <x:c r="G1307" s="20">
        <x:v>828.49</x:v>
      </x:c>
      <x:c r="H1307" s="21"/>
      <x:c r="I1307" s="26" t="s">
        <x:v>2194</x:v>
      </x:c>
      <x:c r="J1307" s="22">
        <x:v>0</x:v>
      </x:c>
      <x:c r="K1307" s="22">
        <x:v>0</x:v>
      </x:c>
      <x:c r="L1307" s="23">
        <x:v>6</x:v>
      </x:c>
    </x:row>
    <x:row r="1308">
      <x:c r="A1308" s="18" t="s">
        <x:v>2890</x:v>
      </x:c>
      <x:c r="B1308" s="19" t="s">
        <x:v>2891</x:v>
      </x:c>
      <x:c r="C1308" s="20">
        <x:v>39241090</x:v>
      </x:c>
      <x:c r="D1308" s="20">
        <x:v>7.8</x:v>
      </x:c>
      <x:c r="E1308" s="18" t="s">
        <x:v>227</x:v>
      </x:c>
      <x:c r="F1308" s="19" t="s">
        <x:v>11</x:v>
      </x:c>
      <x:c r="G1308" s="20">
        <x:v>7.8</x:v>
      </x:c>
      <x:c r="H1308" s="21"/>
      <x:c r="I1308" s="26" t="s">
        <x:v>2892</x:v>
      </x:c>
      <x:c r="J1308" s="22">
        <x:v>0</x:v>
      </x:c>
      <x:c r="K1308" s="22">
        <x:v>0</x:v>
      </x:c>
      <x:c r="L1308" s="23">
        <x:v>2000</x:v>
      </x:c>
    </x:row>
    <x:row r="1309">
      <x:c r="A1309" s="18" t="s">
        <x:v>2893</x:v>
      </x:c>
      <x:c r="B1309" s="19" t="s">
        <x:v>2894</x:v>
      </x:c>
      <x:c r="C1309" s="20">
        <x:v>69072100</x:v>
      </x:c>
      <x:c r="D1309" s="20">
        <x:v>0</x:v>
      </x:c>
      <x:c r="E1309" s="18" t="s">
        <x:v>227</x:v>
      </x:c>
      <x:c r="F1309" s="19" t="s">
        <x:v>11</x:v>
      </x:c>
      <x:c r="G1309" s="20">
        <x:v>0</x:v>
      </x:c>
      <x:c r="H1309" s="21"/>
      <x:c r="I1309" s="21"/>
      <x:c r="J1309" s="22">
        <x:v>0</x:v>
      </x:c>
      <x:c r="K1309" s="22">
        <x:v>0</x:v>
      </x:c>
      <x:c r="L1309" s="23">
        <x:v>0</x:v>
      </x:c>
    </x:row>
    <x:row r="1310">
      <x:c r="A1310" s="18" t="s">
        <x:v>2895</x:v>
      </x:c>
      <x:c r="B1310" s="19" t="s">
        <x:v>2896</x:v>
      </x:c>
      <x:c r="C1310" s="20">
        <x:v>69072100</x:v>
      </x:c>
      <x:c r="D1310" s="20">
        <x:v>0</x:v>
      </x:c>
      <x:c r="E1310" s="18" t="s">
        <x:v>227</x:v>
      </x:c>
      <x:c r="F1310" s="19" t="s">
        <x:v>11</x:v>
      </x:c>
      <x:c r="G1310" s="20">
        <x:v>0</x:v>
      </x:c>
      <x:c r="H1310" s="21"/>
      <x:c r="I1310" s="21"/>
      <x:c r="J1310" s="22">
        <x:v>0</x:v>
      </x:c>
      <x:c r="K1310" s="22">
        <x:v>0</x:v>
      </x:c>
      <x:c r="L1310" s="23">
        <x:v>0</x:v>
      </x:c>
    </x:row>
    <x:row r="1311">
      <x:c r="A1311" s="18" t="s">
        <x:v>2897</x:v>
      </x:c>
      <x:c r="B1311" s="19" t="s">
        <x:v>2898</x:v>
      </x:c>
      <x:c r="C1311" s="20">
        <x:v>69072100</x:v>
      </x:c>
      <x:c r="D1311" s="20">
        <x:v>0</x:v>
      </x:c>
      <x:c r="E1311" s="18" t="s">
        <x:v>227</x:v>
      </x:c>
      <x:c r="F1311" s="19" t="s">
        <x:v>11</x:v>
      </x:c>
      <x:c r="G1311" s="20">
        <x:v>0</x:v>
      </x:c>
      <x:c r="H1311" s="21"/>
      <x:c r="I1311" s="21"/>
      <x:c r="J1311" s="22">
        <x:v>0</x:v>
      </x:c>
      <x:c r="K1311" s="22">
        <x:v>0</x:v>
      </x:c>
      <x:c r="L1311" s="23">
        <x:v>0</x:v>
      </x:c>
    </x:row>
    <x:row r="1312">
      <x:c r="A1312" s="18" t="s">
        <x:v>2899</x:v>
      </x:c>
      <x:c r="B1312" s="19" t="s">
        <x:v>2900</x:v>
      </x:c>
      <x:c r="C1312" s="20">
        <x:v>82023900</x:v>
      </x:c>
      <x:c r="D1312" s="20">
        <x:v>0</x:v>
      </x:c>
      <x:c r="E1312" s="18" t="s">
        <x:v>227</x:v>
      </x:c>
      <x:c r="F1312" s="19" t="s">
        <x:v>11</x:v>
      </x:c>
      <x:c r="G1312" s="20">
        <x:v>305</x:v>
      </x:c>
      <x:c r="H1312" s="21"/>
      <x:c r="I1312" s="26" t="s">
        <x:v>826</x:v>
      </x:c>
      <x:c r="J1312" s="22">
        <x:v>0</x:v>
      </x:c>
      <x:c r="K1312" s="22">
        <x:v>0</x:v>
      </x:c>
      <x:c r="L1312" s="23">
        <x:v>0</x:v>
      </x:c>
    </x:row>
    <x:row r="1313">
      <x:c r="A1313" s="18" t="s">
        <x:v>2901</x:v>
      </x:c>
      <x:c r="B1313" s="19" t="s">
        <x:v>2902</x:v>
      </x:c>
      <x:c r="C1313" s="20">
        <x:v>69072100</x:v>
      </x:c>
      <x:c r="D1313" s="20">
        <x:v>0</x:v>
      </x:c>
      <x:c r="E1313" s="18" t="s">
        <x:v>227</x:v>
      </x:c>
      <x:c r="F1313" s="19" t="s">
        <x:v>11</x:v>
      </x:c>
      <x:c r="G1313" s="20">
        <x:v>0</x:v>
      </x:c>
      <x:c r="H1313" s="21"/>
      <x:c r="I1313" s="21"/>
      <x:c r="J1313" s="22">
        <x:v>0</x:v>
      </x:c>
      <x:c r="K1313" s="22">
        <x:v>0</x:v>
      </x:c>
      <x:c r="L1313" s="23">
        <x:v>0</x:v>
      </x:c>
    </x:row>
    <x:row r="1314">
      <x:c r="A1314" s="18" t="s">
        <x:v>2903</x:v>
      </x:c>
      <x:c r="B1314" s="19" t="s">
        <x:v>2904</x:v>
      </x:c>
      <x:c r="C1314" s="20">
        <x:v>68042190</x:v>
      </x:c>
      <x:c r="D1314" s="20">
        <x:v>0</x:v>
      </x:c>
      <x:c r="E1314" s="18" t="s">
        <x:v>227</x:v>
      </x:c>
      <x:c r="F1314" s="19" t="s">
        <x:v>11</x:v>
      </x:c>
      <x:c r="G1314" s="20">
        <x:v>2610</x:v>
      </x:c>
      <x:c r="H1314" s="21"/>
      <x:c r="I1314" s="26" t="s">
        <x:v>826</x:v>
      </x:c>
      <x:c r="J1314" s="22">
        <x:v>0</x:v>
      </x:c>
      <x:c r="K1314" s="22">
        <x:v>0</x:v>
      </x:c>
      <x:c r="L1314" s="23">
        <x:v>0</x:v>
      </x:c>
    </x:row>
    <x:row r="1315">
      <x:c r="A1315" s="18" t="s">
        <x:v>2905</x:v>
      </x:c>
      <x:c r="B1315" s="19" t="s">
        <x:v>2906</x:v>
      </x:c>
      <x:c r="C1315" s="20">
        <x:v>9988</x:v>
      </x:c>
      <x:c r="D1315" s="20">
        <x:v>0</x:v>
      </x:c>
      <x:c r="E1315" s="18" t="s">
        <x:v>227</x:v>
      </x:c>
      <x:c r="F1315" s="19" t="s">
        <x:v>11</x:v>
      </x:c>
      <x:c r="G1315" s="20">
        <x:v>0</x:v>
      </x:c>
      <x:c r="H1315" s="21"/>
      <x:c r="I1315" s="21"/>
      <x:c r="J1315" s="22">
        <x:v>0</x:v>
      </x:c>
      <x:c r="K1315" s="22">
        <x:v>0</x:v>
      </x:c>
      <x:c r="L1315" s="23">
        <x:v>0</x:v>
      </x:c>
    </x:row>
    <x:row r="1316">
      <x:c r="A1316" s="18" t="s">
        <x:v>2907</x:v>
      </x:c>
      <x:c r="B1316" s="19" t="s">
        <x:v>2908</x:v>
      </x:c>
      <x:c r="C1316" s="20">
        <x:v>9988</x:v>
      </x:c>
      <x:c r="D1316" s="20">
        <x:v>2150</x:v>
      </x:c>
      <x:c r="E1316" s="18" t="s">
        <x:v>227</x:v>
      </x:c>
      <x:c r="F1316" s="19" t="s">
        <x:v>11</x:v>
      </x:c>
      <x:c r="G1316" s="20">
        <x:v>0</x:v>
      </x:c>
      <x:c r="H1316" s="21"/>
      <x:c r="I1316" s="21"/>
      <x:c r="J1316" s="22">
        <x:v>0</x:v>
      </x:c>
      <x:c r="K1316" s="22">
        <x:v>0</x:v>
      </x:c>
      <x:c r="L1316" s="23">
        <x:v>-2</x:v>
      </x:c>
    </x:row>
    <x:row r="1317">
      <x:c r="A1317" s="18" t="s">
        <x:v>2909</x:v>
      </x:c>
      <x:c r="B1317" s="19" t="s">
        <x:v>2910</x:v>
      </x:c>
      <x:c r="C1317" s="20">
        <x:v>76042990</x:v>
      </x:c>
      <x:c r="D1317" s="20">
        <x:v>0</x:v>
      </x:c>
      <x:c r="E1317" s="18" t="s">
        <x:v>227</x:v>
      </x:c>
      <x:c r="F1317" s="19" t="s">
        <x:v>41</x:v>
      </x:c>
      <x:c r="G1317" s="20">
        <x:v>0</x:v>
      </x:c>
      <x:c r="H1317" s="21"/>
      <x:c r="I1317" s="21"/>
      <x:c r="J1317" s="22">
        <x:v>0</x:v>
      </x:c>
      <x:c r="K1317" s="22">
        <x:v>0</x:v>
      </x:c>
      <x:c r="L1317" s="23">
        <x:v>0</x:v>
      </x:c>
    </x:row>
    <x:row r="1318">
      <x:c r="A1318" s="18" t="s">
        <x:v>2911</x:v>
      </x:c>
      <x:c r="B1318" s="19" t="s">
        <x:v>2912</x:v>
      </x:c>
      <x:c r="C1318" s="20">
        <x:v>9988</x:v>
      </x:c>
      <x:c r="D1318" s="20">
        <x:v>2275</x:v>
      </x:c>
      <x:c r="E1318" s="18" t="s">
        <x:v>227</x:v>
      </x:c>
      <x:c r="F1318" s="19" t="s">
        <x:v>11</x:v>
      </x:c>
      <x:c r="G1318" s="20">
        <x:v>0</x:v>
      </x:c>
      <x:c r="H1318" s="21"/>
      <x:c r="I1318" s="21"/>
      <x:c r="J1318" s="22">
        <x:v>0</x:v>
      </x:c>
      <x:c r="K1318" s="22">
        <x:v>0</x:v>
      </x:c>
      <x:c r="L1318" s="23">
        <x:v>4</x:v>
      </x:c>
    </x:row>
    <x:row r="1319">
      <x:c r="A1319" s="18" t="s">
        <x:v>2913</x:v>
      </x:c>
      <x:c r="B1319" s="19" t="s">
        <x:v>2914</x:v>
      </x:c>
      <x:c r="C1319" s="20">
        <x:v>69072100</x:v>
      </x:c>
      <x:c r="D1319" s="20">
        <x:v>0</x:v>
      </x:c>
      <x:c r="E1319" s="18" t="s">
        <x:v>227</x:v>
      </x:c>
      <x:c r="F1319" s="19" t="s">
        <x:v>11</x:v>
      </x:c>
      <x:c r="G1319" s="20">
        <x:v>0</x:v>
      </x:c>
      <x:c r="H1319" s="21"/>
      <x:c r="I1319" s="21"/>
      <x:c r="J1319" s="22">
        <x:v>0</x:v>
      </x:c>
      <x:c r="K1319" s="22">
        <x:v>0</x:v>
      </x:c>
      <x:c r="L1319" s="23">
        <x:v>1</x:v>
      </x:c>
    </x:row>
    <x:row r="1320">
      <x:c r="A1320" s="18" t="s">
        <x:v>2915</x:v>
      </x:c>
      <x:c r="B1320" s="19" t="s">
        <x:v>2916</x:v>
      </x:c>
      <x:c r="C1320" s="20">
        <x:v>9988</x:v>
      </x:c>
      <x:c r="D1320" s="20">
        <x:v>875</x:v>
      </x:c>
      <x:c r="E1320" s="18" t="s">
        <x:v>227</x:v>
      </x:c>
      <x:c r="F1320" s="19" t="s">
        <x:v>11</x:v>
      </x:c>
      <x:c r="G1320" s="20">
        <x:v>0</x:v>
      </x:c>
      <x:c r="H1320" s="21"/>
      <x:c r="I1320" s="21"/>
      <x:c r="J1320" s="23">
        <x:v>3</x:v>
      </x:c>
      <x:c r="K1320" s="23">
        <x:v>2625</x:v>
      </x:c>
      <x:c r="L1320" s="23">
        <x:v>1</x:v>
      </x:c>
    </x:row>
    <x:row r="1321">
      <x:c r="A1321" s="18" t="s">
        <x:v>2917</x:v>
      </x:c>
      <x:c r="B1321" s="19" t="s">
        <x:v>2918</x:v>
      </x:c>
      <x:c r="C1321" s="20">
        <x:v>9988</x:v>
      </x:c>
      <x:c r="D1321" s="20">
        <x:v>2200</x:v>
      </x:c>
      <x:c r="E1321" s="18" t="s">
        <x:v>227</x:v>
      </x:c>
      <x:c r="F1321" s="19" t="s">
        <x:v>11</x:v>
      </x:c>
      <x:c r="G1321" s="20">
        <x:v>0</x:v>
      </x:c>
      <x:c r="H1321" s="21"/>
      <x:c r="I1321" s="21"/>
      <x:c r="J1321" s="22">
        <x:v>0</x:v>
      </x:c>
      <x:c r="K1321" s="22">
        <x:v>0</x:v>
      </x:c>
      <x:c r="L1321" s="23">
        <x:v>7</x:v>
      </x:c>
    </x:row>
    <x:row r="1322">
      <x:c r="A1322" s="18" t="s">
        <x:v>2919</x:v>
      </x:c>
      <x:c r="B1322" s="19" t="s">
        <x:v>2920</x:v>
      </x:c>
      <x:c r="C1322" s="20">
        <x:v>9988</x:v>
      </x:c>
      <x:c r="D1322" s="20">
        <x:v>660</x:v>
      </x:c>
      <x:c r="E1322" s="18" t="s">
        <x:v>227</x:v>
      </x:c>
      <x:c r="F1322" s="19" t="s">
        <x:v>11</x:v>
      </x:c>
      <x:c r="G1322" s="20">
        <x:v>0</x:v>
      </x:c>
      <x:c r="H1322" s="21"/>
      <x:c r="I1322" s="21"/>
      <x:c r="J1322" s="23">
        <x:v>10</x:v>
      </x:c>
      <x:c r="K1322" s="23">
        <x:v>6600</x:v>
      </x:c>
      <x:c r="L1322" s="23">
        <x:v>9</x:v>
      </x:c>
    </x:row>
    <x:row r="1323">
      <x:c r="A1323" s="18" t="s">
        <x:v>2921</x:v>
      </x:c>
      <x:c r="B1323" s="19" t="s">
        <x:v>2922</x:v>
      </x:c>
      <x:c r="C1323" s="20">
        <x:v>9988</x:v>
      </x:c>
      <x:c r="D1323" s="20">
        <x:v>0</x:v>
      </x:c>
      <x:c r="E1323" s="18" t="s">
        <x:v>227</x:v>
      </x:c>
      <x:c r="F1323" s="19" t="s">
        <x:v>11</x:v>
      </x:c>
      <x:c r="G1323" s="20">
        <x:v>0</x:v>
      </x:c>
      <x:c r="H1323" s="21"/>
      <x:c r="I1323" s="21"/>
      <x:c r="J1323" s="22">
        <x:v>0</x:v>
      </x:c>
      <x:c r="K1323" s="22">
        <x:v>0</x:v>
      </x:c>
      <x:c r="L1323" s="23">
        <x:v>0</x:v>
      </x:c>
    </x:row>
    <x:row r="1324">
      <x:c r="A1324" s="18" t="s">
        <x:v>2923</x:v>
      </x:c>
      <x:c r="B1324" s="19" t="s">
        <x:v>2924</x:v>
      </x:c>
      <x:c r="C1324" s="20">
        <x:v>9988</x:v>
      </x:c>
      <x:c r="D1324" s="20">
        <x:v>0</x:v>
      </x:c>
      <x:c r="E1324" s="18" t="s">
        <x:v>227</x:v>
      </x:c>
      <x:c r="F1324" s="19" t="s">
        <x:v>11</x:v>
      </x:c>
      <x:c r="G1324" s="20">
        <x:v>0</x:v>
      </x:c>
      <x:c r="H1324" s="21"/>
      <x:c r="I1324" s="21"/>
      <x:c r="J1324" s="23">
        <x:v>2</x:v>
      </x:c>
      <x:c r="K1324" s="23">
        <x:v>5400</x:v>
      </x:c>
      <x:c r="L1324" s="23">
        <x:v>0</x:v>
      </x:c>
    </x:row>
    <x:row r="1325">
      <x:c r="A1325" s="18" t="s">
        <x:v>2925</x:v>
      </x:c>
      <x:c r="B1325" s="19" t="s">
        <x:v>2926</x:v>
      </x:c>
      <x:c r="C1325" s="20">
        <x:v>9988</x:v>
      </x:c>
      <x:c r="D1325" s="20">
        <x:v>1325</x:v>
      </x:c>
      <x:c r="E1325" s="18" t="s">
        <x:v>227</x:v>
      </x:c>
      <x:c r="F1325" s="19" t="s">
        <x:v>11</x:v>
      </x:c>
      <x:c r="G1325" s="20">
        <x:v>0</x:v>
      </x:c>
      <x:c r="H1325" s="21"/>
      <x:c r="I1325" s="21"/>
      <x:c r="J1325" s="22">
        <x:v>0</x:v>
      </x:c>
      <x:c r="K1325" s="22">
        <x:v>0</x:v>
      </x:c>
      <x:c r="L1325" s="23">
        <x:v>2</x:v>
      </x:c>
    </x:row>
    <x:row r="1326">
      <x:c r="A1326" s="18" t="s">
        <x:v>2927</x:v>
      </x:c>
      <x:c r="B1326" s="19" t="s">
        <x:v>2928</x:v>
      </x:c>
      <x:c r="C1326" s="20">
        <x:v>9988</x:v>
      </x:c>
      <x:c r="D1326" s="20">
        <x:v>1625</x:v>
      </x:c>
      <x:c r="E1326" s="18" t="s">
        <x:v>227</x:v>
      </x:c>
      <x:c r="F1326" s="19" t="s">
        <x:v>11</x:v>
      </x:c>
      <x:c r="G1326" s="20">
        <x:v>0</x:v>
      </x:c>
      <x:c r="H1326" s="21"/>
      <x:c r="I1326" s="21"/>
      <x:c r="J1326" s="23">
        <x:v>2</x:v>
      </x:c>
      <x:c r="K1326" s="23">
        <x:v>3250</x:v>
      </x:c>
      <x:c r="L1326" s="23">
        <x:v>2</x:v>
      </x:c>
    </x:row>
    <x:row r="1327">
      <x:c r="A1327" s="18" t="s">
        <x:v>2929</x:v>
      </x:c>
      <x:c r="B1327" s="19" t="s">
        <x:v>2930</x:v>
      </x:c>
      <x:c r="C1327" s="20">
        <x:v>9988</x:v>
      </x:c>
      <x:c r="D1327" s="20">
        <x:v>1625</x:v>
      </x:c>
      <x:c r="E1327" s="18" t="s">
        <x:v>227</x:v>
      </x:c>
      <x:c r="F1327" s="19" t="s">
        <x:v>11</x:v>
      </x:c>
      <x:c r="G1327" s="20">
        <x:v>0</x:v>
      </x:c>
      <x:c r="H1327" s="21"/>
      <x:c r="I1327" s="21"/>
      <x:c r="J1327" s="23">
        <x:v>6</x:v>
      </x:c>
      <x:c r="K1327" s="23">
        <x:v>15250</x:v>
      </x:c>
      <x:c r="L1327" s="23">
        <x:v>4</x:v>
      </x:c>
    </x:row>
    <x:row r="1328">
      <x:c r="A1328" s="18" t="s">
        <x:v>2931</x:v>
      </x:c>
      <x:c r="B1328" s="19" t="s">
        <x:v>2932</x:v>
      </x:c>
      <x:c r="C1328" s="20">
        <x:v>9988</x:v>
      </x:c>
      <x:c r="D1328" s="20">
        <x:v>2650</x:v>
      </x:c>
      <x:c r="E1328" s="18" t="s">
        <x:v>227</x:v>
      </x:c>
      <x:c r="F1328" s="19" t="s">
        <x:v>11</x:v>
      </x:c>
      <x:c r="G1328" s="20">
        <x:v>0</x:v>
      </x:c>
      <x:c r="H1328" s="21"/>
      <x:c r="I1328" s="21"/>
      <x:c r="J1328" s="23">
        <x:v>7</x:v>
      </x:c>
      <x:c r="K1328" s="23">
        <x:v>13765</x:v>
      </x:c>
      <x:c r="L1328" s="23">
        <x:v>2</x:v>
      </x:c>
    </x:row>
    <x:row r="1329">
      <x:c r="A1329" s="18" t="s">
        <x:v>2933</x:v>
      </x:c>
      <x:c r="B1329" s="19" t="s">
        <x:v>2934</x:v>
      </x:c>
      <x:c r="C1329" s="20">
        <x:v>9988</x:v>
      </x:c>
      <x:c r="D1329" s="20">
        <x:v>2650</x:v>
      </x:c>
      <x:c r="E1329" s="18" t="s">
        <x:v>227</x:v>
      </x:c>
      <x:c r="F1329" s="19" t="s">
        <x:v>11</x:v>
      </x:c>
      <x:c r="G1329" s="20">
        <x:v>0</x:v>
      </x:c>
      <x:c r="H1329" s="21"/>
      <x:c r="I1329" s="21"/>
      <x:c r="J1329" s="23">
        <x:v>2</x:v>
      </x:c>
      <x:c r="K1329" s="23">
        <x:v>2110</x:v>
      </x:c>
      <x:c r="L1329" s="23">
        <x:v>2</x:v>
      </x:c>
    </x:row>
    <x:row r="1330">
      <x:c r="A1330" s="18" t="s">
        <x:v>2935</x:v>
      </x:c>
      <x:c r="B1330" s="19" t="s">
        <x:v>2936</x:v>
      </x:c>
      <x:c r="C1330" s="20">
        <x:v>9988</x:v>
      </x:c>
      <x:c r="D1330" s="20">
        <x:v>1230</x:v>
      </x:c>
      <x:c r="E1330" s="18" t="s">
        <x:v>227</x:v>
      </x:c>
      <x:c r="F1330" s="19" t="s">
        <x:v>11</x:v>
      </x:c>
      <x:c r="G1330" s="20">
        <x:v>0</x:v>
      </x:c>
      <x:c r="H1330" s="21"/>
      <x:c r="I1330" s="21"/>
      <x:c r="J1330" s="23">
        <x:v>2</x:v>
      </x:c>
      <x:c r="K1330" s="23">
        <x:v>2460</x:v>
      </x:c>
      <x:c r="L1330" s="23">
        <x:v>2</x:v>
      </x:c>
    </x:row>
    <x:row r="1331">
      <x:c r="A1331" s="18" t="s">
        <x:v>2937</x:v>
      </x:c>
      <x:c r="B1331" s="19" t="s">
        <x:v>2938</x:v>
      </x:c>
      <x:c r="C1331" s="20">
        <x:v>9988</x:v>
      </x:c>
      <x:c r="D1331" s="20">
        <x:v>3075</x:v>
      </x:c>
      <x:c r="E1331" s="18" t="s">
        <x:v>227</x:v>
      </x:c>
      <x:c r="F1331" s="19" t="s">
        <x:v>11</x:v>
      </x:c>
      <x:c r="G1331" s="20">
        <x:v>0</x:v>
      </x:c>
      <x:c r="H1331" s="21"/>
      <x:c r="I1331" s="21"/>
      <x:c r="J1331" s="23">
        <x:v>12</x:v>
      </x:c>
      <x:c r="K1331" s="23">
        <x:v>23985</x:v>
      </x:c>
      <x:c r="L1331" s="23">
        <x:v>8</x:v>
      </x:c>
    </x:row>
    <x:row r="1332">
      <x:c r="A1332" s="18" t="s">
        <x:v>2939</x:v>
      </x:c>
      <x:c r="B1332" s="19" t="s">
        <x:v>2940</x:v>
      </x:c>
      <x:c r="C1332" s="20">
        <x:v>9988</x:v>
      </x:c>
      <x:c r="D1332" s="20">
        <x:v>2650</x:v>
      </x:c>
      <x:c r="E1332" s="18" t="s">
        <x:v>227</x:v>
      </x:c>
      <x:c r="F1332" s="19" t="s">
        <x:v>11</x:v>
      </x:c>
      <x:c r="G1332" s="20">
        <x:v>0</x:v>
      </x:c>
      <x:c r="H1332" s="21"/>
      <x:c r="I1332" s="21"/>
      <x:c r="J1332" s="22">
        <x:v>0</x:v>
      </x:c>
      <x:c r="K1332" s="22">
        <x:v>0</x:v>
      </x:c>
      <x:c r="L1332" s="23">
        <x:v>8</x:v>
      </x:c>
    </x:row>
    <x:row r="1333">
      <x:c r="A1333" s="18" t="s">
        <x:v>2941</x:v>
      </x:c>
      <x:c r="B1333" s="19" t="s">
        <x:v>2942</x:v>
      </x:c>
      <x:c r="C1333" s="20">
        <x:v>9988</x:v>
      </x:c>
      <x:c r="D1333" s="20">
        <x:v>2050</x:v>
      </x:c>
      <x:c r="E1333" s="18" t="s">
        <x:v>227</x:v>
      </x:c>
      <x:c r="F1333" s="19" t="s">
        <x:v>11</x:v>
      </x:c>
      <x:c r="G1333" s="20">
        <x:v>0</x:v>
      </x:c>
      <x:c r="H1333" s="21"/>
      <x:c r="I1333" s="21"/>
      <x:c r="J1333" s="23">
        <x:v>14</x:v>
      </x:c>
      <x:c r="K1333" s="23">
        <x:v>14600</x:v>
      </x:c>
      <x:c r="L1333" s="23">
        <x:v>15</x:v>
      </x:c>
    </x:row>
    <x:row r="1334">
      <x:c r="A1334" s="18" t="s">
        <x:v>2943</x:v>
      </x:c>
      <x:c r="B1334" s="19" t="s">
        <x:v>2944</x:v>
      </x:c>
      <x:c r="C1334" s="20">
        <x:v>84798999</x:v>
      </x:c>
      <x:c r="D1334" s="20">
        <x:v>0</x:v>
      </x:c>
      <x:c r="E1334" s="18" t="s">
        <x:v>227</x:v>
      </x:c>
      <x:c r="F1334" s="19" t="s">
        <x:v>11</x:v>
      </x:c>
      <x:c r="G1334" s="20">
        <x:v>0</x:v>
      </x:c>
      <x:c r="H1334" s="21"/>
      <x:c r="I1334" s="21"/>
      <x:c r="J1334" s="23">
        <x:v>4</x:v>
      </x:c>
      <x:c r="K1334" s="23">
        <x:v>523200</x:v>
      </x:c>
      <x:c r="L1334" s="23">
        <x:v>1</x:v>
      </x:c>
    </x:row>
    <x:row r="1335">
      <x:c r="A1335" s="18" t="s">
        <x:v>2945</x:v>
      </x:c>
      <x:c r="B1335" s="19" t="s">
        <x:v>2946</x:v>
      </x:c>
      <x:c r="C1335" s="20">
        <x:v>73241000</x:v>
      </x:c>
      <x:c r="D1335" s="20">
        <x:v>0</x:v>
      </x:c>
      <x:c r="E1335" s="18" t="s">
        <x:v>227</x:v>
      </x:c>
      <x:c r="F1335" s="19" t="s">
        <x:v>11</x:v>
      </x:c>
      <x:c r="G1335" s="20">
        <x:v>0</x:v>
      </x:c>
      <x:c r="H1335" s="21"/>
      <x:c r="I1335" s="21"/>
      <x:c r="J1335" s="22">
        <x:v>0</x:v>
      </x:c>
      <x:c r="K1335" s="22">
        <x:v>0</x:v>
      </x:c>
      <x:c r="L1335" s="23">
        <x:v>0</x:v>
      </x:c>
    </x:row>
    <x:row r="1336">
      <x:c r="A1336" s="18" t="s">
        <x:v>2947</x:v>
      </x:c>
      <x:c r="B1336" s="19" t="s">
        <x:v>2948</x:v>
      </x:c>
      <x:c r="C1336" s="20">
        <x:v>73241000</x:v>
      </x:c>
      <x:c r="D1336" s="20">
        <x:v>0</x:v>
      </x:c>
      <x:c r="E1336" s="18" t="s">
        <x:v>227</x:v>
      </x:c>
      <x:c r="F1336" s="19" t="s">
        <x:v>11</x:v>
      </x:c>
      <x:c r="G1336" s="20">
        <x:v>67550</x:v>
      </x:c>
      <x:c r="H1336" s="21"/>
      <x:c r="I1336" s="26" t="s">
        <x:v>2949</x:v>
      </x:c>
      <x:c r="J1336" s="22">
        <x:v>0</x:v>
      </x:c>
      <x:c r="K1336" s="22">
        <x:v>0</x:v>
      </x:c>
      <x:c r="L1336" s="23">
        <x:v>0</x:v>
      </x:c>
    </x:row>
    <x:row r="1337">
      <x:c r="A1337" s="18" t="s">
        <x:v>2950</x:v>
      </x:c>
      <x:c r="B1337" s="19" t="s">
        <x:v>2951</x:v>
      </x:c>
      <x:c r="C1337" s="20">
        <x:v>73241000</x:v>
      </x:c>
      <x:c r="D1337" s="20">
        <x:v>0</x:v>
      </x:c>
      <x:c r="E1337" s="18" t="s">
        <x:v>227</x:v>
      </x:c>
      <x:c r="F1337" s="19" t="s">
        <x:v>11</x:v>
      </x:c>
      <x:c r="G1337" s="20">
        <x:v>31085</x:v>
      </x:c>
      <x:c r="H1337" s="21"/>
      <x:c r="I1337" s="26" t="s">
        <x:v>866</x:v>
      </x:c>
      <x:c r="J1337" s="22">
        <x:v>0</x:v>
      </x:c>
      <x:c r="K1337" s="22">
        <x:v>0</x:v>
      </x:c>
      <x:c r="L1337" s="23">
        <x:v>0</x:v>
      </x:c>
    </x:row>
    <x:row r="1338">
      <x:c r="A1338" s="18" t="s">
        <x:v>2952</x:v>
      </x:c>
      <x:c r="B1338" s="19" t="s">
        <x:v>2953</x:v>
      </x:c>
      <x:c r="C1338" s="20">
        <x:v>73241000</x:v>
      </x:c>
      <x:c r="D1338" s="20">
        <x:v>0</x:v>
      </x:c>
      <x:c r="E1338" s="18" t="s">
        <x:v>227</x:v>
      </x:c>
      <x:c r="F1338" s="19" t="s">
        <x:v>11</x:v>
      </x:c>
      <x:c r="G1338" s="20">
        <x:v>0</x:v>
      </x:c>
      <x:c r="H1338" s="21"/>
      <x:c r="I1338" s="21"/>
      <x:c r="J1338" s="22">
        <x:v>0</x:v>
      </x:c>
      <x:c r="K1338" s="22">
        <x:v>0</x:v>
      </x:c>
      <x:c r="L1338" s="23">
        <x:v>0</x:v>
      </x:c>
    </x:row>
    <x:row r="1339">
      <x:c r="A1339" s="18" t="s">
        <x:v>2954</x:v>
      </x:c>
      <x:c r="B1339" s="19" t="s">
        <x:v>2955</x:v>
      </x:c>
      <x:c r="C1339" s="20">
        <x:v>73241000</x:v>
      </x:c>
      <x:c r="D1339" s="20">
        <x:v>0</x:v>
      </x:c>
      <x:c r="E1339" s="18" t="s">
        <x:v>227</x:v>
      </x:c>
      <x:c r="F1339" s="19" t="s">
        <x:v>11</x:v>
      </x:c>
      <x:c r="G1339" s="20">
        <x:v>10883</x:v>
      </x:c>
      <x:c r="H1339" s="21"/>
      <x:c r="I1339" s="26" t="s">
        <x:v>866</x:v>
      </x:c>
      <x:c r="J1339" s="22">
        <x:v>0</x:v>
      </x:c>
      <x:c r="K1339" s="22">
        <x:v>0</x:v>
      </x:c>
      <x:c r="L1339" s="23">
        <x:v>0</x:v>
      </x:c>
    </x:row>
    <x:row r="1340">
      <x:c r="A1340" s="18" t="s">
        <x:v>2956</x:v>
      </x:c>
      <x:c r="B1340" s="19" t="s">
        <x:v>2957</x:v>
      </x:c>
      <x:c r="C1340" s="20">
        <x:v>73241000</x:v>
      </x:c>
      <x:c r="D1340" s="20">
        <x:v>0</x:v>
      </x:c>
      <x:c r="E1340" s="18" t="s">
        <x:v>227</x:v>
      </x:c>
      <x:c r="F1340" s="19" t="s">
        <x:v>11</x:v>
      </x:c>
      <x:c r="G1340" s="20">
        <x:v>2785.2</x:v>
      </x:c>
      <x:c r="H1340" s="21"/>
      <x:c r="I1340" s="26" t="s">
        <x:v>866</x:v>
      </x:c>
      <x:c r="J1340" s="22">
        <x:v>0</x:v>
      </x:c>
      <x:c r="K1340" s="22">
        <x:v>0</x:v>
      </x:c>
      <x:c r="L1340" s="23">
        <x:v>0</x:v>
      </x:c>
    </x:row>
    <x:row r="1341">
      <x:c r="A1341" s="18" t="s">
        <x:v>2958</x:v>
      </x:c>
      <x:c r="B1341" s="19" t="s">
        <x:v>2959</x:v>
      </x:c>
      <x:c r="C1341" s="20">
        <x:v>73241000</x:v>
      </x:c>
      <x:c r="D1341" s="20">
        <x:v>30263</x:v>
      </x:c>
      <x:c r="E1341" s="18" t="s">
        <x:v>227</x:v>
      </x:c>
      <x:c r="F1341" s="19" t="s">
        <x:v>11</x:v>
      </x:c>
      <x:c r="G1341" s="20">
        <x:v>0</x:v>
      </x:c>
      <x:c r="H1341" s="21"/>
      <x:c r="I1341" s="21"/>
      <x:c r="J1341" s="23">
        <x:v>21</x:v>
      </x:c>
      <x:c r="K1341" s="23">
        <x:v>631654.59</x:v>
      </x:c>
      <x:c r="L1341" s="23">
        <x:v>20</x:v>
      </x:c>
    </x:row>
    <x:row r="1342">
      <x:c r="A1342" s="18" t="s">
        <x:v>2960</x:v>
      </x:c>
      <x:c r="B1342" s="19" t="s">
        <x:v>2961</x:v>
      </x:c>
      <x:c r="C1342" s="20">
        <x:v>73241000</x:v>
      </x:c>
      <x:c r="D1342" s="20">
        <x:v>0</x:v>
      </x:c>
      <x:c r="E1342" s="18" t="s">
        <x:v>227</x:v>
      </x:c>
      <x:c r="F1342" s="19" t="s">
        <x:v>11</x:v>
      </x:c>
      <x:c r="G1342" s="20">
        <x:v>0</x:v>
      </x:c>
      <x:c r="H1342" s="21"/>
      <x:c r="I1342" s="21"/>
      <x:c r="J1342" s="22">
        <x:v>0</x:v>
      </x:c>
      <x:c r="K1342" s="22">
        <x:v>0</x:v>
      </x:c>
      <x:c r="L1342" s="23">
        <x:v>0</x:v>
      </x:c>
    </x:row>
    <x:row r="1343">
      <x:c r="A1343" s="18" t="s">
        <x:v>2962</x:v>
      </x:c>
      <x:c r="B1343" s="19" t="s">
        <x:v>2963</x:v>
      </x:c>
      <x:c r="C1343" s="20">
        <x:v>76169990</x:v>
      </x:c>
      <x:c r="D1343" s="20">
        <x:v>0</x:v>
      </x:c>
      <x:c r="E1343" s="18" t="s">
        <x:v>227</x:v>
      </x:c>
      <x:c r="F1343" s="19" t="s">
        <x:v>41</x:v>
      </x:c>
      <x:c r="G1343" s="20">
        <x:v>0</x:v>
      </x:c>
      <x:c r="H1343" s="21"/>
      <x:c r="I1343" s="21"/>
      <x:c r="J1343" s="22">
        <x:v>0</x:v>
      </x:c>
      <x:c r="K1343" s="22">
        <x:v>0</x:v>
      </x:c>
      <x:c r="L1343" s="23">
        <x:v>0</x:v>
      </x:c>
    </x:row>
    <x:row r="1344">
      <x:c r="A1344" s="18" t="s">
        <x:v>2964</x:v>
      </x:c>
      <x:c r="B1344" s="19" t="s">
        <x:v>2965</x:v>
      </x:c>
      <x:c r="C1344" s="20">
        <x:v>39263090</x:v>
      </x:c>
      <x:c r="D1344" s="20">
        <x:v>3.5</x:v>
      </x:c>
      <x:c r="E1344" s="18" t="s">
        <x:v>227</x:v>
      </x:c>
      <x:c r="F1344" s="19" t="s">
        <x:v>11</x:v>
      </x:c>
      <x:c r="G1344" s="20">
        <x:v>3.5</x:v>
      </x:c>
      <x:c r="H1344" s="21"/>
      <x:c r="I1344" s="26" t="s">
        <x:v>228</x:v>
      </x:c>
      <x:c r="J1344" s="23">
        <x:v>1513</x:v>
      </x:c>
      <x:c r="K1344" s="23">
        <x:v>5295.5</x:v>
      </x:c>
      <x:c r="L1344" s="23">
        <x:v>567</x:v>
      </x:c>
    </x:row>
    <x:row r="1345">
      <x:c r="A1345" s="18" t="s">
        <x:v>2966</x:v>
      </x:c>
      <x:c r="B1345" s="19" t="s">
        <x:v>2967</x:v>
      </x:c>
      <x:c r="C1345" s="20">
        <x:v>83024900</x:v>
      </x:c>
      <x:c r="D1345" s="20">
        <x:v>291.5</x:v>
      </x:c>
      <x:c r="E1345" s="18" t="s">
        <x:v>227</x:v>
      </x:c>
      <x:c r="F1345" s="19" t="s">
        <x:v>11</x:v>
      </x:c>
      <x:c r="G1345" s="20">
        <x:v>0</x:v>
      </x:c>
      <x:c r="H1345" s="21"/>
      <x:c r="I1345" s="21"/>
      <x:c r="J1345" s="23">
        <x:v>23</x:v>
      </x:c>
      <x:c r="K1345" s="23">
        <x:v>6704.5</x:v>
      </x:c>
      <x:c r="L1345" s="23">
        <x:v>23</x:v>
      </x:c>
    </x:row>
    <x:row r="1346">
      <x:c r="A1346" s="18" t="s">
        <x:v>2968</x:v>
      </x:c>
      <x:c r="B1346" s="19" t="s">
        <x:v>2969</x:v>
      </x:c>
      <x:c r="C1346" s="20">
        <x:v>39263090</x:v>
      </x:c>
      <x:c r="D1346" s="20">
        <x:v>133.38</x:v>
      </x:c>
      <x:c r="E1346" s="18" t="s">
        <x:v>227</x:v>
      </x:c>
      <x:c r="F1346" s="19" t="s">
        <x:v>41</x:v>
      </x:c>
      <x:c r="G1346" s="20">
        <x:v>0</x:v>
      </x:c>
      <x:c r="H1346" s="21"/>
      <x:c r="I1346" s="21"/>
      <x:c r="J1346" s="23">
        <x:v>23.4</x:v>
      </x:c>
      <x:c r="K1346" s="23">
        <x:v>3121.09</x:v>
      </x:c>
      <x:c r="L1346" s="23">
        <x:v>8.4</x:v>
      </x:c>
    </x:row>
    <x:row r="1347">
      <x:c r="A1347" s="18" t="s">
        <x:v>2970</x:v>
      </x:c>
      <x:c r="B1347" s="19" t="s">
        <x:v>2971</x:v>
      </x:c>
      <x:c r="C1347" s="20">
        <x:v>39263090</x:v>
      </x:c>
      <x:c r="D1347" s="20">
        <x:v>0</x:v>
      </x:c>
      <x:c r="E1347" s="18" t="s">
        <x:v>227</x:v>
      </x:c>
      <x:c r="F1347" s="19" t="s">
        <x:v>41</x:v>
      </x:c>
      <x:c r="G1347" s="20">
        <x:v>0</x:v>
      </x:c>
      <x:c r="H1347" s="21"/>
      <x:c r="I1347" s="21"/>
      <x:c r="J1347" s="23">
        <x:v>44.4</x:v>
      </x:c>
      <x:c r="K1347" s="23">
        <x:v>10076.14</x:v>
      </x:c>
      <x:c r="L1347" s="23">
        <x:v>0</x:v>
      </x:c>
    </x:row>
    <x:row r="1348">
      <x:c r="A1348" s="18" t="s">
        <x:v>2972</x:v>
      </x:c>
      <x:c r="B1348" s="19" t="s">
        <x:v>2973</x:v>
      </x:c>
      <x:c r="C1348" s="20">
        <x:v>39263090</x:v>
      </x:c>
      <x:c r="D1348" s="20">
        <x:v>0</x:v>
      </x:c>
      <x:c r="E1348" s="18" t="s">
        <x:v>227</x:v>
      </x:c>
      <x:c r="F1348" s="19" t="s">
        <x:v>41</x:v>
      </x:c>
      <x:c r="G1348" s="20">
        <x:v>0</x:v>
      </x:c>
      <x:c r="H1348" s="21"/>
      <x:c r="I1348" s="21"/>
      <x:c r="J1348" s="23">
        <x:v>42</x:v>
      </x:c>
      <x:c r="K1348" s="23">
        <x:v>15785.28</x:v>
      </x:c>
      <x:c r="L1348" s="23">
        <x:v>0</x:v>
      </x:c>
    </x:row>
    <x:row r="1349">
      <x:c r="A1349" s="18" t="s">
        <x:v>2974</x:v>
      </x:c>
      <x:c r="B1349" s="19" t="s">
        <x:v>2975</x:v>
      </x:c>
      <x:c r="C1349" s="20">
        <x:v>39263090</x:v>
      </x:c>
      <x:c r="D1349" s="20">
        <x:v>200</x:v>
      </x:c>
      <x:c r="E1349" s="18" t="s">
        <x:v>227</x:v>
      </x:c>
      <x:c r="F1349" s="19" t="s">
        <x:v>41</x:v>
      </x:c>
      <x:c r="G1349" s="20">
        <x:v>0</x:v>
      </x:c>
      <x:c r="H1349" s="21"/>
      <x:c r="I1349" s="21"/>
      <x:c r="J1349" s="23">
        <x:v>19</x:v>
      </x:c>
      <x:c r="K1349" s="23">
        <x:v>3908.3</x:v>
      </x:c>
      <x:c r="L1349" s="23">
        <x:v>37</x:v>
      </x:c>
    </x:row>
    <x:row r="1350">
      <x:c r="A1350" s="18" t="s">
        <x:v>2976</x:v>
      </x:c>
      <x:c r="B1350" s="19" t="s">
        <x:v>2977</x:v>
      </x:c>
      <x:c r="C1350" s="20">
        <x:v>39263090</x:v>
      </x:c>
      <x:c r="D1350" s="20">
        <x:v>0</x:v>
      </x:c>
      <x:c r="E1350" s="18" t="s">
        <x:v>227</x:v>
      </x:c>
      <x:c r="F1350" s="19" t="s">
        <x:v>41</x:v>
      </x:c>
      <x:c r="G1350" s="20">
        <x:v>0</x:v>
      </x:c>
      <x:c r="H1350" s="21"/>
      <x:c r="I1350" s="21"/>
      <x:c r="J1350" s="23">
        <x:v>38.4</x:v>
      </x:c>
      <x:c r="K1350" s="23">
        <x:v>11082.24</x:v>
      </x:c>
      <x:c r="L1350" s="23">
        <x:v>0</x:v>
      </x:c>
    </x:row>
    <x:row r="1351">
      <x:c r="A1351" s="18" t="s">
        <x:v>2978</x:v>
      </x:c>
      <x:c r="B1351" s="19" t="s">
        <x:v>2979</x:v>
      </x:c>
      <x:c r="C1351" s="20">
        <x:v>39269099</x:v>
      </x:c>
      <x:c r="D1351" s="20">
        <x:v>32</x:v>
      </x:c>
      <x:c r="E1351" s="18" t="s">
        <x:v>227</x:v>
      </x:c>
      <x:c r="F1351" s="19" t="s">
        <x:v>11</x:v>
      </x:c>
      <x:c r="G1351" s="20">
        <x:v>32</x:v>
      </x:c>
      <x:c r="H1351" s="21"/>
      <x:c r="I1351" s="26" t="s">
        <x:v>233</x:v>
      </x:c>
      <x:c r="J1351" s="23">
        <x:v>16</x:v>
      </x:c>
      <x:c r="K1351" s="23">
        <x:v>512</x:v>
      </x:c>
      <x:c r="L1351" s="23">
        <x:v>14</x:v>
      </x:c>
    </x:row>
    <x:row r="1352">
      <x:c r="A1352" s="18" t="s">
        <x:v>2980</x:v>
      </x:c>
      <x:c r="B1352" s="19" t="s">
        <x:v>2981</x:v>
      </x:c>
      <x:c r="C1352" s="20">
        <x:v>39269099</x:v>
      </x:c>
      <x:c r="D1352" s="20">
        <x:v>60</x:v>
      </x:c>
      <x:c r="E1352" s="18" t="s">
        <x:v>227</x:v>
      </x:c>
      <x:c r="F1352" s="19" t="s">
        <x:v>11</x:v>
      </x:c>
      <x:c r="G1352" s="20">
        <x:v>0</x:v>
      </x:c>
      <x:c r="H1352" s="21"/>
      <x:c r="I1352" s="21"/>
      <x:c r="J1352" s="23">
        <x:v>25</x:v>
      </x:c>
      <x:c r="K1352" s="23">
        <x:v>11460</x:v>
      </x:c>
      <x:c r="L1352" s="23">
        <x:v>35</x:v>
      </x:c>
    </x:row>
    <x:row r="1353">
      <x:c r="A1353" s="18" t="s">
        <x:v>2982</x:v>
      </x:c>
      <x:c r="B1353" s="19" t="s">
        <x:v>2983</x:v>
      </x:c>
      <x:c r="C1353" s="20">
        <x:v>83024200</x:v>
      </x:c>
      <x:c r="D1353" s="20">
        <x:v>0</x:v>
      </x:c>
      <x:c r="E1353" s="18" t="s">
        <x:v>227</x:v>
      </x:c>
      <x:c r="F1353" s="19" t="s">
        <x:v>82</x:v>
      </x:c>
      <x:c r="G1353" s="20">
        <x:v>3144.6</x:v>
      </x:c>
      <x:c r="H1353" s="21"/>
      <x:c r="I1353" s="26" t="s">
        <x:v>858</x:v>
      </x:c>
      <x:c r="J1353" s="22">
        <x:v>0</x:v>
      </x:c>
      <x:c r="K1353" s="22">
        <x:v>0</x:v>
      </x:c>
      <x:c r="L1353" s="23">
        <x:v>0</x:v>
      </x:c>
    </x:row>
    <x:row r="1354">
      <x:c r="A1354" s="18" t="s">
        <x:v>2984</x:v>
      </x:c>
      <x:c r="B1354" s="19" t="s">
        <x:v>2985</x:v>
      </x:c>
      <x:c r="C1354" s="20">
        <x:v>83024200</x:v>
      </x:c>
      <x:c r="D1354" s="20">
        <x:v>0</x:v>
      </x:c>
      <x:c r="E1354" s="18" t="s">
        <x:v>227</x:v>
      </x:c>
      <x:c r="F1354" s="19" t="s">
        <x:v>82</x:v>
      </x:c>
      <x:c r="G1354" s="20">
        <x:v>6197.4</x:v>
      </x:c>
      <x:c r="H1354" s="21"/>
      <x:c r="I1354" s="26" t="s">
        <x:v>858</x:v>
      </x:c>
      <x:c r="J1354" s="22">
        <x:v>0</x:v>
      </x:c>
      <x:c r="K1354" s="22">
        <x:v>0</x:v>
      </x:c>
      <x:c r="L1354" s="23">
        <x:v>0</x:v>
      </x:c>
    </x:row>
    <x:row r="1355">
      <x:c r="A1355" s="18" t="s">
        <x:v>2986</x:v>
      </x:c>
      <x:c r="B1355" s="19" t="s">
        <x:v>2987</x:v>
      </x:c>
      <x:c r="C1355" s="20">
        <x:v>83024200</x:v>
      </x:c>
      <x:c r="D1355" s="20">
        <x:v>0</x:v>
      </x:c>
      <x:c r="E1355" s="18" t="s">
        <x:v>227</x:v>
      </x:c>
      <x:c r="F1355" s="19" t="s">
        <x:v>11</x:v>
      </x:c>
      <x:c r="G1355" s="20">
        <x:v>261</x:v>
      </x:c>
      <x:c r="H1355" s="21"/>
      <x:c r="I1355" s="26" t="s">
        <x:v>858</x:v>
      </x:c>
      <x:c r="J1355" s="22">
        <x:v>0</x:v>
      </x:c>
      <x:c r="K1355" s="22">
        <x:v>0</x:v>
      </x:c>
      <x:c r="L1355" s="23">
        <x:v>0</x:v>
      </x:c>
    </x:row>
    <x:row r="1356">
      <x:c r="A1356" s="18" t="s">
        <x:v>2988</x:v>
      </x:c>
      <x:c r="B1356" s="19" t="s">
        <x:v>2989</x:v>
      </x:c>
      <x:c r="C1356" s="20">
        <x:v>9988</x:v>
      </x:c>
      <x:c r="D1356" s="20">
        <x:v>1325</x:v>
      </x:c>
      <x:c r="E1356" s="18" t="s">
        <x:v>227</x:v>
      </x:c>
      <x:c r="F1356" s="19" t="s">
        <x:v>11</x:v>
      </x:c>
      <x:c r="G1356" s="20">
        <x:v>0</x:v>
      </x:c>
      <x:c r="H1356" s="21"/>
      <x:c r="I1356" s="21"/>
      <x:c r="J1356" s="22">
        <x:v>0</x:v>
      </x:c>
      <x:c r="K1356" s="22">
        <x:v>0</x:v>
      </x:c>
      <x:c r="L1356" s="23">
        <x:v>8</x:v>
      </x:c>
    </x:row>
    <x:row r="1357">
      <x:c r="A1357" s="18" t="s">
        <x:v>2990</x:v>
      </x:c>
      <x:c r="B1357" s="19" t="s">
        <x:v>2991</x:v>
      </x:c>
      <x:c r="C1357" s="20">
        <x:v>9988</x:v>
      </x:c>
      <x:c r="D1357" s="20">
        <x:v>0</x:v>
      </x:c>
      <x:c r="E1357" s="18" t="s">
        <x:v>227</x:v>
      </x:c>
      <x:c r="F1357" s="19" t="s">
        <x:v>11</x:v>
      </x:c>
      <x:c r="G1357" s="20">
        <x:v>0</x:v>
      </x:c>
      <x:c r="H1357" s="21"/>
      <x:c r="I1357" s="21"/>
      <x:c r="J1357" s="22">
        <x:v>0</x:v>
      </x:c>
      <x:c r="K1357" s="22">
        <x:v>0</x:v>
      </x:c>
      <x:c r="L1357" s="23">
        <x:v>0</x:v>
      </x:c>
    </x:row>
    <x:row r="1358">
      <x:c r="A1358" s="18" t="s">
        <x:v>2992</x:v>
      </x:c>
      <x:c r="B1358" s="19" t="s">
        <x:v>2993</x:v>
      </x:c>
      <x:c r="C1358" s="20">
        <x:v>95030099</x:v>
      </x:c>
      <x:c r="D1358" s="20">
        <x:v>0</x:v>
      </x:c>
      <x:c r="E1358" s="18" t="s">
        <x:v>227</x:v>
      </x:c>
      <x:c r="F1358" s="19" t="s">
        <x:v>41</x:v>
      </x:c>
      <x:c r="G1358" s="20">
        <x:v>296.67</x:v>
      </x:c>
      <x:c r="H1358" s="21"/>
      <x:c r="I1358" s="26" t="s">
        <x:v>939</x:v>
      </x:c>
      <x:c r="J1358" s="23">
        <x:v>48</x:v>
      </x:c>
      <x:c r="K1358" s="23">
        <x:v>14240.05</x:v>
      </x:c>
      <x:c r="L1358" s="23">
        <x:v>0</x:v>
      </x:c>
    </x:row>
    <x:row r="1359">
      <x:c r="A1359" s="18" t="s">
        <x:v>2994</x:v>
      </x:c>
      <x:c r="B1359" s="19" t="s">
        <x:v>2995</x:v>
      </x:c>
      <x:c r="C1359" s="20">
        <x:v>95030099</x:v>
      </x:c>
      <x:c r="D1359" s="20">
        <x:v>0</x:v>
      </x:c>
      <x:c r="E1359" s="18" t="s">
        <x:v>227</x:v>
      </x:c>
      <x:c r="F1359" s="19" t="s">
        <x:v>41</x:v>
      </x:c>
      <x:c r="G1359" s="20">
        <x:v>330</x:v>
      </x:c>
      <x:c r="H1359" s="21"/>
      <x:c r="I1359" s="26" t="s">
        <x:v>939</x:v>
      </x:c>
      <x:c r="J1359" s="23">
        <x:v>39</x:v>
      </x:c>
      <x:c r="K1359" s="23">
        <x:v>12870</x:v>
      </x:c>
      <x:c r="L1359" s="23">
        <x:v>0</x:v>
      </x:c>
    </x:row>
    <x:row r="1360">
      <x:c r="A1360" s="18" t="s">
        <x:v>2996</x:v>
      </x:c>
      <x:c r="B1360" s="19" t="s">
        <x:v>2997</x:v>
      </x:c>
      <x:c r="C1360" s="20">
        <x:v>95030099</x:v>
      </x:c>
      <x:c r="D1360" s="20">
        <x:v>148.25</x:v>
      </x:c>
      <x:c r="E1360" s="18" t="s">
        <x:v>227</x:v>
      </x:c>
      <x:c r="F1360" s="19" t="s">
        <x:v>41</x:v>
      </x:c>
      <x:c r="G1360" s="20">
        <x:v>156.26</x:v>
      </x:c>
      <x:c r="H1360" s="21"/>
      <x:c r="I1360" s="26" t="s">
        <x:v>252</x:v>
      </x:c>
      <x:c r="J1360" s="22">
        <x:v>0</x:v>
      </x:c>
      <x:c r="K1360" s="22">
        <x:v>0</x:v>
      </x:c>
      <x:c r="L1360" s="23">
        <x:v>9</x:v>
      </x:c>
    </x:row>
    <x:row r="1361">
      <x:c r="A1361" s="18" t="s">
        <x:v>2998</x:v>
      </x:c>
      <x:c r="B1361" s="19" t="s">
        <x:v>2999</x:v>
      </x:c>
      <x:c r="C1361" s="20">
        <x:v>95030099</x:v>
      </x:c>
      <x:c r="D1361" s="20">
        <x:v>137.63999999999999</x:v>
      </x:c>
      <x:c r="E1361" s="18" t="s">
        <x:v>227</x:v>
      </x:c>
      <x:c r="F1361" s="19" t="s">
        <x:v>41</x:v>
      </x:c>
      <x:c r="G1361" s="20">
        <x:v>144.88</x:v>
      </x:c>
      <x:c r="H1361" s="21"/>
      <x:c r="I1361" s="26" t="s">
        <x:v>252</x:v>
      </x:c>
      <x:c r="J1361" s="22">
        <x:v>0</x:v>
      </x:c>
      <x:c r="K1361" s="22">
        <x:v>0</x:v>
      </x:c>
      <x:c r="L1361" s="23">
        <x:v>3</x:v>
      </x:c>
    </x:row>
    <x:row r="1362">
      <x:c r="A1362" s="18" t="s">
        <x:v>3000</x:v>
      </x:c>
      <x:c r="B1362" s="19" t="s">
        <x:v>3001</x:v>
      </x:c>
      <x:c r="C1362" s="20">
        <x:v>95030099</x:v>
      </x:c>
      <x:c r="D1362" s="20">
        <x:v>159.72</x:v>
      </x:c>
      <x:c r="E1362" s="18" t="s">
        <x:v>227</x:v>
      </x:c>
      <x:c r="F1362" s="19" t="s">
        <x:v>41</x:v>
      </x:c>
      <x:c r="G1362" s="20">
        <x:v>168.13</x:v>
      </x:c>
      <x:c r="H1362" s="21"/>
      <x:c r="I1362" s="26" t="s">
        <x:v>252</x:v>
      </x:c>
      <x:c r="J1362" s="22">
        <x:v>0</x:v>
      </x:c>
      <x:c r="K1362" s="22">
        <x:v>0</x:v>
      </x:c>
      <x:c r="L1362" s="23">
        <x:v>21</x:v>
      </x:c>
    </x:row>
    <x:row r="1363">
      <x:c r="A1363" s="18" t="s">
        <x:v>3002</x:v>
      </x:c>
      <x:c r="B1363" s="19" t="s">
        <x:v>3003</x:v>
      </x:c>
      <x:c r="C1363" s="20">
        <x:v>76169990</x:v>
      </x:c>
      <x:c r="D1363" s="20">
        <x:v>4797</x:v>
      </x:c>
      <x:c r="E1363" s="18" t="s">
        <x:v>227</x:v>
      </x:c>
      <x:c r="F1363" s="19" t="s">
        <x:v>11</x:v>
      </x:c>
      <x:c r="G1363" s="20">
        <x:v>0</x:v>
      </x:c>
      <x:c r="H1363" s="21"/>
      <x:c r="I1363" s="21"/>
      <x:c r="J1363" s="23">
        <x:v>1</x:v>
      </x:c>
      <x:c r="K1363" s="23">
        <x:v>4797</x:v>
      </x:c>
      <x:c r="L1363" s="23">
        <x:v>1</x:v>
      </x:c>
    </x:row>
    <x:row r="1364">
      <x:c r="A1364" s="18" t="s">
        <x:v>3004</x:v>
      </x:c>
      <x:c r="B1364" s="19" t="s">
        <x:v>3005</x:v>
      </x:c>
      <x:c r="C1364" s="20">
        <x:v>76169990</x:v>
      </x:c>
      <x:c r="D1364" s="20">
        <x:v>2599</x:v>
      </x:c>
      <x:c r="E1364" s="18" t="s">
        <x:v>227</x:v>
      </x:c>
      <x:c r="F1364" s="19" t="s">
        <x:v>11</x:v>
      </x:c>
      <x:c r="G1364" s="20">
        <x:v>0</x:v>
      </x:c>
      <x:c r="H1364" s="21"/>
      <x:c r="I1364" s="21"/>
      <x:c r="J1364" s="23">
        <x:v>4</x:v>
      </x:c>
      <x:c r="K1364" s="23">
        <x:v>10396</x:v>
      </x:c>
      <x:c r="L1364" s="23">
        <x:v>4</x:v>
      </x:c>
    </x:row>
    <x:row r="1365">
      <x:c r="A1365" s="18" t="s">
        <x:v>3006</x:v>
      </x:c>
      <x:c r="B1365" s="19" t="s">
        <x:v>3007</x:v>
      </x:c>
      <x:c r="C1365" s="22">
        <x:v>0</x:v>
      </x:c>
      <x:c r="D1365" s="20">
        <x:v>0</x:v>
      </x:c>
      <x:c r="E1365" s="18" t="s">
        <x:v>227</x:v>
      </x:c>
      <x:c r="F1365" s="19" t="s">
        <x:v>11</x:v>
      </x:c>
      <x:c r="G1365" s="20">
        <x:v>0</x:v>
      </x:c>
      <x:c r="H1365" s="21"/>
      <x:c r="I1365" s="21"/>
      <x:c r="J1365" s="22">
        <x:v>0</x:v>
      </x:c>
      <x:c r="K1365" s="22">
        <x:v>0</x:v>
      </x:c>
      <x:c r="L1365" s="23">
        <x:v>0</x:v>
      </x:c>
    </x:row>
    <x:row r="1366">
      <x:c r="A1366" s="18" t="s">
        <x:v>3008</x:v>
      </x:c>
      <x:c r="B1366" s="19" t="s">
        <x:v>3009</x:v>
      </x:c>
      <x:c r="C1366" s="20">
        <x:v>83021090</x:v>
      </x:c>
      <x:c r="D1366" s="20">
        <x:v>0</x:v>
      </x:c>
      <x:c r="E1366" s="18" t="s">
        <x:v>227</x:v>
      </x:c>
      <x:c r="F1366" s="19" t="s">
        <x:v>82</x:v>
      </x:c>
      <x:c r="G1366" s="20">
        <x:v>0</x:v>
      </x:c>
      <x:c r="H1366" s="21"/>
      <x:c r="I1366" s="21"/>
      <x:c r="J1366" s="22">
        <x:v>0</x:v>
      </x:c>
      <x:c r="K1366" s="22">
        <x:v>0</x:v>
      </x:c>
      <x:c r="L1366" s="23">
        <x:v>0</x:v>
      </x:c>
    </x:row>
    <x:row r="1367">
      <x:c r="A1367" s="18" t="s">
        <x:v>3010</x:v>
      </x:c>
      <x:c r="B1367" s="19" t="s">
        <x:v>3011</x:v>
      </x:c>
      <x:c r="C1367" s="20">
        <x:v>70109000</x:v>
      </x:c>
      <x:c r="D1367" s="20">
        <x:v>116.03</x:v>
      </x:c>
      <x:c r="E1367" s="18" t="s">
        <x:v>227</x:v>
      </x:c>
      <x:c r="F1367" s="19" t="s">
        <x:v>11</x:v>
      </x:c>
      <x:c r="G1367" s="20">
        <x:v>0</x:v>
      </x:c>
      <x:c r="H1367" s="21"/>
      <x:c r="I1367" s="21"/>
      <x:c r="J1367" s="23">
        <x:v>51</x:v>
      </x:c>
      <x:c r="K1367" s="23">
        <x:v>5917.53</x:v>
      </x:c>
      <x:c r="L1367" s="23">
        <x:v>51</x:v>
      </x:c>
    </x:row>
    <x:row r="1368">
      <x:c r="A1368" s="18" t="s">
        <x:v>3012</x:v>
      </x:c>
      <x:c r="B1368" s="19" t="s">
        <x:v>3013</x:v>
      </x:c>
      <x:c r="C1368" s="20">
        <x:v>70109000</x:v>
      </x:c>
      <x:c r="D1368" s="20">
        <x:v>70</x:v>
      </x:c>
      <x:c r="E1368" s="18" t="s">
        <x:v>227</x:v>
      </x:c>
      <x:c r="F1368" s="19" t="s">
        <x:v>11</x:v>
      </x:c>
      <x:c r="G1368" s="20">
        <x:v>70</x:v>
      </x:c>
      <x:c r="H1368" s="21"/>
      <x:c r="I1368" s="26" t="s">
        <x:v>2477</x:v>
      </x:c>
      <x:c r="J1368" s="23">
        <x:v>331</x:v>
      </x:c>
      <x:c r="K1368" s="23">
        <x:v>23192.42</x:v>
      </x:c>
      <x:c r="L1368" s="23">
        <x:v>785</x:v>
      </x:c>
    </x:row>
    <x:row r="1369">
      <x:c r="A1369" s="18" t="s">
        <x:v>3014</x:v>
      </x:c>
      <x:c r="B1369" s="19" t="s">
        <x:v>3015</x:v>
      </x:c>
      <x:c r="C1369" s="22">
        <x:v>0</x:v>
      </x:c>
      <x:c r="D1369" s="20">
        <x:v>0</x:v>
      </x:c>
      <x:c r="E1369" s="18" t="s">
        <x:v>227</x:v>
      </x:c>
      <x:c r="F1369" s="19" t="s">
        <x:v>11</x:v>
      </x:c>
      <x:c r="G1369" s="20">
        <x:v>793.12</x:v>
      </x:c>
      <x:c r="H1369" s="21"/>
      <x:c r="I1369" s="26" t="s">
        <x:v>1234</x:v>
      </x:c>
      <x:c r="J1369" s="22">
        <x:v>0</x:v>
      </x:c>
      <x:c r="K1369" s="22">
        <x:v>0</x:v>
      </x:c>
      <x:c r="L1369" s="23">
        <x:v>0</x:v>
      </x:c>
    </x:row>
    <x:row r="1370">
      <x:c r="A1370" s="18" t="s">
        <x:v>3016</x:v>
      </x:c>
      <x:c r="B1370" s="19" t="s">
        <x:v>3017</x:v>
      </x:c>
      <x:c r="C1370" s="20">
        <x:v>73239490</x:v>
      </x:c>
      <x:c r="D1370" s="20">
        <x:v>2076.06</x:v>
      </x:c>
      <x:c r="E1370" s="18" t="s">
        <x:v>227</x:v>
      </x:c>
      <x:c r="F1370" s="19" t="s">
        <x:v>11</x:v>
      </x:c>
      <x:c r="G1370" s="20">
        <x:v>0</x:v>
      </x:c>
      <x:c r="H1370" s="21"/>
      <x:c r="I1370" s="21"/>
      <x:c r="J1370" s="23">
        <x:v>11</x:v>
      </x:c>
      <x:c r="K1370" s="23">
        <x:v>22836.66</x:v>
      </x:c>
      <x:c r="L1370" s="23">
        <x:v>11</x:v>
      </x:c>
    </x:row>
    <x:row r="1371">
      <x:c r="A1371" s="18" t="s">
        <x:v>3018</x:v>
      </x:c>
      <x:c r="B1371" s="19" t="s">
        <x:v>3019</x:v>
      </x:c>
      <x:c r="C1371" s="20">
        <x:v>73239490</x:v>
      </x:c>
      <x:c r="D1371" s="20">
        <x:v>2183.5</x:v>
      </x:c>
      <x:c r="E1371" s="18" t="s">
        <x:v>227</x:v>
      </x:c>
      <x:c r="F1371" s="19" t="s">
        <x:v>11</x:v>
      </x:c>
      <x:c r="G1371" s="20">
        <x:v>0</x:v>
      </x:c>
      <x:c r="H1371" s="21"/>
      <x:c r="I1371" s="21"/>
      <x:c r="J1371" s="23">
        <x:v>19</x:v>
      </x:c>
      <x:c r="K1371" s="23">
        <x:v>41486.5</x:v>
      </x:c>
      <x:c r="L1371" s="23">
        <x:v>19</x:v>
      </x:c>
    </x:row>
    <x:row r="1372">
      <x:c r="A1372" s="18" t="s">
        <x:v>3020</x:v>
      </x:c>
      <x:c r="B1372" s="19" t="s">
        <x:v>3021</x:v>
      </x:c>
      <x:c r="C1372" s="20">
        <x:v>73239490</x:v>
      </x:c>
      <x:c r="D1372" s="20">
        <x:v>2304.5</x:v>
      </x:c>
      <x:c r="E1372" s="18" t="s">
        <x:v>227</x:v>
      </x:c>
      <x:c r="F1372" s="19" t="s">
        <x:v>11</x:v>
      </x:c>
      <x:c r="G1372" s="20">
        <x:v>0</x:v>
      </x:c>
      <x:c r="H1372" s="21"/>
      <x:c r="I1372" s="21"/>
      <x:c r="J1372" s="23">
        <x:v>4</x:v>
      </x:c>
      <x:c r="K1372" s="23">
        <x:v>9218</x:v>
      </x:c>
      <x:c r="L1372" s="23">
        <x:v>4</x:v>
      </x:c>
    </x:row>
    <x:row r="1373">
      <x:c r="A1373" s="18" t="s">
        <x:v>3022</x:v>
      </x:c>
      <x:c r="B1373" s="19" t="s">
        <x:v>3023</x:v>
      </x:c>
      <x:c r="C1373" s="20">
        <x:v>73239490</x:v>
      </x:c>
      <x:c r="D1373" s="20">
        <x:v>2357.25</x:v>
      </x:c>
      <x:c r="E1373" s="18" t="s">
        <x:v>227</x:v>
      </x:c>
      <x:c r="F1373" s="19" t="s">
        <x:v>11</x:v>
      </x:c>
      <x:c r="G1373" s="20">
        <x:v>0</x:v>
      </x:c>
      <x:c r="H1373" s="21"/>
      <x:c r="I1373" s="21"/>
      <x:c r="J1373" s="23">
        <x:v>7</x:v>
      </x:c>
      <x:c r="K1373" s="23">
        <x:v>16500.75</x:v>
      </x:c>
      <x:c r="L1373" s="23">
        <x:v>7</x:v>
      </x:c>
    </x:row>
    <x:row r="1374">
      <x:c r="A1374" s="18" t="s">
        <x:v>3024</x:v>
      </x:c>
      <x:c r="B1374" s="19" t="s">
        <x:v>3025</x:v>
      </x:c>
      <x:c r="C1374" s="20">
        <x:v>73239490</x:v>
      </x:c>
      <x:c r="D1374" s="20">
        <x:v>2301.1999999999998</x:v>
      </x:c>
      <x:c r="E1374" s="18" t="s">
        <x:v>227</x:v>
      </x:c>
      <x:c r="F1374" s="19" t="s">
        <x:v>11</x:v>
      </x:c>
      <x:c r="G1374" s="20">
        <x:v>0</x:v>
      </x:c>
      <x:c r="H1374" s="21"/>
      <x:c r="I1374" s="21"/>
      <x:c r="J1374" s="23">
        <x:v>2</x:v>
      </x:c>
      <x:c r="K1374" s="23">
        <x:v>4602.3999999999996</x:v>
      </x:c>
      <x:c r="L1374" s="23">
        <x:v>2</x:v>
      </x:c>
    </x:row>
    <x:row r="1375">
      <x:c r="A1375" s="18" t="s">
        <x:v>3026</x:v>
      </x:c>
      <x:c r="B1375" s="19" t="s">
        <x:v>3027</x:v>
      </x:c>
      <x:c r="C1375" s="20">
        <x:v>73239490</x:v>
      </x:c>
      <x:c r="D1375" s="20">
        <x:v>2075</x:v>
      </x:c>
      <x:c r="E1375" s="18" t="s">
        <x:v>227</x:v>
      </x:c>
      <x:c r="F1375" s="19" t="s">
        <x:v>11</x:v>
      </x:c>
      <x:c r="G1375" s="20">
        <x:v>0</x:v>
      </x:c>
      <x:c r="H1375" s="21"/>
      <x:c r="I1375" s="21"/>
      <x:c r="J1375" s="23">
        <x:v>9</x:v>
      </x:c>
      <x:c r="K1375" s="23">
        <x:v>18675</x:v>
      </x:c>
      <x:c r="L1375" s="23">
        <x:v>9</x:v>
      </x:c>
    </x:row>
    <x:row r="1376">
      <x:c r="A1376" s="18" t="s">
        <x:v>3028</x:v>
      </x:c>
      <x:c r="B1376" s="19" t="s">
        <x:v>3029</x:v>
      </x:c>
      <x:c r="C1376" s="20">
        <x:v>73239490</x:v>
      </x:c>
      <x:c r="D1376" s="20">
        <x:v>3404.5</x:v>
      </x:c>
      <x:c r="E1376" s="18" t="s">
        <x:v>227</x:v>
      </x:c>
      <x:c r="F1376" s="19" t="s">
        <x:v>11</x:v>
      </x:c>
      <x:c r="G1376" s="20">
        <x:v>0</x:v>
      </x:c>
      <x:c r="H1376" s="21"/>
      <x:c r="I1376" s="21"/>
      <x:c r="J1376" s="23">
        <x:v>7</x:v>
      </x:c>
      <x:c r="K1376" s="23">
        <x:v>23831.5</x:v>
      </x:c>
      <x:c r="L1376" s="23">
        <x:v>7</x:v>
      </x:c>
    </x:row>
    <x:row r="1377">
      <x:c r="A1377" s="18" t="s">
        <x:v>3030</x:v>
      </x:c>
      <x:c r="B1377" s="19" t="s">
        <x:v>3031</x:v>
      </x:c>
      <x:c r="C1377" s="20">
        <x:v>73239990</x:v>
      </x:c>
      <x:c r="D1377" s="20">
        <x:v>198</x:v>
      </x:c>
      <x:c r="E1377" s="18" t="s">
        <x:v>227</x:v>
      </x:c>
      <x:c r="F1377" s="19" t="s">
        <x:v>11</x:v>
      </x:c>
      <x:c r="G1377" s="20">
        <x:v>198</x:v>
      </x:c>
      <x:c r="H1377" s="21"/>
      <x:c r="I1377" s="26" t="s">
        <x:v>2477</x:v>
      </x:c>
      <x:c r="J1377" s="23">
        <x:v>462</x:v>
      </x:c>
      <x:c r="K1377" s="23">
        <x:v>98565.68</x:v>
      </x:c>
      <x:c r="L1377" s="23">
        <x:v>422</x:v>
      </x:c>
    </x:row>
    <x:row r="1378">
      <x:c r="A1378" s="18" t="s">
        <x:v>3032</x:v>
      </x:c>
      <x:c r="B1378" s="19" t="s">
        <x:v>3033</x:v>
      </x:c>
      <x:c r="C1378" s="20">
        <x:v>73239990</x:v>
      </x:c>
      <x:c r="D1378" s="20">
        <x:v>100</x:v>
      </x:c>
      <x:c r="E1378" s="18" t="s">
        <x:v>227</x:v>
      </x:c>
      <x:c r="F1378" s="19" t="s">
        <x:v>11</x:v>
      </x:c>
      <x:c r="G1378" s="20">
        <x:v>100</x:v>
      </x:c>
      <x:c r="H1378" s="21"/>
      <x:c r="I1378" s="26" t="s">
        <x:v>2477</x:v>
      </x:c>
      <x:c r="J1378" s="23">
        <x:v>128</x:v>
      </x:c>
      <x:c r="K1378" s="23">
        <x:v>14137.87</x:v>
      </x:c>
      <x:c r="L1378" s="23">
        <x:v>950</x:v>
      </x:c>
    </x:row>
    <x:row r="1379">
      <x:c r="A1379" s="18" t="s">
        <x:v>3034</x:v>
      </x:c>
      <x:c r="B1379" s="19" t="s">
        <x:v>3035</x:v>
      </x:c>
      <x:c r="C1379" s="20">
        <x:v>73239990</x:v>
      </x:c>
      <x:c r="D1379" s="20">
        <x:v>127</x:v>
      </x:c>
      <x:c r="E1379" s="18" t="s">
        <x:v>227</x:v>
      </x:c>
      <x:c r="F1379" s="19" t="s">
        <x:v>11</x:v>
      </x:c>
      <x:c r="G1379" s="20">
        <x:v>0</x:v>
      </x:c>
      <x:c r="H1379" s="21"/>
      <x:c r="I1379" s="21"/>
      <x:c r="J1379" s="23">
        <x:v>58</x:v>
      </x:c>
      <x:c r="K1379" s="23">
        <x:v>7365.76</x:v>
      </x:c>
      <x:c r="L1379" s="23">
        <x:v>58</x:v>
      </x:c>
    </x:row>
    <x:row r="1380">
      <x:c r="A1380" s="18" t="s">
        <x:v>3036</x:v>
      </x:c>
      <x:c r="B1380" s="19" t="s">
        <x:v>3037</x:v>
      </x:c>
      <x:c r="C1380" s="20">
        <x:v>73239990</x:v>
      </x:c>
      <x:c r="D1380" s="20">
        <x:v>0</x:v>
      </x:c>
      <x:c r="E1380" s="18" t="s">
        <x:v>227</x:v>
      </x:c>
      <x:c r="F1380" s="19" t="s">
        <x:v>11</x:v>
      </x:c>
      <x:c r="G1380" s="20">
        <x:v>0</x:v>
      </x:c>
      <x:c r="H1380" s="21"/>
      <x:c r="I1380" s="21"/>
      <x:c r="J1380" s="22">
        <x:v>0</x:v>
      </x:c>
      <x:c r="K1380" s="22">
        <x:v>0</x:v>
      </x:c>
      <x:c r="L1380" s="23">
        <x:v>0</x:v>
      </x:c>
    </x:row>
    <x:row r="1381">
      <x:c r="A1381" s="18" t="s">
        <x:v>3038</x:v>
      </x:c>
      <x:c r="B1381" s="19" t="s">
        <x:v>3039</x:v>
      </x:c>
      <x:c r="C1381" s="20">
        <x:v>73239990</x:v>
      </x:c>
      <x:c r="D1381" s="20">
        <x:v>4180</x:v>
      </x:c>
      <x:c r="E1381" s="18" t="s">
        <x:v>227</x:v>
      </x:c>
      <x:c r="F1381" s="19" t="s">
        <x:v>82</x:v>
      </x:c>
      <x:c r="G1381" s="20">
        <x:v>0</x:v>
      </x:c>
      <x:c r="H1381" s="21"/>
      <x:c r="I1381" s="21"/>
      <x:c r="J1381" s="23">
        <x:v>2</x:v>
      </x:c>
      <x:c r="K1381" s="23">
        <x:v>9651.69</x:v>
      </x:c>
      <x:c r="L1381" s="23">
        <x:v>2</x:v>
      </x:c>
    </x:row>
    <x:row r="1382">
      <x:c r="A1382" s="18" t="s">
        <x:v>3040</x:v>
      </x:c>
      <x:c r="B1382" s="19" t="s">
        <x:v>3041</x:v>
      </x:c>
      <x:c r="C1382" s="20">
        <x:v>73239990</x:v>
      </x:c>
      <x:c r="D1382" s="20">
        <x:v>800</x:v>
      </x:c>
      <x:c r="E1382" s="18" t="s">
        <x:v>227</x:v>
      </x:c>
      <x:c r="F1382" s="19" t="s">
        <x:v>82</x:v>
      </x:c>
      <x:c r="G1382" s="20">
        <x:v>0</x:v>
      </x:c>
      <x:c r="H1382" s="21"/>
      <x:c r="I1382" s="21"/>
      <x:c r="J1382" s="23">
        <x:v>62</x:v>
      </x:c>
      <x:c r="K1382" s="23">
        <x:v>49604.58</x:v>
      </x:c>
      <x:c r="L1382" s="23">
        <x:v>60</x:v>
      </x:c>
    </x:row>
    <x:row r="1383">
      <x:c r="A1383" s="18" t="s">
        <x:v>3042</x:v>
      </x:c>
      <x:c r="B1383" s="19" t="s">
        <x:v>3043</x:v>
      </x:c>
      <x:c r="C1383" s="20">
        <x:v>73239990</x:v>
      </x:c>
      <x:c r="D1383" s="20">
        <x:v>736.58</x:v>
      </x:c>
      <x:c r="E1383" s="18" t="s">
        <x:v>227</x:v>
      </x:c>
      <x:c r="F1383" s="19" t="s">
        <x:v>11</x:v>
      </x:c>
      <x:c r="G1383" s="20">
        <x:v>0</x:v>
      </x:c>
      <x:c r="H1383" s="21"/>
      <x:c r="I1383" s="21"/>
      <x:c r="J1383" s="23">
        <x:v>30</x:v>
      </x:c>
      <x:c r="K1383" s="23">
        <x:v>22097.279999999999</x:v>
      </x:c>
      <x:c r="L1383" s="23">
        <x:v>26</x:v>
      </x:c>
    </x:row>
    <x:row r="1384">
      <x:c r="A1384" s="18" t="s">
        <x:v>3044</x:v>
      </x:c>
      <x:c r="B1384" s="19" t="s">
        <x:v>3045</x:v>
      </x:c>
      <x:c r="C1384" s="20">
        <x:v>73239990</x:v>
      </x:c>
      <x:c r="D1384" s="20">
        <x:v>130</x:v>
      </x:c>
      <x:c r="E1384" s="18" t="s">
        <x:v>227</x:v>
      </x:c>
      <x:c r="F1384" s="19" t="s">
        <x:v>11</x:v>
      </x:c>
      <x:c r="G1384" s="20">
        <x:v>0</x:v>
      </x:c>
      <x:c r="H1384" s="21"/>
      <x:c r="I1384" s="21"/>
      <x:c r="J1384" s="22">
        <x:v>0</x:v>
      </x:c>
      <x:c r="K1384" s="22">
        <x:v>0</x:v>
      </x:c>
      <x:c r="L1384" s="23">
        <x:v>8</x:v>
      </x:c>
    </x:row>
    <x:row r="1385">
      <x:c r="A1385" s="18" t="s">
        <x:v>3046</x:v>
      </x:c>
      <x:c r="B1385" s="19" t="s">
        <x:v>3047</x:v>
      </x:c>
      <x:c r="C1385" s="20">
        <x:v>73239990</x:v>
      </x:c>
      <x:c r="D1385" s="20">
        <x:v>30</x:v>
      </x:c>
      <x:c r="E1385" s="18" t="s">
        <x:v>227</x:v>
      </x:c>
      <x:c r="F1385" s="19" t="s">
        <x:v>11</x:v>
      </x:c>
      <x:c r="G1385" s="20">
        <x:v>0</x:v>
      </x:c>
      <x:c r="H1385" s="21"/>
      <x:c r="I1385" s="21"/>
      <x:c r="J1385" s="23">
        <x:v>330</x:v>
      </x:c>
      <x:c r="K1385" s="23">
        <x:v>9900</x:v>
      </x:c>
      <x:c r="L1385" s="23">
        <x:v>330</x:v>
      </x:c>
    </x:row>
    <x:row r="1386">
      <x:c r="A1386" s="18" t="s">
        <x:v>3048</x:v>
      </x:c>
      <x:c r="B1386" s="19" t="s">
        <x:v>3049</x:v>
      </x:c>
      <x:c r="C1386" s="20">
        <x:v>73239990</x:v>
      </x:c>
      <x:c r="D1386" s="20">
        <x:v>0</x:v>
      </x:c>
      <x:c r="E1386" s="18" t="s">
        <x:v>227</x:v>
      </x:c>
      <x:c r="F1386" s="19" t="s">
        <x:v>11</x:v>
      </x:c>
      <x:c r="G1386" s="20">
        <x:v>0</x:v>
      </x:c>
      <x:c r="H1386" s="21"/>
      <x:c r="I1386" s="21"/>
      <x:c r="J1386" s="22">
        <x:v>0</x:v>
      </x:c>
      <x:c r="K1386" s="22">
        <x:v>0</x:v>
      </x:c>
      <x:c r="L1386" s="23">
        <x:v>0</x:v>
      </x:c>
    </x:row>
    <x:row r="1387">
      <x:c r="A1387" s="18" t="s">
        <x:v>3050</x:v>
      </x:c>
      <x:c r="B1387" s="19" t="s">
        <x:v>3051</x:v>
      </x:c>
      <x:c r="C1387" s="20">
        <x:v>48211020</x:v>
      </x:c>
      <x:c r="D1387" s="20">
        <x:v>1.65</x:v>
      </x:c>
      <x:c r="E1387" s="18" t="s">
        <x:v>227</x:v>
      </x:c>
      <x:c r="F1387" s="19" t="s">
        <x:v>11</x:v>
      </x:c>
      <x:c r="G1387" s="20">
        <x:v>0</x:v>
      </x:c>
      <x:c r="H1387" s="21"/>
      <x:c r="I1387" s="21"/>
      <x:c r="J1387" s="23">
        <x:v>41100</x:v>
      </x:c>
      <x:c r="K1387" s="23">
        <x:v>67815</x:v>
      </x:c>
      <x:c r="L1387" s="23">
        <x:v>4300</x:v>
      </x:c>
    </x:row>
    <x:row r="1388">
      <x:c r="A1388" s="18" t="s">
        <x:v>3052</x:v>
      </x:c>
      <x:c r="B1388" s="19" t="s">
        <x:v>3053</x:v>
      </x:c>
      <x:c r="C1388" s="20">
        <x:v>69072100</x:v>
      </x:c>
      <x:c r="D1388" s="20">
        <x:v>0</x:v>
      </x:c>
      <x:c r="E1388" s="18" t="s">
        <x:v>227</x:v>
      </x:c>
      <x:c r="F1388" s="19" t="s">
        <x:v>11</x:v>
      </x:c>
      <x:c r="G1388" s="20">
        <x:v>0</x:v>
      </x:c>
      <x:c r="H1388" s="21"/>
      <x:c r="I1388" s="21"/>
      <x:c r="J1388" s="22">
        <x:v>0</x:v>
      </x:c>
      <x:c r="K1388" s="22">
        <x:v>0</x:v>
      </x:c>
      <x:c r="L1388" s="23">
        <x:v>0</x:v>
      </x:c>
    </x:row>
    <x:row r="1389">
      <x:c r="A1389" s="18" t="s">
        <x:v>3054</x:v>
      </x:c>
      <x:c r="B1389" s="19" t="s">
        <x:v>3055</x:v>
      </x:c>
      <x:c r="C1389" s="20">
        <x:v>69072100</x:v>
      </x:c>
      <x:c r="D1389" s="20">
        <x:v>0</x:v>
      </x:c>
      <x:c r="E1389" s="18" t="s">
        <x:v>227</x:v>
      </x:c>
      <x:c r="F1389" s="19" t="s">
        <x:v>11</x:v>
      </x:c>
      <x:c r="G1389" s="20">
        <x:v>0</x:v>
      </x:c>
      <x:c r="H1389" s="21"/>
      <x:c r="I1389" s="21"/>
      <x:c r="J1389" s="22">
        <x:v>0</x:v>
      </x:c>
      <x:c r="K1389" s="22">
        <x:v>0</x:v>
      </x:c>
      <x:c r="L1389" s="23">
        <x:v>0</x:v>
      </x:c>
    </x:row>
    <x:row r="1390">
      <x:c r="A1390" s="18" t="s">
        <x:v>3056</x:v>
      </x:c>
      <x:c r="B1390" s="19" t="s">
        <x:v>3057</x:v>
      </x:c>
      <x:c r="C1390" s="20">
        <x:v>69072100</x:v>
      </x:c>
      <x:c r="D1390" s="20">
        <x:v>0</x:v>
      </x:c>
      <x:c r="E1390" s="18" t="s">
        <x:v>227</x:v>
      </x:c>
      <x:c r="F1390" s="19" t="s">
        <x:v>11</x:v>
      </x:c>
      <x:c r="G1390" s="20">
        <x:v>0</x:v>
      </x:c>
      <x:c r="H1390" s="21"/>
      <x:c r="I1390" s="21"/>
      <x:c r="J1390" s="22">
        <x:v>0</x:v>
      </x:c>
      <x:c r="K1390" s="22">
        <x:v>0</x:v>
      </x:c>
      <x:c r="L1390" s="23">
        <x:v>0</x:v>
      </x:c>
    </x:row>
    <x:row r="1391">
      <x:c r="A1391" s="18" t="s">
        <x:v>3058</x:v>
      </x:c>
      <x:c r="B1391" s="19" t="s">
        <x:v>3059</x:v>
      </x:c>
      <x:c r="C1391" s="20">
        <x:v>69072100</x:v>
      </x:c>
      <x:c r="D1391" s="20">
        <x:v>0</x:v>
      </x:c>
      <x:c r="E1391" s="18" t="s">
        <x:v>227</x:v>
      </x:c>
      <x:c r="F1391" s="19" t="s">
        <x:v>11</x:v>
      </x:c>
      <x:c r="G1391" s="20">
        <x:v>0</x:v>
      </x:c>
      <x:c r="H1391" s="21"/>
      <x:c r="I1391" s="21"/>
      <x:c r="J1391" s="22">
        <x:v>0</x:v>
      </x:c>
      <x:c r="K1391" s="22">
        <x:v>0</x:v>
      </x:c>
      <x:c r="L1391" s="23">
        <x:v>0</x:v>
      </x:c>
    </x:row>
    <x:row r="1392">
      <x:c r="A1392" s="18" t="s">
        <x:v>3060</x:v>
      </x:c>
      <x:c r="B1392" s="19" t="s">
        <x:v>3061</x:v>
      </x:c>
      <x:c r="C1392" s="20">
        <x:v>69072100</x:v>
      </x:c>
      <x:c r="D1392" s="20">
        <x:v>0</x:v>
      </x:c>
      <x:c r="E1392" s="18" t="s">
        <x:v>227</x:v>
      </x:c>
      <x:c r="F1392" s="19" t="s">
        <x:v>11</x:v>
      </x:c>
      <x:c r="G1392" s="20">
        <x:v>0</x:v>
      </x:c>
      <x:c r="H1392" s="21"/>
      <x:c r="I1392" s="21"/>
      <x:c r="J1392" s="22">
        <x:v>0</x:v>
      </x:c>
      <x:c r="K1392" s="22">
        <x:v>0</x:v>
      </x:c>
      <x:c r="L1392" s="23">
        <x:v>0</x:v>
      </x:c>
    </x:row>
    <x:row r="1393">
      <x:c r="A1393" s="18" t="s">
        <x:v>3062</x:v>
      </x:c>
      <x:c r="B1393" s="19" t="s">
        <x:v>3063</x:v>
      </x:c>
      <x:c r="C1393" s="20">
        <x:v>69072100</x:v>
      </x:c>
      <x:c r="D1393" s="20">
        <x:v>0</x:v>
      </x:c>
      <x:c r="E1393" s="18" t="s">
        <x:v>227</x:v>
      </x:c>
      <x:c r="F1393" s="19" t="s">
        <x:v>11</x:v>
      </x:c>
      <x:c r="G1393" s="20">
        <x:v>0</x:v>
      </x:c>
      <x:c r="H1393" s="21"/>
      <x:c r="I1393" s="21"/>
      <x:c r="J1393" s="22">
        <x:v>0</x:v>
      </x:c>
      <x:c r="K1393" s="22">
        <x:v>0</x:v>
      </x:c>
      <x:c r="L1393" s="23">
        <x:v>0</x:v>
      </x:c>
    </x:row>
    <x:row r="1394">
      <x:c r="A1394" s="18" t="s">
        <x:v>3064</x:v>
      </x:c>
      <x:c r="B1394" s="19" t="s">
        <x:v>3065</x:v>
      </x:c>
      <x:c r="C1394" s="20">
        <x:v>69072100</x:v>
      </x:c>
      <x:c r="D1394" s="20">
        <x:v>0</x:v>
      </x:c>
      <x:c r="E1394" s="18" t="s">
        <x:v>227</x:v>
      </x:c>
      <x:c r="F1394" s="19" t="s">
        <x:v>11</x:v>
      </x:c>
      <x:c r="G1394" s="20">
        <x:v>0</x:v>
      </x:c>
      <x:c r="H1394" s="21"/>
      <x:c r="I1394" s="21"/>
      <x:c r="J1394" s="22">
        <x:v>0</x:v>
      </x:c>
      <x:c r="K1394" s="22">
        <x:v>0</x:v>
      </x:c>
      <x:c r="L1394" s="23">
        <x:v>0</x:v>
      </x:c>
    </x:row>
    <x:row r="1395">
      <x:c r="A1395" s="18" t="s">
        <x:v>3066</x:v>
      </x:c>
      <x:c r="B1395" s="19" t="s">
        <x:v>3067</x:v>
      </x:c>
      <x:c r="C1395" s="20">
        <x:v>69072100</x:v>
      </x:c>
      <x:c r="D1395" s="20">
        <x:v>0</x:v>
      </x:c>
      <x:c r="E1395" s="18" t="s">
        <x:v>227</x:v>
      </x:c>
      <x:c r="F1395" s="19" t="s">
        <x:v>11</x:v>
      </x:c>
      <x:c r="G1395" s="20">
        <x:v>720</x:v>
      </x:c>
      <x:c r="H1395" s="21"/>
      <x:c r="I1395" s="26" t="s">
        <x:v>3068</x:v>
      </x:c>
      <x:c r="J1395" s="22">
        <x:v>0</x:v>
      </x:c>
      <x:c r="K1395" s="22">
        <x:v>0</x:v>
      </x:c>
      <x:c r="L1395" s="23">
        <x:v>0</x:v>
      </x:c>
    </x:row>
    <x:row r="1396">
      <x:c r="A1396" s="18" t="s">
        <x:v>3069</x:v>
      </x:c>
      <x:c r="B1396" s="19" t="s">
        <x:v>3070</x:v>
      </x:c>
      <x:c r="C1396" s="20">
        <x:v>69072100</x:v>
      </x:c>
      <x:c r="D1396" s="20">
        <x:v>0</x:v>
      </x:c>
      <x:c r="E1396" s="18" t="s">
        <x:v>227</x:v>
      </x:c>
      <x:c r="F1396" s="19" t="s">
        <x:v>11</x:v>
      </x:c>
      <x:c r="G1396" s="20">
        <x:v>0</x:v>
      </x:c>
      <x:c r="H1396" s="21"/>
      <x:c r="I1396" s="21"/>
      <x:c r="J1396" s="22">
        <x:v>0</x:v>
      </x:c>
      <x:c r="K1396" s="22">
        <x:v>0</x:v>
      </x:c>
      <x:c r="L1396" s="23">
        <x:v>0</x:v>
      </x:c>
    </x:row>
    <x:row r="1397">
      <x:c r="A1397" s="18" t="s">
        <x:v>3071</x:v>
      </x:c>
      <x:c r="B1397" s="19" t="s">
        <x:v>3072</x:v>
      </x:c>
      <x:c r="C1397" s="20">
        <x:v>69072100</x:v>
      </x:c>
      <x:c r="D1397" s="20">
        <x:v>0</x:v>
      </x:c>
      <x:c r="E1397" s="18" t="s">
        <x:v>227</x:v>
      </x:c>
      <x:c r="F1397" s="19" t="s">
        <x:v>11</x:v>
      </x:c>
      <x:c r="G1397" s="20">
        <x:v>0</x:v>
      </x:c>
      <x:c r="H1397" s="21"/>
      <x:c r="I1397" s="21"/>
      <x:c r="J1397" s="22">
        <x:v>0</x:v>
      </x:c>
      <x:c r="K1397" s="22">
        <x:v>0</x:v>
      </x:c>
      <x:c r="L1397" s="23">
        <x:v>0</x:v>
      </x:c>
    </x:row>
    <x:row r="1398">
      <x:c r="A1398" s="18" t="s">
        <x:v>3073</x:v>
      </x:c>
      <x:c r="B1398" s="19" t="s">
        <x:v>3074</x:v>
      </x:c>
      <x:c r="C1398" s="20">
        <x:v>69072100</x:v>
      </x:c>
      <x:c r="D1398" s="20">
        <x:v>700</x:v>
      </x:c>
      <x:c r="E1398" s="18" t="s">
        <x:v>227</x:v>
      </x:c>
      <x:c r="F1398" s="19" t="s">
        <x:v>11</x:v>
      </x:c>
      <x:c r="G1398" s="20">
        <x:v>0</x:v>
      </x:c>
      <x:c r="H1398" s="21"/>
      <x:c r="I1398" s="21"/>
      <x:c r="J1398" s="23">
        <x:v>1</x:v>
      </x:c>
      <x:c r="K1398" s="23">
        <x:v>700</x:v>
      </x:c>
      <x:c r="L1398" s="23">
        <x:v>1</x:v>
      </x:c>
    </x:row>
    <x:row r="1399">
      <x:c r="A1399" s="18" t="s">
        <x:v>3075</x:v>
      </x:c>
      <x:c r="B1399" s="19" t="s">
        <x:v>3076</x:v>
      </x:c>
      <x:c r="C1399" s="20">
        <x:v>69072100</x:v>
      </x:c>
      <x:c r="D1399" s="20">
        <x:v>0</x:v>
      </x:c>
      <x:c r="E1399" s="18" t="s">
        <x:v>227</x:v>
      </x:c>
      <x:c r="F1399" s="19" t="s">
        <x:v>11</x:v>
      </x:c>
      <x:c r="G1399" s="20">
        <x:v>0</x:v>
      </x:c>
      <x:c r="H1399" s="21"/>
      <x:c r="I1399" s="21"/>
      <x:c r="J1399" s="22">
        <x:v>0</x:v>
      </x:c>
      <x:c r="K1399" s="22">
        <x:v>0</x:v>
      </x:c>
      <x:c r="L1399" s="23">
        <x:v>0</x:v>
      </x:c>
    </x:row>
    <x:row r="1400">
      <x:c r="A1400" s="18" t="s">
        <x:v>3077</x:v>
      </x:c>
      <x:c r="B1400" s="19" t="s">
        <x:v>3078</x:v>
      </x:c>
      <x:c r="C1400" s="20">
        <x:v>69072100</x:v>
      </x:c>
      <x:c r="D1400" s="20">
        <x:v>0</x:v>
      </x:c>
      <x:c r="E1400" s="18" t="s">
        <x:v>227</x:v>
      </x:c>
      <x:c r="F1400" s="19" t="s">
        <x:v>11</x:v>
      </x:c>
      <x:c r="G1400" s="20">
        <x:v>0</x:v>
      </x:c>
      <x:c r="H1400" s="21"/>
      <x:c r="I1400" s="21"/>
      <x:c r="J1400" s="22">
        <x:v>0</x:v>
      </x:c>
      <x:c r="K1400" s="22">
        <x:v>0</x:v>
      </x:c>
      <x:c r="L1400" s="23">
        <x:v>0</x:v>
      </x:c>
    </x:row>
    <x:row r="1401">
      <x:c r="A1401" s="18" t="s">
        <x:v>3079</x:v>
      </x:c>
      <x:c r="B1401" s="19" t="s">
        <x:v>3080</x:v>
      </x:c>
      <x:c r="C1401" s="20">
        <x:v>69072100</x:v>
      </x:c>
      <x:c r="D1401" s="20">
        <x:v>0</x:v>
      </x:c>
      <x:c r="E1401" s="18" t="s">
        <x:v>227</x:v>
      </x:c>
      <x:c r="F1401" s="19" t="s">
        <x:v>11</x:v>
      </x:c>
      <x:c r="G1401" s="20">
        <x:v>0</x:v>
      </x:c>
      <x:c r="H1401" s="21"/>
      <x:c r="I1401" s="21"/>
      <x:c r="J1401" s="22">
        <x:v>0</x:v>
      </x:c>
      <x:c r="K1401" s="22">
        <x:v>0</x:v>
      </x:c>
      <x:c r="L1401" s="23">
        <x:v>0</x:v>
      </x:c>
    </x:row>
    <x:row r="1402">
      <x:c r="A1402" s="18" t="s">
        <x:v>3081</x:v>
      </x:c>
      <x:c r="B1402" s="19" t="s">
        <x:v>3082</x:v>
      </x:c>
      <x:c r="C1402" s="20">
        <x:v>69072100</x:v>
      </x:c>
      <x:c r="D1402" s="20">
        <x:v>0</x:v>
      </x:c>
      <x:c r="E1402" s="18" t="s">
        <x:v>227</x:v>
      </x:c>
      <x:c r="F1402" s="19" t="s">
        <x:v>11</x:v>
      </x:c>
      <x:c r="G1402" s="20">
        <x:v>0</x:v>
      </x:c>
      <x:c r="H1402" s="21"/>
      <x:c r="I1402" s="21"/>
      <x:c r="J1402" s="22">
        <x:v>0</x:v>
      </x:c>
      <x:c r="K1402" s="22">
        <x:v>0</x:v>
      </x:c>
      <x:c r="L1402" s="23">
        <x:v>0</x:v>
      </x:c>
    </x:row>
    <x:row r="1403">
      <x:c r="A1403" s="18" t="s">
        <x:v>3083</x:v>
      </x:c>
      <x:c r="B1403" s="19" t="s">
        <x:v>3084</x:v>
      </x:c>
      <x:c r="C1403" s="20">
        <x:v>69072100</x:v>
      </x:c>
      <x:c r="D1403" s="20">
        <x:v>0</x:v>
      </x:c>
      <x:c r="E1403" s="18" t="s">
        <x:v>227</x:v>
      </x:c>
      <x:c r="F1403" s="19" t="s">
        <x:v>11</x:v>
      </x:c>
      <x:c r="G1403" s="20">
        <x:v>0</x:v>
      </x:c>
      <x:c r="H1403" s="21"/>
      <x:c r="I1403" s="21"/>
      <x:c r="J1403" s="22">
        <x:v>0</x:v>
      </x:c>
      <x:c r="K1403" s="22">
        <x:v>0</x:v>
      </x:c>
      <x:c r="L1403" s="23">
        <x:v>0</x:v>
      </x:c>
    </x:row>
    <x:row r="1404">
      <x:c r="A1404" s="18" t="s">
        <x:v>3085</x:v>
      </x:c>
      <x:c r="B1404" s="19" t="s">
        <x:v>3086</x:v>
      </x:c>
      <x:c r="C1404" s="20">
        <x:v>69072100</x:v>
      </x:c>
      <x:c r="D1404" s="20">
        <x:v>0</x:v>
      </x:c>
      <x:c r="E1404" s="18" t="s">
        <x:v>227</x:v>
      </x:c>
      <x:c r="F1404" s="19" t="s">
        <x:v>11</x:v>
      </x:c>
      <x:c r="G1404" s="20">
        <x:v>0</x:v>
      </x:c>
      <x:c r="H1404" s="21"/>
      <x:c r="I1404" s="21"/>
      <x:c r="J1404" s="22">
        <x:v>0</x:v>
      </x:c>
      <x:c r="K1404" s="22">
        <x:v>0</x:v>
      </x:c>
      <x:c r="L1404" s="23">
        <x:v>0</x:v>
      </x:c>
    </x:row>
    <x:row r="1405">
      <x:c r="A1405" s="18" t="s">
        <x:v>3087</x:v>
      </x:c>
      <x:c r="B1405" s="19" t="s">
        <x:v>3088</x:v>
      </x:c>
      <x:c r="C1405" s="20">
        <x:v>69072100</x:v>
      </x:c>
      <x:c r="D1405" s="20">
        <x:v>0</x:v>
      </x:c>
      <x:c r="E1405" s="18" t="s">
        <x:v>227</x:v>
      </x:c>
      <x:c r="F1405" s="19" t="s">
        <x:v>11</x:v>
      </x:c>
      <x:c r="G1405" s="20">
        <x:v>0</x:v>
      </x:c>
      <x:c r="H1405" s="21"/>
      <x:c r="I1405" s="21"/>
      <x:c r="J1405" s="22">
        <x:v>0</x:v>
      </x:c>
      <x:c r="K1405" s="22">
        <x:v>0</x:v>
      </x:c>
      <x:c r="L1405" s="23">
        <x:v>0</x:v>
      </x:c>
    </x:row>
    <x:row r="1406">
      <x:c r="A1406" s="18" t="s">
        <x:v>3089</x:v>
      </x:c>
      <x:c r="B1406" s="19" t="s">
        <x:v>3090</x:v>
      </x:c>
      <x:c r="C1406" s="20">
        <x:v>69072100</x:v>
      </x:c>
      <x:c r="D1406" s="20">
        <x:v>0</x:v>
      </x:c>
      <x:c r="E1406" s="18" t="s">
        <x:v>227</x:v>
      </x:c>
      <x:c r="F1406" s="19" t="s">
        <x:v>11</x:v>
      </x:c>
      <x:c r="G1406" s="20">
        <x:v>0</x:v>
      </x:c>
      <x:c r="H1406" s="21"/>
      <x:c r="I1406" s="21"/>
      <x:c r="J1406" s="22">
        <x:v>0</x:v>
      </x:c>
      <x:c r="K1406" s="22">
        <x:v>0</x:v>
      </x:c>
      <x:c r="L1406" s="23">
        <x:v>0</x:v>
      </x:c>
    </x:row>
    <x:row r="1407">
      <x:c r="A1407" s="18" t="s">
        <x:v>3091</x:v>
      </x:c>
      <x:c r="B1407" s="19" t="s">
        <x:v>3092</x:v>
      </x:c>
      <x:c r="C1407" s="20">
        <x:v>69072100</x:v>
      </x:c>
      <x:c r="D1407" s="20">
        <x:v>0</x:v>
      </x:c>
      <x:c r="E1407" s="18" t="s">
        <x:v>227</x:v>
      </x:c>
      <x:c r="F1407" s="19" t="s">
        <x:v>11</x:v>
      </x:c>
      <x:c r="G1407" s="20">
        <x:v>0</x:v>
      </x:c>
      <x:c r="H1407" s="21"/>
      <x:c r="I1407" s="21"/>
      <x:c r="J1407" s="22">
        <x:v>0</x:v>
      </x:c>
      <x:c r="K1407" s="22">
        <x:v>0</x:v>
      </x:c>
      <x:c r="L1407" s="23">
        <x:v>0</x:v>
      </x:c>
    </x:row>
    <x:row r="1408">
      <x:c r="A1408" s="18" t="s">
        <x:v>3093</x:v>
      </x:c>
      <x:c r="B1408" s="19" t="s">
        <x:v>3094</x:v>
      </x:c>
      <x:c r="C1408" s="20">
        <x:v>69072100</x:v>
      </x:c>
      <x:c r="D1408" s="20">
        <x:v>0</x:v>
      </x:c>
      <x:c r="E1408" s="18" t="s">
        <x:v>227</x:v>
      </x:c>
      <x:c r="F1408" s="19" t="s">
        <x:v>11</x:v>
      </x:c>
      <x:c r="G1408" s="20">
        <x:v>0</x:v>
      </x:c>
      <x:c r="H1408" s="21"/>
      <x:c r="I1408" s="21"/>
      <x:c r="J1408" s="22">
        <x:v>0</x:v>
      </x:c>
      <x:c r="K1408" s="22">
        <x:v>0</x:v>
      </x:c>
      <x:c r="L1408" s="23">
        <x:v>0</x:v>
      </x:c>
    </x:row>
    <x:row r="1409">
      <x:c r="A1409" s="18" t="s">
        <x:v>3095</x:v>
      </x:c>
      <x:c r="B1409" s="19" t="s">
        <x:v>3096</x:v>
      </x:c>
      <x:c r="C1409" s="20">
        <x:v>69072100</x:v>
      </x:c>
      <x:c r="D1409" s="20">
        <x:v>0</x:v>
      </x:c>
      <x:c r="E1409" s="18" t="s">
        <x:v>227</x:v>
      </x:c>
      <x:c r="F1409" s="19" t="s">
        <x:v>11</x:v>
      </x:c>
      <x:c r="G1409" s="20">
        <x:v>0</x:v>
      </x:c>
      <x:c r="H1409" s="21"/>
      <x:c r="I1409" s="21"/>
      <x:c r="J1409" s="22">
        <x:v>0</x:v>
      </x:c>
      <x:c r="K1409" s="22">
        <x:v>0</x:v>
      </x:c>
      <x:c r="L1409" s="23">
        <x:v>0</x:v>
      </x:c>
    </x:row>
    <x:row r="1410">
      <x:c r="A1410" s="18" t="s">
        <x:v>3097</x:v>
      </x:c>
      <x:c r="B1410" s="19" t="s">
        <x:v>3098</x:v>
      </x:c>
      <x:c r="C1410" s="20">
        <x:v>69072100</x:v>
      </x:c>
      <x:c r="D1410" s="20">
        <x:v>0</x:v>
      </x:c>
      <x:c r="E1410" s="18" t="s">
        <x:v>227</x:v>
      </x:c>
      <x:c r="F1410" s="19" t="s">
        <x:v>11</x:v>
      </x:c>
      <x:c r="G1410" s="20">
        <x:v>0</x:v>
      </x:c>
      <x:c r="H1410" s="21"/>
      <x:c r="I1410" s="21"/>
      <x:c r="J1410" s="22">
        <x:v>0</x:v>
      </x:c>
      <x:c r="K1410" s="22">
        <x:v>0</x:v>
      </x:c>
      <x:c r="L1410" s="23">
        <x:v>0</x:v>
      </x:c>
    </x:row>
    <x:row r="1411">
      <x:c r="A1411" s="18" t="s">
        <x:v>3099</x:v>
      </x:c>
      <x:c r="B1411" s="19" t="s">
        <x:v>3100</x:v>
      </x:c>
      <x:c r="C1411" s="20">
        <x:v>69072100</x:v>
      </x:c>
      <x:c r="D1411" s="20">
        <x:v>0</x:v>
      </x:c>
      <x:c r="E1411" s="18" t="s">
        <x:v>227</x:v>
      </x:c>
      <x:c r="F1411" s="19" t="s">
        <x:v>11</x:v>
      </x:c>
      <x:c r="G1411" s="20">
        <x:v>0</x:v>
      </x:c>
      <x:c r="H1411" s="21"/>
      <x:c r="I1411" s="21"/>
      <x:c r="J1411" s="22">
        <x:v>0</x:v>
      </x:c>
      <x:c r="K1411" s="22">
        <x:v>0</x:v>
      </x:c>
      <x:c r="L1411" s="23">
        <x:v>0</x:v>
      </x:c>
    </x:row>
    <x:row r="1412">
      <x:c r="A1412" s="18" t="s">
        <x:v>3101</x:v>
      </x:c>
      <x:c r="B1412" s="19" t="s">
        <x:v>3102</x:v>
      </x:c>
      <x:c r="C1412" s="20">
        <x:v>69072100</x:v>
      </x:c>
      <x:c r="D1412" s="20">
        <x:v>0</x:v>
      </x:c>
      <x:c r="E1412" s="18" t="s">
        <x:v>227</x:v>
      </x:c>
      <x:c r="F1412" s="19" t="s">
        <x:v>11</x:v>
      </x:c>
      <x:c r="G1412" s="20">
        <x:v>0</x:v>
      </x:c>
      <x:c r="H1412" s="21"/>
      <x:c r="I1412" s="21"/>
      <x:c r="J1412" s="22">
        <x:v>0</x:v>
      </x:c>
      <x:c r="K1412" s="22">
        <x:v>0</x:v>
      </x:c>
      <x:c r="L1412" s="23">
        <x:v>0</x:v>
      </x:c>
    </x:row>
    <x:row r="1413">
      <x:c r="A1413" s="18" t="s">
        <x:v>3103</x:v>
      </x:c>
      <x:c r="B1413" s="19" t="s">
        <x:v>3104</x:v>
      </x:c>
      <x:c r="C1413" s="20">
        <x:v>69072100</x:v>
      </x:c>
      <x:c r="D1413" s="20">
        <x:v>0</x:v>
      </x:c>
      <x:c r="E1413" s="18" t="s">
        <x:v>227</x:v>
      </x:c>
      <x:c r="F1413" s="19" t="s">
        <x:v>11</x:v>
      </x:c>
      <x:c r="G1413" s="20">
        <x:v>0</x:v>
      </x:c>
      <x:c r="H1413" s="21"/>
      <x:c r="I1413" s="21"/>
      <x:c r="J1413" s="22">
        <x:v>0</x:v>
      </x:c>
      <x:c r="K1413" s="22">
        <x:v>0</x:v>
      </x:c>
      <x:c r="L1413" s="23">
        <x:v>0</x:v>
      </x:c>
    </x:row>
    <x:row r="1414">
      <x:c r="A1414" s="18" t="s">
        <x:v>3105</x:v>
      </x:c>
      <x:c r="B1414" s="19" t="s">
        <x:v>3106</x:v>
      </x:c>
      <x:c r="C1414" s="20">
        <x:v>69072100</x:v>
      </x:c>
      <x:c r="D1414" s="20">
        <x:v>0</x:v>
      </x:c>
      <x:c r="E1414" s="18" t="s">
        <x:v>227</x:v>
      </x:c>
      <x:c r="F1414" s="19" t="s">
        <x:v>11</x:v>
      </x:c>
      <x:c r="G1414" s="20">
        <x:v>0</x:v>
      </x:c>
      <x:c r="H1414" s="21"/>
      <x:c r="I1414" s="21"/>
      <x:c r="J1414" s="22">
        <x:v>0</x:v>
      </x:c>
      <x:c r="K1414" s="22">
        <x:v>0</x:v>
      </x:c>
      <x:c r="L1414" s="23">
        <x:v>0</x:v>
      </x:c>
    </x:row>
    <x:row r="1415">
      <x:c r="A1415" s="18" t="s">
        <x:v>3107</x:v>
      </x:c>
      <x:c r="B1415" s="19" t="s">
        <x:v>3108</x:v>
      </x:c>
      <x:c r="C1415" s="20">
        <x:v>69072100</x:v>
      </x:c>
      <x:c r="D1415" s="20">
        <x:v>0</x:v>
      </x:c>
      <x:c r="E1415" s="18" t="s">
        <x:v>227</x:v>
      </x:c>
      <x:c r="F1415" s="19" t="s">
        <x:v>11</x:v>
      </x:c>
      <x:c r="G1415" s="20">
        <x:v>0</x:v>
      </x:c>
      <x:c r="H1415" s="21"/>
      <x:c r="I1415" s="21"/>
      <x:c r="J1415" s="22">
        <x:v>0</x:v>
      </x:c>
      <x:c r="K1415" s="22">
        <x:v>0</x:v>
      </x:c>
      <x:c r="L1415" s="23">
        <x:v>0</x:v>
      </x:c>
    </x:row>
    <x:row r="1416">
      <x:c r="A1416" s="18" t="s">
        <x:v>3109</x:v>
      </x:c>
      <x:c r="B1416" s="19" t="s">
        <x:v>3110</x:v>
      </x:c>
      <x:c r="C1416" s="20">
        <x:v>69072100</x:v>
      </x:c>
      <x:c r="D1416" s="20">
        <x:v>0</x:v>
      </x:c>
      <x:c r="E1416" s="18" t="s">
        <x:v>227</x:v>
      </x:c>
      <x:c r="F1416" s="19" t="s">
        <x:v>11</x:v>
      </x:c>
      <x:c r="G1416" s="20">
        <x:v>0</x:v>
      </x:c>
      <x:c r="H1416" s="21"/>
      <x:c r="I1416" s="21"/>
      <x:c r="J1416" s="22">
        <x:v>0</x:v>
      </x:c>
      <x:c r="K1416" s="22">
        <x:v>0</x:v>
      </x:c>
      <x:c r="L1416" s="23">
        <x:v>0</x:v>
      </x:c>
    </x:row>
    <x:row r="1417">
      <x:c r="A1417" s="18" t="s">
        <x:v>3111</x:v>
      </x:c>
      <x:c r="B1417" s="19" t="s">
        <x:v>3112</x:v>
      </x:c>
      <x:c r="C1417" s="20">
        <x:v>69072100</x:v>
      </x:c>
      <x:c r="D1417" s="20">
        <x:v>0</x:v>
      </x:c>
      <x:c r="E1417" s="18" t="s">
        <x:v>227</x:v>
      </x:c>
      <x:c r="F1417" s="19" t="s">
        <x:v>11</x:v>
      </x:c>
      <x:c r="G1417" s="20">
        <x:v>0</x:v>
      </x:c>
      <x:c r="H1417" s="21"/>
      <x:c r="I1417" s="21"/>
      <x:c r="J1417" s="22">
        <x:v>0</x:v>
      </x:c>
      <x:c r="K1417" s="22">
        <x:v>0</x:v>
      </x:c>
      <x:c r="L1417" s="23">
        <x:v>0</x:v>
      </x:c>
    </x:row>
    <x:row r="1418">
      <x:c r="A1418" s="18" t="s">
        <x:v>3113</x:v>
      </x:c>
      <x:c r="B1418" s="19" t="s">
        <x:v>3114</x:v>
      </x:c>
      <x:c r="C1418" s="20">
        <x:v>69072100</x:v>
      </x:c>
      <x:c r="D1418" s="20">
        <x:v>0</x:v>
      </x:c>
      <x:c r="E1418" s="18" t="s">
        <x:v>227</x:v>
      </x:c>
      <x:c r="F1418" s="19" t="s">
        <x:v>11</x:v>
      </x:c>
      <x:c r="G1418" s="20">
        <x:v>0</x:v>
      </x:c>
      <x:c r="H1418" s="21"/>
      <x:c r="I1418" s="21"/>
      <x:c r="J1418" s="22">
        <x:v>0</x:v>
      </x:c>
      <x:c r="K1418" s="22">
        <x:v>0</x:v>
      </x:c>
      <x:c r="L1418" s="23">
        <x:v>0</x:v>
      </x:c>
    </x:row>
    <x:row r="1419">
      <x:c r="A1419" s="18" t="s">
        <x:v>3115</x:v>
      </x:c>
      <x:c r="B1419" s="19" t="s">
        <x:v>3116</x:v>
      </x:c>
      <x:c r="C1419" s="20">
        <x:v>69072100</x:v>
      </x:c>
      <x:c r="D1419" s="20">
        <x:v>0</x:v>
      </x:c>
      <x:c r="E1419" s="18" t="s">
        <x:v>227</x:v>
      </x:c>
      <x:c r="F1419" s="19" t="s">
        <x:v>11</x:v>
      </x:c>
      <x:c r="G1419" s="20">
        <x:v>0</x:v>
      </x:c>
      <x:c r="H1419" s="21"/>
      <x:c r="I1419" s="21"/>
      <x:c r="J1419" s="22">
        <x:v>0</x:v>
      </x:c>
      <x:c r="K1419" s="22">
        <x:v>0</x:v>
      </x:c>
      <x:c r="L1419" s="23">
        <x:v>0</x:v>
      </x:c>
    </x:row>
    <x:row r="1420">
      <x:c r="A1420" s="18" t="s">
        <x:v>3117</x:v>
      </x:c>
      <x:c r="B1420" s="19" t="s">
        <x:v>3118</x:v>
      </x:c>
      <x:c r="C1420" s="20">
        <x:v>69072100</x:v>
      </x:c>
      <x:c r="D1420" s="20">
        <x:v>0</x:v>
      </x:c>
      <x:c r="E1420" s="18" t="s">
        <x:v>227</x:v>
      </x:c>
      <x:c r="F1420" s="19" t="s">
        <x:v>11</x:v>
      </x:c>
      <x:c r="G1420" s="20">
        <x:v>2500</x:v>
      </x:c>
      <x:c r="H1420" s="21"/>
      <x:c r="I1420" s="26" t="s">
        <x:v>3119</x:v>
      </x:c>
      <x:c r="J1420" s="22">
        <x:v>0</x:v>
      </x:c>
      <x:c r="K1420" s="22">
        <x:v>0</x:v>
      </x:c>
      <x:c r="L1420" s="23">
        <x:v>0</x:v>
      </x:c>
    </x:row>
    <x:row r="1421">
      <x:c r="A1421" s="18" t="s">
        <x:v>3120</x:v>
      </x:c>
      <x:c r="B1421" s="19" t="s">
        <x:v>3121</x:v>
      </x:c>
      <x:c r="C1421" s="20">
        <x:v>69072100</x:v>
      </x:c>
      <x:c r="D1421" s="20">
        <x:v>0</x:v>
      </x:c>
      <x:c r="E1421" s="18" t="s">
        <x:v>227</x:v>
      </x:c>
      <x:c r="F1421" s="19" t="s">
        <x:v>11</x:v>
      </x:c>
      <x:c r="G1421" s="20">
        <x:v>5580</x:v>
      </x:c>
      <x:c r="H1421" s="21"/>
      <x:c r="I1421" s="26" t="s">
        <x:v>3122</x:v>
      </x:c>
      <x:c r="J1421" s="22">
        <x:v>0</x:v>
      </x:c>
      <x:c r="K1421" s="22">
        <x:v>0</x:v>
      </x:c>
      <x:c r="L1421" s="23">
        <x:v>0</x:v>
      </x:c>
    </x:row>
    <x:row r="1422">
      <x:c r="A1422" s="18" t="s">
        <x:v>3123</x:v>
      </x:c>
      <x:c r="B1422" s="19" t="s">
        <x:v>3124</x:v>
      </x:c>
      <x:c r="C1422" s="20">
        <x:v>69072100</x:v>
      </x:c>
      <x:c r="D1422" s="20">
        <x:v>0</x:v>
      </x:c>
      <x:c r="E1422" s="18" t="s">
        <x:v>227</x:v>
      </x:c>
      <x:c r="F1422" s="19" t="s">
        <x:v>11</x:v>
      </x:c>
      <x:c r="G1422" s="20">
        <x:v>0</x:v>
      </x:c>
      <x:c r="H1422" s="21"/>
      <x:c r="I1422" s="21"/>
      <x:c r="J1422" s="22">
        <x:v>0</x:v>
      </x:c>
      <x:c r="K1422" s="22">
        <x:v>0</x:v>
      </x:c>
      <x:c r="L1422" s="23">
        <x:v>0</x:v>
      </x:c>
    </x:row>
    <x:row r="1423">
      <x:c r="A1423" s="18" t="s">
        <x:v>3125</x:v>
      </x:c>
      <x:c r="B1423" s="19" t="s">
        <x:v>3126</x:v>
      </x:c>
      <x:c r="C1423" s="20">
        <x:v>69072100</x:v>
      </x:c>
      <x:c r="D1423" s="20">
        <x:v>0</x:v>
      </x:c>
      <x:c r="E1423" s="18" t="s">
        <x:v>227</x:v>
      </x:c>
      <x:c r="F1423" s="19" t="s">
        <x:v>11</x:v>
      </x:c>
      <x:c r="G1423" s="20">
        <x:v>0</x:v>
      </x:c>
      <x:c r="H1423" s="21"/>
      <x:c r="I1423" s="21"/>
      <x:c r="J1423" s="22">
        <x:v>0</x:v>
      </x:c>
      <x:c r="K1423" s="22">
        <x:v>0</x:v>
      </x:c>
      <x:c r="L1423" s="23">
        <x:v>0</x:v>
      </x:c>
    </x:row>
    <x:row r="1424">
      <x:c r="A1424" s="18" t="s">
        <x:v>3127</x:v>
      </x:c>
      <x:c r="B1424" s="19" t="s">
        <x:v>3128</x:v>
      </x:c>
      <x:c r="C1424" s="20">
        <x:v>69072100</x:v>
      </x:c>
      <x:c r="D1424" s="20">
        <x:v>0</x:v>
      </x:c>
      <x:c r="E1424" s="18" t="s">
        <x:v>227</x:v>
      </x:c>
      <x:c r="F1424" s="19" t="s">
        <x:v>11</x:v>
      </x:c>
      <x:c r="G1424" s="20">
        <x:v>0</x:v>
      </x:c>
      <x:c r="H1424" s="21"/>
      <x:c r="I1424" s="21"/>
      <x:c r="J1424" s="22">
        <x:v>0</x:v>
      </x:c>
      <x:c r="K1424" s="22">
        <x:v>0</x:v>
      </x:c>
      <x:c r="L1424" s="23">
        <x:v>0</x:v>
      </x:c>
    </x:row>
    <x:row r="1425">
      <x:c r="A1425" s="18" t="s">
        <x:v>3129</x:v>
      </x:c>
      <x:c r="B1425" s="19" t="s">
        <x:v>3130</x:v>
      </x:c>
      <x:c r="C1425" s="20">
        <x:v>69072100</x:v>
      </x:c>
      <x:c r="D1425" s="20">
        <x:v>0</x:v>
      </x:c>
      <x:c r="E1425" s="18" t="s">
        <x:v>227</x:v>
      </x:c>
      <x:c r="F1425" s="19" t="s">
        <x:v>11</x:v>
      </x:c>
      <x:c r="G1425" s="20">
        <x:v>0</x:v>
      </x:c>
      <x:c r="H1425" s="21"/>
      <x:c r="I1425" s="21"/>
      <x:c r="J1425" s="22">
        <x:v>0</x:v>
      </x:c>
      <x:c r="K1425" s="22">
        <x:v>0</x:v>
      </x:c>
      <x:c r="L1425" s="23">
        <x:v>0</x:v>
      </x:c>
    </x:row>
    <x:row r="1426">
      <x:c r="A1426" s="18" t="s">
        <x:v>3131</x:v>
      </x:c>
      <x:c r="B1426" s="19" t="s">
        <x:v>3132</x:v>
      </x:c>
      <x:c r="C1426" s="20">
        <x:v>69072100</x:v>
      </x:c>
      <x:c r="D1426" s="20">
        <x:v>0</x:v>
      </x:c>
      <x:c r="E1426" s="18" t="s">
        <x:v>227</x:v>
      </x:c>
      <x:c r="F1426" s="19" t="s">
        <x:v>11</x:v>
      </x:c>
      <x:c r="G1426" s="20">
        <x:v>4597.5</x:v>
      </x:c>
      <x:c r="H1426" s="21"/>
      <x:c r="I1426" s="26" t="s">
        <x:v>3133</x:v>
      </x:c>
      <x:c r="J1426" s="22">
        <x:v>0</x:v>
      </x:c>
      <x:c r="K1426" s="22">
        <x:v>0</x:v>
      </x:c>
      <x:c r="L1426" s="23">
        <x:v>0</x:v>
      </x:c>
    </x:row>
    <x:row r="1427">
      <x:c r="A1427" s="18" t="s">
        <x:v>3134</x:v>
      </x:c>
      <x:c r="B1427" s="19" t="s">
        <x:v>3135</x:v>
      </x:c>
      <x:c r="C1427" s="20">
        <x:v>69072100</x:v>
      </x:c>
      <x:c r="D1427" s="20">
        <x:v>0</x:v>
      </x:c>
      <x:c r="E1427" s="18" t="s">
        <x:v>227</x:v>
      </x:c>
      <x:c r="F1427" s="19" t="s">
        <x:v>11</x:v>
      </x:c>
      <x:c r="G1427" s="20">
        <x:v>0</x:v>
      </x:c>
      <x:c r="H1427" s="21"/>
      <x:c r="I1427" s="21"/>
      <x:c r="J1427" s="22">
        <x:v>0</x:v>
      </x:c>
      <x:c r="K1427" s="22">
        <x:v>0</x:v>
      </x:c>
      <x:c r="L1427" s="23">
        <x:v>0</x:v>
      </x:c>
    </x:row>
    <x:row r="1428">
      <x:c r="A1428" s="18" t="s">
        <x:v>3136</x:v>
      </x:c>
      <x:c r="B1428" s="19" t="s">
        <x:v>3137</x:v>
      </x:c>
      <x:c r="C1428" s="20">
        <x:v>69072100</x:v>
      </x:c>
      <x:c r="D1428" s="20">
        <x:v>0</x:v>
      </x:c>
      <x:c r="E1428" s="18" t="s">
        <x:v>227</x:v>
      </x:c>
      <x:c r="F1428" s="19" t="s">
        <x:v>11</x:v>
      </x:c>
      <x:c r="G1428" s="20">
        <x:v>0</x:v>
      </x:c>
      <x:c r="H1428" s="21"/>
      <x:c r="I1428" s="21"/>
      <x:c r="J1428" s="22">
        <x:v>0</x:v>
      </x:c>
      <x:c r="K1428" s="22">
        <x:v>0</x:v>
      </x:c>
      <x:c r="L1428" s="23">
        <x:v>0</x:v>
      </x:c>
    </x:row>
    <x:row r="1429">
      <x:c r="A1429" s="18" t="s">
        <x:v>3138</x:v>
      </x:c>
      <x:c r="B1429" s="19" t="s">
        <x:v>3139</x:v>
      </x:c>
      <x:c r="C1429" s="20">
        <x:v>69072100</x:v>
      </x:c>
      <x:c r="D1429" s="20">
        <x:v>0</x:v>
      </x:c>
      <x:c r="E1429" s="18" t="s">
        <x:v>227</x:v>
      </x:c>
      <x:c r="F1429" s="19" t="s">
        <x:v>11</x:v>
      </x:c>
      <x:c r="G1429" s="20">
        <x:v>0</x:v>
      </x:c>
      <x:c r="H1429" s="21"/>
      <x:c r="I1429" s="21"/>
      <x:c r="J1429" s="22">
        <x:v>0</x:v>
      </x:c>
      <x:c r="K1429" s="22">
        <x:v>0</x:v>
      </x:c>
      <x:c r="L1429" s="23">
        <x:v>0</x:v>
      </x:c>
    </x:row>
    <x:row r="1430">
      <x:c r="A1430" s="18" t="s">
        <x:v>3140</x:v>
      </x:c>
      <x:c r="B1430" s="19" t="s">
        <x:v>3141</x:v>
      </x:c>
      <x:c r="C1430" s="20">
        <x:v>69072100</x:v>
      </x:c>
      <x:c r="D1430" s="20">
        <x:v>0</x:v>
      </x:c>
      <x:c r="E1430" s="18" t="s">
        <x:v>227</x:v>
      </x:c>
      <x:c r="F1430" s="19" t="s">
        <x:v>11</x:v>
      </x:c>
      <x:c r="G1430" s="20">
        <x:v>0</x:v>
      </x:c>
      <x:c r="H1430" s="21"/>
      <x:c r="I1430" s="21"/>
      <x:c r="J1430" s="22">
        <x:v>0</x:v>
      </x:c>
      <x:c r="K1430" s="22">
        <x:v>0</x:v>
      </x:c>
      <x:c r="L1430" s="23">
        <x:v>0</x:v>
      </x:c>
    </x:row>
    <x:row r="1431">
      <x:c r="A1431" s="18" t="s">
        <x:v>3142</x:v>
      </x:c>
      <x:c r="B1431" s="19" t="s">
        <x:v>3143</x:v>
      </x:c>
      <x:c r="C1431" s="20">
        <x:v>69072100</x:v>
      </x:c>
      <x:c r="D1431" s="20">
        <x:v>0</x:v>
      </x:c>
      <x:c r="E1431" s="18" t="s">
        <x:v>227</x:v>
      </x:c>
      <x:c r="F1431" s="19" t="s">
        <x:v>11</x:v>
      </x:c>
      <x:c r="G1431" s="20">
        <x:v>0</x:v>
      </x:c>
      <x:c r="H1431" s="21"/>
      <x:c r="I1431" s="21"/>
      <x:c r="J1431" s="22">
        <x:v>0</x:v>
      </x:c>
      <x:c r="K1431" s="22">
        <x:v>0</x:v>
      </x:c>
      <x:c r="L1431" s="23">
        <x:v>0</x:v>
      </x:c>
    </x:row>
    <x:row r="1432">
      <x:c r="A1432" s="18" t="s">
        <x:v>3144</x:v>
      </x:c>
      <x:c r="B1432" s="19" t="s">
        <x:v>3145</x:v>
      </x:c>
      <x:c r="C1432" s="20">
        <x:v>69072100</x:v>
      </x:c>
      <x:c r="D1432" s="20">
        <x:v>0</x:v>
      </x:c>
      <x:c r="E1432" s="18" t="s">
        <x:v>227</x:v>
      </x:c>
      <x:c r="F1432" s="19" t="s">
        <x:v>11</x:v>
      </x:c>
      <x:c r="G1432" s="20">
        <x:v>0</x:v>
      </x:c>
      <x:c r="H1432" s="21"/>
      <x:c r="I1432" s="21"/>
      <x:c r="J1432" s="22">
        <x:v>0</x:v>
      </x:c>
      <x:c r="K1432" s="22">
        <x:v>0</x:v>
      </x:c>
      <x:c r="L1432" s="23">
        <x:v>0</x:v>
      </x:c>
    </x:row>
    <x:row r="1433">
      <x:c r="A1433" s="18" t="s">
        <x:v>3146</x:v>
      </x:c>
      <x:c r="B1433" s="19" t="s">
        <x:v>3147</x:v>
      </x:c>
      <x:c r="C1433" s="20">
        <x:v>69072100</x:v>
      </x:c>
      <x:c r="D1433" s="20">
        <x:v>0</x:v>
      </x:c>
      <x:c r="E1433" s="18" t="s">
        <x:v>227</x:v>
      </x:c>
      <x:c r="F1433" s="19" t="s">
        <x:v>11</x:v>
      </x:c>
      <x:c r="G1433" s="20">
        <x:v>0</x:v>
      </x:c>
      <x:c r="H1433" s="21"/>
      <x:c r="I1433" s="21"/>
      <x:c r="J1433" s="22">
        <x:v>0</x:v>
      </x:c>
      <x:c r="K1433" s="22">
        <x:v>0</x:v>
      </x:c>
      <x:c r="L1433" s="23">
        <x:v>0</x:v>
      </x:c>
    </x:row>
    <x:row r="1434">
      <x:c r="A1434" s="18" t="s">
        <x:v>3148</x:v>
      </x:c>
      <x:c r="B1434" s="19" t="s">
        <x:v>3149</x:v>
      </x:c>
      <x:c r="C1434" s="20">
        <x:v>69072100</x:v>
      </x:c>
      <x:c r="D1434" s="20">
        <x:v>0</x:v>
      </x:c>
      <x:c r="E1434" s="18" t="s">
        <x:v>227</x:v>
      </x:c>
      <x:c r="F1434" s="19" t="s">
        <x:v>11</x:v>
      </x:c>
      <x:c r="G1434" s="20">
        <x:v>0</x:v>
      </x:c>
      <x:c r="H1434" s="21"/>
      <x:c r="I1434" s="21"/>
      <x:c r="J1434" s="22">
        <x:v>0</x:v>
      </x:c>
      <x:c r="K1434" s="22">
        <x:v>0</x:v>
      </x:c>
      <x:c r="L1434" s="23">
        <x:v>0</x:v>
      </x:c>
    </x:row>
    <x:row r="1435">
      <x:c r="A1435" s="18" t="s">
        <x:v>3150</x:v>
      </x:c>
      <x:c r="B1435" s="19" t="s">
        <x:v>3151</x:v>
      </x:c>
      <x:c r="C1435" s="20">
        <x:v>69072100</x:v>
      </x:c>
      <x:c r="D1435" s="20">
        <x:v>0</x:v>
      </x:c>
      <x:c r="E1435" s="18" t="s">
        <x:v>227</x:v>
      </x:c>
      <x:c r="F1435" s="19" t="s">
        <x:v>11</x:v>
      </x:c>
      <x:c r="G1435" s="20">
        <x:v>0</x:v>
      </x:c>
      <x:c r="H1435" s="21"/>
      <x:c r="I1435" s="21"/>
      <x:c r="J1435" s="22">
        <x:v>0</x:v>
      </x:c>
      <x:c r="K1435" s="22">
        <x:v>0</x:v>
      </x:c>
      <x:c r="L1435" s="23">
        <x:v>0</x:v>
      </x:c>
    </x:row>
    <x:row r="1436">
      <x:c r="A1436" s="18" t="s">
        <x:v>3152</x:v>
      </x:c>
      <x:c r="B1436" s="19" t="s">
        <x:v>3153</x:v>
      </x:c>
      <x:c r="C1436" s="20">
        <x:v>69072100</x:v>
      </x:c>
      <x:c r="D1436" s="20">
        <x:v>0</x:v>
      </x:c>
      <x:c r="E1436" s="18" t="s">
        <x:v>227</x:v>
      </x:c>
      <x:c r="F1436" s="19" t="s">
        <x:v>11</x:v>
      </x:c>
      <x:c r="G1436" s="20">
        <x:v>0</x:v>
      </x:c>
      <x:c r="H1436" s="21"/>
      <x:c r="I1436" s="21"/>
      <x:c r="J1436" s="22">
        <x:v>0</x:v>
      </x:c>
      <x:c r="K1436" s="22">
        <x:v>0</x:v>
      </x:c>
      <x:c r="L1436" s="23">
        <x:v>0</x:v>
      </x:c>
    </x:row>
    <x:row r="1437">
      <x:c r="A1437" s="18" t="s">
        <x:v>3154</x:v>
      </x:c>
      <x:c r="B1437" s="19" t="s">
        <x:v>3155</x:v>
      </x:c>
      <x:c r="C1437" s="20">
        <x:v>69072100</x:v>
      </x:c>
      <x:c r="D1437" s="20">
        <x:v>0</x:v>
      </x:c>
      <x:c r="E1437" s="18" t="s">
        <x:v>227</x:v>
      </x:c>
      <x:c r="F1437" s="19" t="s">
        <x:v>11</x:v>
      </x:c>
      <x:c r="G1437" s="20">
        <x:v>0</x:v>
      </x:c>
      <x:c r="H1437" s="21"/>
      <x:c r="I1437" s="21"/>
      <x:c r="J1437" s="22">
        <x:v>0</x:v>
      </x:c>
      <x:c r="K1437" s="22">
        <x:v>0</x:v>
      </x:c>
      <x:c r="L1437" s="23">
        <x:v>0</x:v>
      </x:c>
    </x:row>
    <x:row r="1438">
      <x:c r="A1438" s="18" t="s">
        <x:v>3156</x:v>
      </x:c>
      <x:c r="B1438" s="19" t="s">
        <x:v>3157</x:v>
      </x:c>
      <x:c r="C1438" s="20">
        <x:v>69072100</x:v>
      </x:c>
      <x:c r="D1438" s="20">
        <x:v>0</x:v>
      </x:c>
      <x:c r="E1438" s="18" t="s">
        <x:v>227</x:v>
      </x:c>
      <x:c r="F1438" s="19" t="s">
        <x:v>11</x:v>
      </x:c>
      <x:c r="G1438" s="20">
        <x:v>0</x:v>
      </x:c>
      <x:c r="H1438" s="21"/>
      <x:c r="I1438" s="21"/>
      <x:c r="J1438" s="22">
        <x:v>0</x:v>
      </x:c>
      <x:c r="K1438" s="22">
        <x:v>0</x:v>
      </x:c>
      <x:c r="L1438" s="23">
        <x:v>0</x:v>
      </x:c>
    </x:row>
    <x:row r="1439">
      <x:c r="A1439" s="18" t="s">
        <x:v>3158</x:v>
      </x:c>
      <x:c r="B1439" s="19" t="s">
        <x:v>3159</x:v>
      </x:c>
      <x:c r="C1439" s="20">
        <x:v>69072100</x:v>
      </x:c>
      <x:c r="D1439" s="20">
        <x:v>0</x:v>
      </x:c>
      <x:c r="E1439" s="18" t="s">
        <x:v>227</x:v>
      </x:c>
      <x:c r="F1439" s="19" t="s">
        <x:v>11</x:v>
      </x:c>
      <x:c r="G1439" s="20">
        <x:v>0</x:v>
      </x:c>
      <x:c r="H1439" s="21"/>
      <x:c r="I1439" s="21"/>
      <x:c r="J1439" s="22">
        <x:v>0</x:v>
      </x:c>
      <x:c r="K1439" s="22">
        <x:v>0</x:v>
      </x:c>
      <x:c r="L1439" s="23">
        <x:v>0</x:v>
      </x:c>
    </x:row>
    <x:row r="1440">
      <x:c r="A1440" s="18" t="s">
        <x:v>3160</x:v>
      </x:c>
      <x:c r="B1440" s="19" t="s">
        <x:v>3161</x:v>
      </x:c>
      <x:c r="C1440" s="20">
        <x:v>69072100</x:v>
      </x:c>
      <x:c r="D1440" s="20">
        <x:v>0</x:v>
      </x:c>
      <x:c r="E1440" s="18" t="s">
        <x:v>227</x:v>
      </x:c>
      <x:c r="F1440" s="19" t="s">
        <x:v>11</x:v>
      </x:c>
      <x:c r="G1440" s="20">
        <x:v>0</x:v>
      </x:c>
      <x:c r="H1440" s="21"/>
      <x:c r="I1440" s="21"/>
      <x:c r="J1440" s="22">
        <x:v>0</x:v>
      </x:c>
      <x:c r="K1440" s="22">
        <x:v>0</x:v>
      </x:c>
      <x:c r="L1440" s="23">
        <x:v>0</x:v>
      </x:c>
    </x:row>
    <x:row r="1441">
      <x:c r="A1441" s="18" t="s">
        <x:v>3162</x:v>
      </x:c>
      <x:c r="B1441" s="19" t="s">
        <x:v>3163</x:v>
      </x:c>
      <x:c r="C1441" s="20">
        <x:v>69072100</x:v>
      </x:c>
      <x:c r="D1441" s="20">
        <x:v>0</x:v>
      </x:c>
      <x:c r="E1441" s="18" t="s">
        <x:v>227</x:v>
      </x:c>
      <x:c r="F1441" s="19" t="s">
        <x:v>11</x:v>
      </x:c>
      <x:c r="G1441" s="20">
        <x:v>0</x:v>
      </x:c>
      <x:c r="H1441" s="21"/>
      <x:c r="I1441" s="21"/>
      <x:c r="J1441" s="22">
        <x:v>0</x:v>
      </x:c>
      <x:c r="K1441" s="22">
        <x:v>0</x:v>
      </x:c>
      <x:c r="L1441" s="23">
        <x:v>0</x:v>
      </x:c>
    </x:row>
    <x:row r="1442">
      <x:c r="A1442" s="18" t="s">
        <x:v>3164</x:v>
      </x:c>
      <x:c r="B1442" s="19" t="s">
        <x:v>3165</x:v>
      </x:c>
      <x:c r="C1442" s="20">
        <x:v>69072100</x:v>
      </x:c>
      <x:c r="D1442" s="20">
        <x:v>0</x:v>
      </x:c>
      <x:c r="E1442" s="18" t="s">
        <x:v>227</x:v>
      </x:c>
      <x:c r="F1442" s="19" t="s">
        <x:v>11</x:v>
      </x:c>
      <x:c r="G1442" s="20">
        <x:v>0</x:v>
      </x:c>
      <x:c r="H1442" s="21"/>
      <x:c r="I1442" s="21"/>
      <x:c r="J1442" s="22">
        <x:v>0</x:v>
      </x:c>
      <x:c r="K1442" s="22">
        <x:v>0</x:v>
      </x:c>
      <x:c r="L1442" s="23">
        <x:v>0</x:v>
      </x:c>
    </x:row>
    <x:row r="1443">
      <x:c r="A1443" s="18" t="s">
        <x:v>3166</x:v>
      </x:c>
      <x:c r="B1443" s="19" t="s">
        <x:v>3167</x:v>
      </x:c>
      <x:c r="C1443" s="20">
        <x:v>69072100</x:v>
      </x:c>
      <x:c r="D1443" s="20">
        <x:v>0</x:v>
      </x:c>
      <x:c r="E1443" s="18" t="s">
        <x:v>227</x:v>
      </x:c>
      <x:c r="F1443" s="19" t="s">
        <x:v>11</x:v>
      </x:c>
      <x:c r="G1443" s="20">
        <x:v>0</x:v>
      </x:c>
      <x:c r="H1443" s="21"/>
      <x:c r="I1443" s="21"/>
      <x:c r="J1443" s="22">
        <x:v>0</x:v>
      </x:c>
      <x:c r="K1443" s="22">
        <x:v>0</x:v>
      </x:c>
      <x:c r="L1443" s="23">
        <x:v>0</x:v>
      </x:c>
    </x:row>
    <x:row r="1444">
      <x:c r="A1444" s="18" t="s">
        <x:v>3168</x:v>
      </x:c>
      <x:c r="B1444" s="19" t="s">
        <x:v>3169</x:v>
      </x:c>
      <x:c r="C1444" s="20">
        <x:v>69072100</x:v>
      </x:c>
      <x:c r="D1444" s="20">
        <x:v>0</x:v>
      </x:c>
      <x:c r="E1444" s="18" t="s">
        <x:v>227</x:v>
      </x:c>
      <x:c r="F1444" s="19" t="s">
        <x:v>11</x:v>
      </x:c>
      <x:c r="G1444" s="20">
        <x:v>0</x:v>
      </x:c>
      <x:c r="H1444" s="21"/>
      <x:c r="I1444" s="21"/>
      <x:c r="J1444" s="22">
        <x:v>0</x:v>
      </x:c>
      <x:c r="K1444" s="22">
        <x:v>0</x:v>
      </x:c>
      <x:c r="L1444" s="23">
        <x:v>0</x:v>
      </x:c>
    </x:row>
    <x:row r="1445">
      <x:c r="A1445" s="18" t="s">
        <x:v>3170</x:v>
      </x:c>
      <x:c r="B1445" s="19" t="s">
        <x:v>3171</x:v>
      </x:c>
      <x:c r="C1445" s="20">
        <x:v>69072100</x:v>
      </x:c>
      <x:c r="D1445" s="20">
        <x:v>0</x:v>
      </x:c>
      <x:c r="E1445" s="18" t="s">
        <x:v>227</x:v>
      </x:c>
      <x:c r="F1445" s="19" t="s">
        <x:v>11</x:v>
      </x:c>
      <x:c r="G1445" s="20">
        <x:v>0</x:v>
      </x:c>
      <x:c r="H1445" s="21"/>
      <x:c r="I1445" s="21"/>
      <x:c r="J1445" s="22">
        <x:v>0</x:v>
      </x:c>
      <x:c r="K1445" s="22">
        <x:v>0</x:v>
      </x:c>
      <x:c r="L1445" s="23">
        <x:v>0</x:v>
      </x:c>
    </x:row>
    <x:row r="1446">
      <x:c r="A1446" s="18" t="s">
        <x:v>3172</x:v>
      </x:c>
      <x:c r="B1446" s="19" t="s">
        <x:v>3173</x:v>
      </x:c>
      <x:c r="C1446" s="20">
        <x:v>69072100</x:v>
      </x:c>
      <x:c r="D1446" s="20">
        <x:v>0</x:v>
      </x:c>
      <x:c r="E1446" s="18" t="s">
        <x:v>227</x:v>
      </x:c>
      <x:c r="F1446" s="19" t="s">
        <x:v>11</x:v>
      </x:c>
      <x:c r="G1446" s="20">
        <x:v>0</x:v>
      </x:c>
      <x:c r="H1446" s="21"/>
      <x:c r="I1446" s="21"/>
      <x:c r="J1446" s="22">
        <x:v>0</x:v>
      </x:c>
      <x:c r="K1446" s="22">
        <x:v>0</x:v>
      </x:c>
      <x:c r="L1446" s="23">
        <x:v>0</x:v>
      </x:c>
    </x:row>
    <x:row r="1447">
      <x:c r="A1447" s="18" t="s">
        <x:v>3174</x:v>
      </x:c>
      <x:c r="B1447" s="19" t="s">
        <x:v>3175</x:v>
      </x:c>
      <x:c r="C1447" s="20">
        <x:v>69072100</x:v>
      </x:c>
      <x:c r="D1447" s="20">
        <x:v>0</x:v>
      </x:c>
      <x:c r="E1447" s="18" t="s">
        <x:v>227</x:v>
      </x:c>
      <x:c r="F1447" s="19" t="s">
        <x:v>11</x:v>
      </x:c>
      <x:c r="G1447" s="20">
        <x:v>0</x:v>
      </x:c>
      <x:c r="H1447" s="21"/>
      <x:c r="I1447" s="21"/>
      <x:c r="J1447" s="22">
        <x:v>0</x:v>
      </x:c>
      <x:c r="K1447" s="22">
        <x:v>0</x:v>
      </x:c>
      <x:c r="L1447" s="23">
        <x:v>0</x:v>
      </x:c>
    </x:row>
    <x:row r="1448">
      <x:c r="A1448" s="18" t="s">
        <x:v>3176</x:v>
      </x:c>
      <x:c r="B1448" s="19" t="s">
        <x:v>3177</x:v>
      </x:c>
      <x:c r="C1448" s="20">
        <x:v>69072100</x:v>
      </x:c>
      <x:c r="D1448" s="20">
        <x:v>0</x:v>
      </x:c>
      <x:c r="E1448" s="18" t="s">
        <x:v>227</x:v>
      </x:c>
      <x:c r="F1448" s="19" t="s">
        <x:v>11</x:v>
      </x:c>
      <x:c r="G1448" s="20">
        <x:v>0</x:v>
      </x:c>
      <x:c r="H1448" s="21"/>
      <x:c r="I1448" s="21"/>
      <x:c r="J1448" s="22">
        <x:v>0</x:v>
      </x:c>
      <x:c r="K1448" s="22">
        <x:v>0</x:v>
      </x:c>
      <x:c r="L1448" s="23">
        <x:v>0</x:v>
      </x:c>
    </x:row>
    <x:row r="1449">
      <x:c r="A1449" s="18" t="s">
        <x:v>3178</x:v>
      </x:c>
      <x:c r="B1449" s="19" t="s">
        <x:v>3179</x:v>
      </x:c>
      <x:c r="C1449" s="20">
        <x:v>69072100</x:v>
      </x:c>
      <x:c r="D1449" s="20">
        <x:v>0</x:v>
      </x:c>
      <x:c r="E1449" s="18" t="s">
        <x:v>227</x:v>
      </x:c>
      <x:c r="F1449" s="19" t="s">
        <x:v>11</x:v>
      </x:c>
      <x:c r="G1449" s="20">
        <x:v>0</x:v>
      </x:c>
      <x:c r="H1449" s="21"/>
      <x:c r="I1449" s="21"/>
      <x:c r="J1449" s="22">
        <x:v>0</x:v>
      </x:c>
      <x:c r="K1449" s="22">
        <x:v>0</x:v>
      </x:c>
      <x:c r="L1449" s="23">
        <x:v>0</x:v>
      </x:c>
    </x:row>
    <x:row r="1450">
      <x:c r="A1450" s="18" t="s">
        <x:v>3180</x:v>
      </x:c>
      <x:c r="B1450" s="19" t="s">
        <x:v>3181</x:v>
      </x:c>
      <x:c r="C1450" s="20">
        <x:v>69072100</x:v>
      </x:c>
      <x:c r="D1450" s="20">
        <x:v>0</x:v>
      </x:c>
      <x:c r="E1450" s="18" t="s">
        <x:v>227</x:v>
      </x:c>
      <x:c r="F1450" s="19" t="s">
        <x:v>11</x:v>
      </x:c>
      <x:c r="G1450" s="20">
        <x:v>0</x:v>
      </x:c>
      <x:c r="H1450" s="21"/>
      <x:c r="I1450" s="21"/>
      <x:c r="J1450" s="22">
        <x:v>0</x:v>
      </x:c>
      <x:c r="K1450" s="22">
        <x:v>0</x:v>
      </x:c>
      <x:c r="L1450" s="23">
        <x:v>0</x:v>
      </x:c>
    </x:row>
    <x:row r="1451">
      <x:c r="A1451" s="18" t="s">
        <x:v>3182</x:v>
      </x:c>
      <x:c r="B1451" s="19" t="s">
        <x:v>3183</x:v>
      </x:c>
      <x:c r="C1451" s="20">
        <x:v>69072100</x:v>
      </x:c>
      <x:c r="D1451" s="20">
        <x:v>0</x:v>
      </x:c>
      <x:c r="E1451" s="18" t="s">
        <x:v>227</x:v>
      </x:c>
      <x:c r="F1451" s="19" t="s">
        <x:v>11</x:v>
      </x:c>
      <x:c r="G1451" s="20">
        <x:v>0</x:v>
      </x:c>
      <x:c r="H1451" s="21"/>
      <x:c r="I1451" s="21"/>
      <x:c r="J1451" s="22">
        <x:v>0</x:v>
      </x:c>
      <x:c r="K1451" s="22">
        <x:v>0</x:v>
      </x:c>
      <x:c r="L1451" s="23">
        <x:v>0</x:v>
      </x:c>
    </x:row>
    <x:row r="1452">
      <x:c r="A1452" s="18" t="s">
        <x:v>3184</x:v>
      </x:c>
      <x:c r="B1452" s="19" t="s">
        <x:v>3185</x:v>
      </x:c>
      <x:c r="C1452" s="20">
        <x:v>69072100</x:v>
      </x:c>
      <x:c r="D1452" s="20">
        <x:v>0</x:v>
      </x:c>
      <x:c r="E1452" s="18" t="s">
        <x:v>227</x:v>
      </x:c>
      <x:c r="F1452" s="19" t="s">
        <x:v>11</x:v>
      </x:c>
      <x:c r="G1452" s="20">
        <x:v>0</x:v>
      </x:c>
      <x:c r="H1452" s="21"/>
      <x:c r="I1452" s="21"/>
      <x:c r="J1452" s="22">
        <x:v>0</x:v>
      </x:c>
      <x:c r="K1452" s="22">
        <x:v>0</x:v>
      </x:c>
      <x:c r="L1452" s="23">
        <x:v>0</x:v>
      </x:c>
    </x:row>
    <x:row r="1453">
      <x:c r="A1453" s="18" t="s">
        <x:v>3186</x:v>
      </x:c>
      <x:c r="B1453" s="19" t="s">
        <x:v>3187</x:v>
      </x:c>
      <x:c r="C1453" s="20">
        <x:v>69072100</x:v>
      </x:c>
      <x:c r="D1453" s="20">
        <x:v>0</x:v>
      </x:c>
      <x:c r="E1453" s="18" t="s">
        <x:v>227</x:v>
      </x:c>
      <x:c r="F1453" s="19" t="s">
        <x:v>11</x:v>
      </x:c>
      <x:c r="G1453" s="20">
        <x:v>0</x:v>
      </x:c>
      <x:c r="H1453" s="21"/>
      <x:c r="I1453" s="21"/>
      <x:c r="J1453" s="22">
        <x:v>0</x:v>
      </x:c>
      <x:c r="K1453" s="22">
        <x:v>0</x:v>
      </x:c>
      <x:c r="L1453" s="23">
        <x:v>0</x:v>
      </x:c>
    </x:row>
    <x:row r="1454">
      <x:c r="A1454" s="18" t="s">
        <x:v>3188</x:v>
      </x:c>
      <x:c r="B1454" s="19" t="s">
        <x:v>3189</x:v>
      </x:c>
      <x:c r="C1454" s="20">
        <x:v>69072100</x:v>
      </x:c>
      <x:c r="D1454" s="20">
        <x:v>0</x:v>
      </x:c>
      <x:c r="E1454" s="18" t="s">
        <x:v>227</x:v>
      </x:c>
      <x:c r="F1454" s="19" t="s">
        <x:v>11</x:v>
      </x:c>
      <x:c r="G1454" s="20">
        <x:v>0</x:v>
      </x:c>
      <x:c r="H1454" s="21"/>
      <x:c r="I1454" s="21"/>
      <x:c r="J1454" s="22">
        <x:v>0</x:v>
      </x:c>
      <x:c r="K1454" s="22">
        <x:v>0</x:v>
      </x:c>
      <x:c r="L1454" s="23">
        <x:v>0</x:v>
      </x:c>
    </x:row>
    <x:row r="1455">
      <x:c r="A1455" s="18" t="s">
        <x:v>3190</x:v>
      </x:c>
      <x:c r="B1455" s="19" t="s">
        <x:v>3191</x:v>
      </x:c>
      <x:c r="C1455" s="20">
        <x:v>69072100</x:v>
      </x:c>
      <x:c r="D1455" s="20">
        <x:v>0</x:v>
      </x:c>
      <x:c r="E1455" s="18" t="s">
        <x:v>227</x:v>
      </x:c>
      <x:c r="F1455" s="19" t="s">
        <x:v>11</x:v>
      </x:c>
      <x:c r="G1455" s="20">
        <x:v>0</x:v>
      </x:c>
      <x:c r="H1455" s="21"/>
      <x:c r="I1455" s="21"/>
      <x:c r="J1455" s="22">
        <x:v>0</x:v>
      </x:c>
      <x:c r="K1455" s="22">
        <x:v>0</x:v>
      </x:c>
      <x:c r="L1455" s="23">
        <x:v>0</x:v>
      </x:c>
    </x:row>
    <x:row r="1456">
      <x:c r="A1456" s="18" t="s">
        <x:v>3192</x:v>
      </x:c>
      <x:c r="B1456" s="19" t="s">
        <x:v>3193</x:v>
      </x:c>
      <x:c r="C1456" s="20">
        <x:v>69072100</x:v>
      </x:c>
      <x:c r="D1456" s="20">
        <x:v>0</x:v>
      </x:c>
      <x:c r="E1456" s="18" t="s">
        <x:v>227</x:v>
      </x:c>
      <x:c r="F1456" s="19" t="s">
        <x:v>11</x:v>
      </x:c>
      <x:c r="G1456" s="20">
        <x:v>0</x:v>
      </x:c>
      <x:c r="H1456" s="21"/>
      <x:c r="I1456" s="21"/>
      <x:c r="J1456" s="22">
        <x:v>0</x:v>
      </x:c>
      <x:c r="K1456" s="22">
        <x:v>0</x:v>
      </x:c>
      <x:c r="L1456" s="23">
        <x:v>0</x:v>
      </x:c>
    </x:row>
    <x:row r="1457">
      <x:c r="A1457" s="18" t="s">
        <x:v>3194</x:v>
      </x:c>
      <x:c r="B1457" s="19" t="s">
        <x:v>3195</x:v>
      </x:c>
      <x:c r="C1457" s="20">
        <x:v>69072100</x:v>
      </x:c>
      <x:c r="D1457" s="20">
        <x:v>0</x:v>
      </x:c>
      <x:c r="E1457" s="18" t="s">
        <x:v>227</x:v>
      </x:c>
      <x:c r="F1457" s="19" t="s">
        <x:v>11</x:v>
      </x:c>
      <x:c r="G1457" s="20">
        <x:v>0</x:v>
      </x:c>
      <x:c r="H1457" s="21"/>
      <x:c r="I1457" s="21"/>
      <x:c r="J1457" s="22">
        <x:v>0</x:v>
      </x:c>
      <x:c r="K1457" s="22">
        <x:v>0</x:v>
      </x:c>
      <x:c r="L1457" s="23">
        <x:v>0</x:v>
      </x:c>
    </x:row>
    <x:row r="1458">
      <x:c r="A1458" s="18" t="s">
        <x:v>3196</x:v>
      </x:c>
      <x:c r="B1458" s="19" t="s">
        <x:v>3197</x:v>
      </x:c>
      <x:c r="C1458" s="20">
        <x:v>69072100</x:v>
      </x:c>
      <x:c r="D1458" s="20">
        <x:v>0</x:v>
      </x:c>
      <x:c r="E1458" s="18" t="s">
        <x:v>227</x:v>
      </x:c>
      <x:c r="F1458" s="19" t="s">
        <x:v>11</x:v>
      </x:c>
      <x:c r="G1458" s="20">
        <x:v>0</x:v>
      </x:c>
      <x:c r="H1458" s="21"/>
      <x:c r="I1458" s="21"/>
      <x:c r="J1458" s="22">
        <x:v>0</x:v>
      </x:c>
      <x:c r="K1458" s="22">
        <x:v>0</x:v>
      </x:c>
      <x:c r="L1458" s="23">
        <x:v>0</x:v>
      </x:c>
    </x:row>
    <x:row r="1459">
      <x:c r="A1459" s="18" t="s">
        <x:v>3198</x:v>
      </x:c>
      <x:c r="B1459" s="19" t="s">
        <x:v>3199</x:v>
      </x:c>
      <x:c r="C1459" s="20">
        <x:v>69072100</x:v>
      </x:c>
      <x:c r="D1459" s="20">
        <x:v>0</x:v>
      </x:c>
      <x:c r="E1459" s="18" t="s">
        <x:v>227</x:v>
      </x:c>
      <x:c r="F1459" s="19" t="s">
        <x:v>11</x:v>
      </x:c>
      <x:c r="G1459" s="20">
        <x:v>0</x:v>
      </x:c>
      <x:c r="H1459" s="21"/>
      <x:c r="I1459" s="21"/>
      <x:c r="J1459" s="22">
        <x:v>0</x:v>
      </x:c>
      <x:c r="K1459" s="22">
        <x:v>0</x:v>
      </x:c>
      <x:c r="L1459" s="23">
        <x:v>0</x:v>
      </x:c>
    </x:row>
    <x:row r="1460">
      <x:c r="A1460" s="18" t="s">
        <x:v>3200</x:v>
      </x:c>
      <x:c r="B1460" s="19" t="s">
        <x:v>3201</x:v>
      </x:c>
      <x:c r="C1460" s="20">
        <x:v>69072100</x:v>
      </x:c>
      <x:c r="D1460" s="20">
        <x:v>0</x:v>
      </x:c>
      <x:c r="E1460" s="18" t="s">
        <x:v>227</x:v>
      </x:c>
      <x:c r="F1460" s="19" t="s">
        <x:v>11</x:v>
      </x:c>
      <x:c r="G1460" s="20">
        <x:v>0</x:v>
      </x:c>
      <x:c r="H1460" s="21"/>
      <x:c r="I1460" s="21"/>
      <x:c r="J1460" s="22">
        <x:v>0</x:v>
      </x:c>
      <x:c r="K1460" s="22">
        <x:v>0</x:v>
      </x:c>
      <x:c r="L1460" s="23">
        <x:v>0</x:v>
      </x:c>
    </x:row>
    <x:row r="1461">
      <x:c r="A1461" s="18" t="s">
        <x:v>3202</x:v>
      </x:c>
      <x:c r="B1461" s="19" t="s">
        <x:v>3203</x:v>
      </x:c>
      <x:c r="C1461" s="20">
        <x:v>69072100</x:v>
      </x:c>
      <x:c r="D1461" s="20">
        <x:v>0</x:v>
      </x:c>
      <x:c r="E1461" s="18" t="s">
        <x:v>227</x:v>
      </x:c>
      <x:c r="F1461" s="19" t="s">
        <x:v>11</x:v>
      </x:c>
      <x:c r="G1461" s="20">
        <x:v>0</x:v>
      </x:c>
      <x:c r="H1461" s="21"/>
      <x:c r="I1461" s="21"/>
      <x:c r="J1461" s="22">
        <x:v>0</x:v>
      </x:c>
      <x:c r="K1461" s="22">
        <x:v>0</x:v>
      </x:c>
      <x:c r="L1461" s="23">
        <x:v>0</x:v>
      </x:c>
    </x:row>
    <x:row r="1462">
      <x:c r="A1462" s="18" t="s">
        <x:v>3204</x:v>
      </x:c>
      <x:c r="B1462" s="19" t="s">
        <x:v>3205</x:v>
      </x:c>
      <x:c r="C1462" s="20">
        <x:v>69072100</x:v>
      </x:c>
      <x:c r="D1462" s="20">
        <x:v>0</x:v>
      </x:c>
      <x:c r="E1462" s="18" t="s">
        <x:v>227</x:v>
      </x:c>
      <x:c r="F1462" s="19" t="s">
        <x:v>11</x:v>
      </x:c>
      <x:c r="G1462" s="20">
        <x:v>0</x:v>
      </x:c>
      <x:c r="H1462" s="21"/>
      <x:c r="I1462" s="21"/>
      <x:c r="J1462" s="22">
        <x:v>0</x:v>
      </x:c>
      <x:c r="K1462" s="22">
        <x:v>0</x:v>
      </x:c>
      <x:c r="L1462" s="23">
        <x:v>0</x:v>
      </x:c>
    </x:row>
    <x:row r="1463">
      <x:c r="A1463" s="18" t="s">
        <x:v>3206</x:v>
      </x:c>
      <x:c r="B1463" s="19" t="s">
        <x:v>3207</x:v>
      </x:c>
      <x:c r="C1463" s="20">
        <x:v>69072100</x:v>
      </x:c>
      <x:c r="D1463" s="20">
        <x:v>0</x:v>
      </x:c>
      <x:c r="E1463" s="18" t="s">
        <x:v>227</x:v>
      </x:c>
      <x:c r="F1463" s="19" t="s">
        <x:v>11</x:v>
      </x:c>
      <x:c r="G1463" s="20">
        <x:v>0</x:v>
      </x:c>
      <x:c r="H1463" s="21"/>
      <x:c r="I1463" s="21"/>
      <x:c r="J1463" s="22">
        <x:v>0</x:v>
      </x:c>
      <x:c r="K1463" s="22">
        <x:v>0</x:v>
      </x:c>
      <x:c r="L1463" s="23">
        <x:v>0</x:v>
      </x:c>
    </x:row>
    <x:row r="1464">
      <x:c r="A1464" s="18" t="s">
        <x:v>3208</x:v>
      </x:c>
      <x:c r="B1464" s="19" t="s">
        <x:v>3209</x:v>
      </x:c>
      <x:c r="C1464" s="20">
        <x:v>69072100</x:v>
      </x:c>
      <x:c r="D1464" s="20">
        <x:v>0</x:v>
      </x:c>
      <x:c r="E1464" s="18" t="s">
        <x:v>227</x:v>
      </x:c>
      <x:c r="F1464" s="19" t="s">
        <x:v>11</x:v>
      </x:c>
      <x:c r="G1464" s="20">
        <x:v>0</x:v>
      </x:c>
      <x:c r="H1464" s="21"/>
      <x:c r="I1464" s="21"/>
      <x:c r="J1464" s="22">
        <x:v>0</x:v>
      </x:c>
      <x:c r="K1464" s="22">
        <x:v>0</x:v>
      </x:c>
      <x:c r="L1464" s="23">
        <x:v>0</x:v>
      </x:c>
    </x:row>
    <x:row r="1465">
      <x:c r="A1465" s="18" t="s">
        <x:v>3210</x:v>
      </x:c>
      <x:c r="B1465" s="19" t="s">
        <x:v>3211</x:v>
      </x:c>
      <x:c r="C1465" s="20">
        <x:v>69072100</x:v>
      </x:c>
      <x:c r="D1465" s="20">
        <x:v>0</x:v>
      </x:c>
      <x:c r="E1465" s="18" t="s">
        <x:v>227</x:v>
      </x:c>
      <x:c r="F1465" s="19" t="s">
        <x:v>11</x:v>
      </x:c>
      <x:c r="G1465" s="20">
        <x:v>0</x:v>
      </x:c>
      <x:c r="H1465" s="21"/>
      <x:c r="I1465" s="21"/>
      <x:c r="J1465" s="22">
        <x:v>0</x:v>
      </x:c>
      <x:c r="K1465" s="22">
        <x:v>0</x:v>
      </x:c>
      <x:c r="L1465" s="23">
        <x:v>0</x:v>
      </x:c>
    </x:row>
    <x:row r="1466">
      <x:c r="A1466" s="18" t="s">
        <x:v>3212</x:v>
      </x:c>
      <x:c r="B1466" s="19" t="s">
        <x:v>3213</x:v>
      </x:c>
      <x:c r="C1466" s="20">
        <x:v>69072100</x:v>
      </x:c>
      <x:c r="D1466" s="20">
        <x:v>0</x:v>
      </x:c>
      <x:c r="E1466" s="18" t="s">
        <x:v>227</x:v>
      </x:c>
      <x:c r="F1466" s="19" t="s">
        <x:v>11</x:v>
      </x:c>
      <x:c r="G1466" s="20">
        <x:v>0</x:v>
      </x:c>
      <x:c r="H1466" s="21"/>
      <x:c r="I1466" s="21"/>
      <x:c r="J1466" s="22">
        <x:v>0</x:v>
      </x:c>
      <x:c r="K1466" s="22">
        <x:v>0</x:v>
      </x:c>
      <x:c r="L1466" s="23">
        <x:v>0</x:v>
      </x:c>
    </x:row>
    <x:row r="1467">
      <x:c r="A1467" s="18" t="s">
        <x:v>3214</x:v>
      </x:c>
      <x:c r="B1467" s="19" t="s">
        <x:v>3215</x:v>
      </x:c>
      <x:c r="C1467" s="20">
        <x:v>69072100</x:v>
      </x:c>
      <x:c r="D1467" s="20">
        <x:v>0</x:v>
      </x:c>
      <x:c r="E1467" s="18" t="s">
        <x:v>227</x:v>
      </x:c>
      <x:c r="F1467" s="19" t="s">
        <x:v>11</x:v>
      </x:c>
      <x:c r="G1467" s="20">
        <x:v>0</x:v>
      </x:c>
      <x:c r="H1467" s="21"/>
      <x:c r="I1467" s="21"/>
      <x:c r="J1467" s="22">
        <x:v>0</x:v>
      </x:c>
      <x:c r="K1467" s="22">
        <x:v>0</x:v>
      </x:c>
      <x:c r="L1467" s="23">
        <x:v>0</x:v>
      </x:c>
    </x:row>
    <x:row r="1468">
      <x:c r="A1468" s="18" t="s">
        <x:v>3216</x:v>
      </x:c>
      <x:c r="B1468" s="19" t="s">
        <x:v>3217</x:v>
      </x:c>
      <x:c r="C1468" s="20">
        <x:v>69072100</x:v>
      </x:c>
      <x:c r="D1468" s="20">
        <x:v>0</x:v>
      </x:c>
      <x:c r="E1468" s="18" t="s">
        <x:v>227</x:v>
      </x:c>
      <x:c r="F1468" s="19" t="s">
        <x:v>11</x:v>
      </x:c>
      <x:c r="G1468" s="20">
        <x:v>0</x:v>
      </x:c>
      <x:c r="H1468" s="21"/>
      <x:c r="I1468" s="21"/>
      <x:c r="J1468" s="22">
        <x:v>0</x:v>
      </x:c>
      <x:c r="K1468" s="22">
        <x:v>0</x:v>
      </x:c>
      <x:c r="L1468" s="23">
        <x:v>0</x:v>
      </x:c>
    </x:row>
    <x:row r="1469">
      <x:c r="A1469" s="18" t="s">
        <x:v>3218</x:v>
      </x:c>
      <x:c r="B1469" s="19" t="s">
        <x:v>3219</x:v>
      </x:c>
      <x:c r="C1469" s="20">
        <x:v>69072100</x:v>
      </x:c>
      <x:c r="D1469" s="20">
        <x:v>0</x:v>
      </x:c>
      <x:c r="E1469" s="18" t="s">
        <x:v>227</x:v>
      </x:c>
      <x:c r="F1469" s="19" t="s">
        <x:v>11</x:v>
      </x:c>
      <x:c r="G1469" s="20">
        <x:v>0</x:v>
      </x:c>
      <x:c r="H1469" s="21"/>
      <x:c r="I1469" s="21"/>
      <x:c r="J1469" s="22">
        <x:v>0</x:v>
      </x:c>
      <x:c r="K1469" s="22">
        <x:v>0</x:v>
      </x:c>
      <x:c r="L1469" s="23">
        <x:v>0</x:v>
      </x:c>
    </x:row>
    <x:row r="1470">
      <x:c r="A1470" s="18" t="s">
        <x:v>3220</x:v>
      </x:c>
      <x:c r="B1470" s="19" t="s">
        <x:v>3221</x:v>
      </x:c>
      <x:c r="C1470" s="20">
        <x:v>69072100</x:v>
      </x:c>
      <x:c r="D1470" s="20">
        <x:v>0</x:v>
      </x:c>
      <x:c r="E1470" s="18" t="s">
        <x:v>227</x:v>
      </x:c>
      <x:c r="F1470" s="19" t="s">
        <x:v>11</x:v>
      </x:c>
      <x:c r="G1470" s="20">
        <x:v>0</x:v>
      </x:c>
      <x:c r="H1470" s="20">
        <x:v>5</x:v>
      </x:c>
      <x:c r="I1470" s="21"/>
      <x:c r="J1470" s="22">
        <x:v>0</x:v>
      </x:c>
      <x:c r="K1470" s="22">
        <x:v>0</x:v>
      </x:c>
      <x:c r="L1470" s="23">
        <x:v>0</x:v>
      </x:c>
    </x:row>
    <x:row r="1471">
      <x:c r="A1471" s="18" t="s">
        <x:v>3222</x:v>
      </x:c>
      <x:c r="B1471" s="19" t="s">
        <x:v>3223</x:v>
      </x:c>
      <x:c r="C1471" s="20">
        <x:v>69072100</x:v>
      </x:c>
      <x:c r="D1471" s="20">
        <x:v>0</x:v>
      </x:c>
      <x:c r="E1471" s="18" t="s">
        <x:v>227</x:v>
      </x:c>
      <x:c r="F1471" s="19" t="s">
        <x:v>11</x:v>
      </x:c>
      <x:c r="G1471" s="20">
        <x:v>0</x:v>
      </x:c>
      <x:c r="H1471" s="21"/>
      <x:c r="I1471" s="21"/>
      <x:c r="J1471" s="22">
        <x:v>0</x:v>
      </x:c>
      <x:c r="K1471" s="22">
        <x:v>0</x:v>
      </x:c>
      <x:c r="L1471" s="23">
        <x:v>0</x:v>
      </x:c>
    </x:row>
    <x:row r="1472">
      <x:c r="A1472" s="18" t="s">
        <x:v>3224</x:v>
      </x:c>
      <x:c r="B1472" s="19" t="s">
        <x:v>3225</x:v>
      </x:c>
      <x:c r="C1472" s="20">
        <x:v>69072100</x:v>
      </x:c>
      <x:c r="D1472" s="20">
        <x:v>0</x:v>
      </x:c>
      <x:c r="E1472" s="18" t="s">
        <x:v>227</x:v>
      </x:c>
      <x:c r="F1472" s="19" t="s">
        <x:v>11</x:v>
      </x:c>
      <x:c r="G1472" s="20">
        <x:v>0</x:v>
      </x:c>
      <x:c r="H1472" s="21"/>
      <x:c r="I1472" s="21"/>
      <x:c r="J1472" s="22">
        <x:v>0</x:v>
      </x:c>
      <x:c r="K1472" s="22">
        <x:v>0</x:v>
      </x:c>
      <x:c r="L1472" s="23">
        <x:v>0</x:v>
      </x:c>
    </x:row>
    <x:row r="1473">
      <x:c r="A1473" s="18" t="s">
        <x:v>3226</x:v>
      </x:c>
      <x:c r="B1473" s="19" t="s">
        <x:v>3227</x:v>
      </x:c>
      <x:c r="C1473" s="20">
        <x:v>69072100</x:v>
      </x:c>
      <x:c r="D1473" s="20">
        <x:v>0</x:v>
      </x:c>
      <x:c r="E1473" s="18" t="s">
        <x:v>227</x:v>
      </x:c>
      <x:c r="F1473" s="19" t="s">
        <x:v>11</x:v>
      </x:c>
      <x:c r="G1473" s="20">
        <x:v>0</x:v>
      </x:c>
      <x:c r="H1473" s="21"/>
      <x:c r="I1473" s="21"/>
      <x:c r="J1473" s="22">
        <x:v>0</x:v>
      </x:c>
      <x:c r="K1473" s="22">
        <x:v>0</x:v>
      </x:c>
      <x:c r="L1473" s="23">
        <x:v>0</x:v>
      </x:c>
    </x:row>
    <x:row r="1474">
      <x:c r="A1474" s="18" t="s">
        <x:v>3228</x:v>
      </x:c>
      <x:c r="B1474" s="19" t="s">
        <x:v>3229</x:v>
      </x:c>
      <x:c r="C1474" s="20">
        <x:v>69072100</x:v>
      </x:c>
      <x:c r="D1474" s="20">
        <x:v>0</x:v>
      </x:c>
      <x:c r="E1474" s="18" t="s">
        <x:v>227</x:v>
      </x:c>
      <x:c r="F1474" s="19" t="s">
        <x:v>11</x:v>
      </x:c>
      <x:c r="G1474" s="20">
        <x:v>0</x:v>
      </x:c>
      <x:c r="H1474" s="21"/>
      <x:c r="I1474" s="21"/>
      <x:c r="J1474" s="22">
        <x:v>0</x:v>
      </x:c>
      <x:c r="K1474" s="22">
        <x:v>0</x:v>
      </x:c>
      <x:c r="L1474" s="23">
        <x:v>0</x:v>
      </x:c>
    </x:row>
    <x:row r="1475">
      <x:c r="A1475" s="18" t="s">
        <x:v>3230</x:v>
      </x:c>
      <x:c r="B1475" s="19" t="s">
        <x:v>3231</x:v>
      </x:c>
      <x:c r="C1475" s="20">
        <x:v>69072100</x:v>
      </x:c>
      <x:c r="D1475" s="20">
        <x:v>0</x:v>
      </x:c>
      <x:c r="E1475" s="18" t="s">
        <x:v>227</x:v>
      </x:c>
      <x:c r="F1475" s="19" t="s">
        <x:v>11</x:v>
      </x:c>
      <x:c r="G1475" s="20">
        <x:v>0</x:v>
      </x:c>
      <x:c r="H1475" s="21"/>
      <x:c r="I1475" s="21"/>
      <x:c r="J1475" s="22">
        <x:v>0</x:v>
      </x:c>
      <x:c r="K1475" s="22">
        <x:v>0</x:v>
      </x:c>
      <x:c r="L1475" s="23">
        <x:v>0</x:v>
      </x:c>
    </x:row>
    <x:row r="1476">
      <x:c r="A1476" s="18" t="s">
        <x:v>3232</x:v>
      </x:c>
      <x:c r="B1476" s="19" t="s">
        <x:v>3233</x:v>
      </x:c>
      <x:c r="C1476" s="20">
        <x:v>69072100</x:v>
      </x:c>
      <x:c r="D1476" s="20">
        <x:v>0</x:v>
      </x:c>
      <x:c r="E1476" s="18" t="s">
        <x:v>227</x:v>
      </x:c>
      <x:c r="F1476" s="19" t="s">
        <x:v>11</x:v>
      </x:c>
      <x:c r="G1476" s="20">
        <x:v>0</x:v>
      </x:c>
      <x:c r="H1476" s="21"/>
      <x:c r="I1476" s="21"/>
      <x:c r="J1476" s="22">
        <x:v>0</x:v>
      </x:c>
      <x:c r="K1476" s="22">
        <x:v>0</x:v>
      </x:c>
      <x:c r="L1476" s="23">
        <x:v>0</x:v>
      </x:c>
    </x:row>
    <x:row r="1477">
      <x:c r="A1477" s="18" t="s">
        <x:v>3234</x:v>
      </x:c>
      <x:c r="B1477" s="19" t="s">
        <x:v>3235</x:v>
      </x:c>
      <x:c r="C1477" s="20">
        <x:v>69072100</x:v>
      </x:c>
      <x:c r="D1477" s="20">
        <x:v>0</x:v>
      </x:c>
      <x:c r="E1477" s="18" t="s">
        <x:v>227</x:v>
      </x:c>
      <x:c r="F1477" s="19" t="s">
        <x:v>11</x:v>
      </x:c>
      <x:c r="G1477" s="20">
        <x:v>0</x:v>
      </x:c>
      <x:c r="H1477" s="21"/>
      <x:c r="I1477" s="21"/>
      <x:c r="J1477" s="22">
        <x:v>0</x:v>
      </x:c>
      <x:c r="K1477" s="22">
        <x:v>0</x:v>
      </x:c>
      <x:c r="L1477" s="23">
        <x:v>0</x:v>
      </x:c>
    </x:row>
    <x:row r="1478">
      <x:c r="A1478" s="18" t="s">
        <x:v>3236</x:v>
      </x:c>
      <x:c r="B1478" s="19" t="s">
        <x:v>3237</x:v>
      </x:c>
      <x:c r="C1478" s="20">
        <x:v>69072100</x:v>
      </x:c>
      <x:c r="D1478" s="20">
        <x:v>0</x:v>
      </x:c>
      <x:c r="E1478" s="18" t="s">
        <x:v>227</x:v>
      </x:c>
      <x:c r="F1478" s="19" t="s">
        <x:v>11</x:v>
      </x:c>
      <x:c r="G1478" s="20">
        <x:v>0</x:v>
      </x:c>
      <x:c r="H1478" s="21"/>
      <x:c r="I1478" s="21"/>
      <x:c r="J1478" s="22">
        <x:v>0</x:v>
      </x:c>
      <x:c r="K1478" s="22">
        <x:v>0</x:v>
      </x:c>
      <x:c r="L1478" s="23">
        <x:v>0</x:v>
      </x:c>
    </x:row>
    <x:row r="1479">
      <x:c r="A1479" s="18" t="s">
        <x:v>3238</x:v>
      </x:c>
      <x:c r="B1479" s="19" t="s">
        <x:v>3239</x:v>
      </x:c>
      <x:c r="C1479" s="20">
        <x:v>69072100</x:v>
      </x:c>
      <x:c r="D1479" s="20">
        <x:v>0</x:v>
      </x:c>
      <x:c r="E1479" s="18" t="s">
        <x:v>227</x:v>
      </x:c>
      <x:c r="F1479" s="19" t="s">
        <x:v>11</x:v>
      </x:c>
      <x:c r="G1479" s="20">
        <x:v>0</x:v>
      </x:c>
      <x:c r="H1479" s="21"/>
      <x:c r="I1479" s="21"/>
      <x:c r="J1479" s="22">
        <x:v>0</x:v>
      </x:c>
      <x:c r="K1479" s="22">
        <x:v>0</x:v>
      </x:c>
      <x:c r="L1479" s="23">
        <x:v>0</x:v>
      </x:c>
    </x:row>
    <x:row r="1480">
      <x:c r="A1480" s="18" t="s">
        <x:v>3240</x:v>
      </x:c>
      <x:c r="B1480" s="19" t="s">
        <x:v>3241</x:v>
      </x:c>
      <x:c r="C1480" s="20">
        <x:v>69072100</x:v>
      </x:c>
      <x:c r="D1480" s="20">
        <x:v>0</x:v>
      </x:c>
      <x:c r="E1480" s="18" t="s">
        <x:v>227</x:v>
      </x:c>
      <x:c r="F1480" s="19" t="s">
        <x:v>11</x:v>
      </x:c>
      <x:c r="G1480" s="20">
        <x:v>0</x:v>
      </x:c>
      <x:c r="H1480" s="21"/>
      <x:c r="I1480" s="21"/>
      <x:c r="J1480" s="22">
        <x:v>0</x:v>
      </x:c>
      <x:c r="K1480" s="22">
        <x:v>0</x:v>
      </x:c>
      <x:c r="L1480" s="23">
        <x:v>0</x:v>
      </x:c>
    </x:row>
    <x:row r="1481">
      <x:c r="A1481" s="18" t="s">
        <x:v>3242</x:v>
      </x:c>
      <x:c r="B1481" s="19" t="s">
        <x:v>3243</x:v>
      </x:c>
      <x:c r="C1481" s="20">
        <x:v>69072100</x:v>
      </x:c>
      <x:c r="D1481" s="20">
        <x:v>0</x:v>
      </x:c>
      <x:c r="E1481" s="18" t="s">
        <x:v>227</x:v>
      </x:c>
      <x:c r="F1481" s="19" t="s">
        <x:v>11</x:v>
      </x:c>
      <x:c r="G1481" s="20">
        <x:v>0</x:v>
      </x:c>
      <x:c r="H1481" s="21"/>
      <x:c r="I1481" s="21"/>
      <x:c r="J1481" s="22">
        <x:v>0</x:v>
      </x:c>
      <x:c r="K1481" s="22">
        <x:v>0</x:v>
      </x:c>
      <x:c r="L1481" s="23">
        <x:v>0</x:v>
      </x:c>
    </x:row>
    <x:row r="1482">
      <x:c r="A1482" s="18" t="s">
        <x:v>3244</x:v>
      </x:c>
      <x:c r="B1482" s="19" t="s">
        <x:v>3245</x:v>
      </x:c>
      <x:c r="C1482" s="20">
        <x:v>69072100</x:v>
      </x:c>
      <x:c r="D1482" s="20">
        <x:v>0</x:v>
      </x:c>
      <x:c r="E1482" s="18" t="s">
        <x:v>227</x:v>
      </x:c>
      <x:c r="F1482" s="19" t="s">
        <x:v>11</x:v>
      </x:c>
      <x:c r="G1482" s="20">
        <x:v>0</x:v>
      </x:c>
      <x:c r="H1482" s="21"/>
      <x:c r="I1482" s="21"/>
      <x:c r="J1482" s="22">
        <x:v>0</x:v>
      </x:c>
      <x:c r="K1482" s="22">
        <x:v>0</x:v>
      </x:c>
      <x:c r="L1482" s="23">
        <x:v>0</x:v>
      </x:c>
    </x:row>
    <x:row r="1483">
      <x:c r="A1483" s="18" t="s">
        <x:v>3246</x:v>
      </x:c>
      <x:c r="B1483" s="19" t="s">
        <x:v>3247</x:v>
      </x:c>
      <x:c r="C1483" s="20">
        <x:v>69072100</x:v>
      </x:c>
      <x:c r="D1483" s="20">
        <x:v>0</x:v>
      </x:c>
      <x:c r="E1483" s="18" t="s">
        <x:v>227</x:v>
      </x:c>
      <x:c r="F1483" s="19" t="s">
        <x:v>11</x:v>
      </x:c>
      <x:c r="G1483" s="20">
        <x:v>0</x:v>
      </x:c>
      <x:c r="H1483" s="21"/>
      <x:c r="I1483" s="21"/>
      <x:c r="J1483" s="22">
        <x:v>0</x:v>
      </x:c>
      <x:c r="K1483" s="22">
        <x:v>0</x:v>
      </x:c>
      <x:c r="L1483" s="23">
        <x:v>0</x:v>
      </x:c>
    </x:row>
    <x:row r="1484">
      <x:c r="A1484" s="18" t="s">
        <x:v>3248</x:v>
      </x:c>
      <x:c r="B1484" s="19" t="s">
        <x:v>3249</x:v>
      </x:c>
      <x:c r="C1484" s="20">
        <x:v>69072100</x:v>
      </x:c>
      <x:c r="D1484" s="20">
        <x:v>0</x:v>
      </x:c>
      <x:c r="E1484" s="18" t="s">
        <x:v>227</x:v>
      </x:c>
      <x:c r="F1484" s="19" t="s">
        <x:v>11</x:v>
      </x:c>
      <x:c r="G1484" s="20">
        <x:v>0</x:v>
      </x:c>
      <x:c r="H1484" s="21"/>
      <x:c r="I1484" s="21"/>
      <x:c r="J1484" s="22">
        <x:v>0</x:v>
      </x:c>
      <x:c r="K1484" s="22">
        <x:v>0</x:v>
      </x:c>
      <x:c r="L1484" s="23">
        <x:v>0</x:v>
      </x:c>
    </x:row>
    <x:row r="1485">
      <x:c r="A1485" s="18" t="s">
        <x:v>3250</x:v>
      </x:c>
      <x:c r="B1485" s="19" t="s">
        <x:v>3251</x:v>
      </x:c>
      <x:c r="C1485" s="20">
        <x:v>69072100</x:v>
      </x:c>
      <x:c r="D1485" s="20">
        <x:v>0</x:v>
      </x:c>
      <x:c r="E1485" s="18" t="s">
        <x:v>227</x:v>
      </x:c>
      <x:c r="F1485" s="19" t="s">
        <x:v>11</x:v>
      </x:c>
      <x:c r="G1485" s="20">
        <x:v>0</x:v>
      </x:c>
      <x:c r="H1485" s="21"/>
      <x:c r="I1485" s="21"/>
      <x:c r="J1485" s="22">
        <x:v>0</x:v>
      </x:c>
      <x:c r="K1485" s="22">
        <x:v>0</x:v>
      </x:c>
      <x:c r="L1485" s="23">
        <x:v>0</x:v>
      </x:c>
    </x:row>
    <x:row r="1486">
      <x:c r="A1486" s="18" t="s">
        <x:v>3252</x:v>
      </x:c>
      <x:c r="B1486" s="19" t="s">
        <x:v>3253</x:v>
      </x:c>
      <x:c r="C1486" s="20">
        <x:v>69072100</x:v>
      </x:c>
      <x:c r="D1486" s="20">
        <x:v>0</x:v>
      </x:c>
      <x:c r="E1486" s="18" t="s">
        <x:v>227</x:v>
      </x:c>
      <x:c r="F1486" s="19" t="s">
        <x:v>11</x:v>
      </x:c>
      <x:c r="G1486" s="20">
        <x:v>0</x:v>
      </x:c>
      <x:c r="H1486" s="21"/>
      <x:c r="I1486" s="21"/>
      <x:c r="J1486" s="22">
        <x:v>0</x:v>
      </x:c>
      <x:c r="K1486" s="22">
        <x:v>0</x:v>
      </x:c>
      <x:c r="L1486" s="23">
        <x:v>0</x:v>
      </x:c>
    </x:row>
    <x:row r="1487">
      <x:c r="A1487" s="18" t="s">
        <x:v>3254</x:v>
      </x:c>
      <x:c r="B1487" s="19" t="s">
        <x:v>3255</x:v>
      </x:c>
      <x:c r="C1487" s="20">
        <x:v>69072100</x:v>
      </x:c>
      <x:c r="D1487" s="20">
        <x:v>0</x:v>
      </x:c>
      <x:c r="E1487" s="18" t="s">
        <x:v>227</x:v>
      </x:c>
      <x:c r="F1487" s="19" t="s">
        <x:v>11</x:v>
      </x:c>
      <x:c r="G1487" s="20">
        <x:v>0</x:v>
      </x:c>
      <x:c r="H1487" s="21"/>
      <x:c r="I1487" s="21"/>
      <x:c r="J1487" s="22">
        <x:v>0</x:v>
      </x:c>
      <x:c r="K1487" s="22">
        <x:v>0</x:v>
      </x:c>
      <x:c r="L1487" s="23">
        <x:v>0</x:v>
      </x:c>
    </x:row>
    <x:row r="1488">
      <x:c r="A1488" s="18" t="s">
        <x:v>3256</x:v>
      </x:c>
      <x:c r="B1488" s="19" t="s">
        <x:v>3257</x:v>
      </x:c>
      <x:c r="C1488" s="20">
        <x:v>69072100</x:v>
      </x:c>
      <x:c r="D1488" s="20">
        <x:v>0</x:v>
      </x:c>
      <x:c r="E1488" s="18" t="s">
        <x:v>227</x:v>
      </x:c>
      <x:c r="F1488" s="19" t="s">
        <x:v>11</x:v>
      </x:c>
      <x:c r="G1488" s="20">
        <x:v>0</x:v>
      </x:c>
      <x:c r="H1488" s="21"/>
      <x:c r="I1488" s="21"/>
      <x:c r="J1488" s="22">
        <x:v>0</x:v>
      </x:c>
      <x:c r="K1488" s="22">
        <x:v>0</x:v>
      </x:c>
      <x:c r="L1488" s="23">
        <x:v>0</x:v>
      </x:c>
    </x:row>
    <x:row r="1489">
      <x:c r="A1489" s="18" t="s">
        <x:v>3258</x:v>
      </x:c>
      <x:c r="B1489" s="19" t="s">
        <x:v>3259</x:v>
      </x:c>
      <x:c r="C1489" s="20">
        <x:v>69072100</x:v>
      </x:c>
      <x:c r="D1489" s="20">
        <x:v>0</x:v>
      </x:c>
      <x:c r="E1489" s="18" t="s">
        <x:v>227</x:v>
      </x:c>
      <x:c r="F1489" s="19" t="s">
        <x:v>11</x:v>
      </x:c>
      <x:c r="G1489" s="20">
        <x:v>0</x:v>
      </x:c>
      <x:c r="H1489" s="21"/>
      <x:c r="I1489" s="21"/>
      <x:c r="J1489" s="22">
        <x:v>0</x:v>
      </x:c>
      <x:c r="K1489" s="22">
        <x:v>0</x:v>
      </x:c>
      <x:c r="L1489" s="23">
        <x:v>0</x:v>
      </x:c>
    </x:row>
    <x:row r="1490">
      <x:c r="A1490" s="18" t="s">
        <x:v>3260</x:v>
      </x:c>
      <x:c r="B1490" s="19" t="s">
        <x:v>3261</x:v>
      </x:c>
      <x:c r="C1490" s="20">
        <x:v>69072100</x:v>
      </x:c>
      <x:c r="D1490" s="20">
        <x:v>0</x:v>
      </x:c>
      <x:c r="E1490" s="18" t="s">
        <x:v>227</x:v>
      </x:c>
      <x:c r="F1490" s="19" t="s">
        <x:v>11</x:v>
      </x:c>
      <x:c r="G1490" s="20">
        <x:v>0</x:v>
      </x:c>
      <x:c r="H1490" s="21"/>
      <x:c r="I1490" s="21"/>
      <x:c r="J1490" s="22">
        <x:v>0</x:v>
      </x:c>
      <x:c r="K1490" s="22">
        <x:v>0</x:v>
      </x:c>
      <x:c r="L1490" s="23">
        <x:v>0</x:v>
      </x:c>
    </x:row>
    <x:row r="1491">
      <x:c r="A1491" s="18" t="s">
        <x:v>3262</x:v>
      </x:c>
      <x:c r="B1491" s="19" t="s">
        <x:v>3263</x:v>
      </x:c>
      <x:c r="C1491" s="20">
        <x:v>69072100</x:v>
      </x:c>
      <x:c r="D1491" s="20">
        <x:v>0</x:v>
      </x:c>
      <x:c r="E1491" s="18" t="s">
        <x:v>227</x:v>
      </x:c>
      <x:c r="F1491" s="19" t="s">
        <x:v>11</x:v>
      </x:c>
      <x:c r="G1491" s="20">
        <x:v>0</x:v>
      </x:c>
      <x:c r="H1491" s="21"/>
      <x:c r="I1491" s="21"/>
      <x:c r="J1491" s="22">
        <x:v>0</x:v>
      </x:c>
      <x:c r="K1491" s="22">
        <x:v>0</x:v>
      </x:c>
      <x:c r="L1491" s="23">
        <x:v>0</x:v>
      </x:c>
    </x:row>
    <x:row r="1492">
      <x:c r="A1492" s="18" t="s">
        <x:v>3264</x:v>
      </x:c>
      <x:c r="B1492" s="19" t="s">
        <x:v>3265</x:v>
      </x:c>
      <x:c r="C1492" s="20">
        <x:v>69072100</x:v>
      </x:c>
      <x:c r="D1492" s="20">
        <x:v>0</x:v>
      </x:c>
      <x:c r="E1492" s="18" t="s">
        <x:v>227</x:v>
      </x:c>
      <x:c r="F1492" s="19" t="s">
        <x:v>11</x:v>
      </x:c>
      <x:c r="G1492" s="20">
        <x:v>0</x:v>
      </x:c>
      <x:c r="H1492" s="21"/>
      <x:c r="I1492" s="21"/>
      <x:c r="J1492" s="22">
        <x:v>0</x:v>
      </x:c>
      <x:c r="K1492" s="22">
        <x:v>0</x:v>
      </x:c>
      <x:c r="L1492" s="23">
        <x:v>0</x:v>
      </x:c>
    </x:row>
    <x:row r="1493">
      <x:c r="A1493" s="18" t="s">
        <x:v>3266</x:v>
      </x:c>
      <x:c r="B1493" s="19" t="s">
        <x:v>3267</x:v>
      </x:c>
      <x:c r="C1493" s="20">
        <x:v>69072100</x:v>
      </x:c>
      <x:c r="D1493" s="20">
        <x:v>0</x:v>
      </x:c>
      <x:c r="E1493" s="18" t="s">
        <x:v>227</x:v>
      </x:c>
      <x:c r="F1493" s="19" t="s">
        <x:v>11</x:v>
      </x:c>
      <x:c r="G1493" s="20">
        <x:v>0</x:v>
      </x:c>
      <x:c r="H1493" s="21"/>
      <x:c r="I1493" s="21"/>
      <x:c r="J1493" s="22">
        <x:v>0</x:v>
      </x:c>
      <x:c r="K1493" s="22">
        <x:v>0</x:v>
      </x:c>
      <x:c r="L1493" s="23">
        <x:v>0</x:v>
      </x:c>
    </x:row>
    <x:row r="1494">
      <x:c r="A1494" s="18" t="s">
        <x:v>3268</x:v>
      </x:c>
      <x:c r="B1494" s="19" t="s">
        <x:v>3269</x:v>
      </x:c>
      <x:c r="C1494" s="20">
        <x:v>69072100</x:v>
      </x:c>
      <x:c r="D1494" s="20">
        <x:v>0</x:v>
      </x:c>
      <x:c r="E1494" s="18" t="s">
        <x:v>227</x:v>
      </x:c>
      <x:c r="F1494" s="19" t="s">
        <x:v>11</x:v>
      </x:c>
      <x:c r="G1494" s="20">
        <x:v>0</x:v>
      </x:c>
      <x:c r="H1494" s="21"/>
      <x:c r="I1494" s="21"/>
      <x:c r="J1494" s="22">
        <x:v>0</x:v>
      </x:c>
      <x:c r="K1494" s="22">
        <x:v>0</x:v>
      </x:c>
      <x:c r="L1494" s="23">
        <x:v>0</x:v>
      </x:c>
    </x:row>
    <x:row r="1495">
      <x:c r="A1495" s="18" t="s">
        <x:v>3270</x:v>
      </x:c>
      <x:c r="B1495" s="19" t="s">
        <x:v>3271</x:v>
      </x:c>
      <x:c r="C1495" s="20">
        <x:v>69072100</x:v>
      </x:c>
      <x:c r="D1495" s="20">
        <x:v>0</x:v>
      </x:c>
      <x:c r="E1495" s="18" t="s">
        <x:v>227</x:v>
      </x:c>
      <x:c r="F1495" s="19" t="s">
        <x:v>11</x:v>
      </x:c>
      <x:c r="G1495" s="20">
        <x:v>0</x:v>
      </x:c>
      <x:c r="H1495" s="21"/>
      <x:c r="I1495" s="21"/>
      <x:c r="J1495" s="22">
        <x:v>0</x:v>
      </x:c>
      <x:c r="K1495" s="22">
        <x:v>0</x:v>
      </x:c>
      <x:c r="L1495" s="23">
        <x:v>0</x:v>
      </x:c>
    </x:row>
    <x:row r="1496">
      <x:c r="A1496" s="18" t="s">
        <x:v>3272</x:v>
      </x:c>
      <x:c r="B1496" s="19" t="s">
        <x:v>3273</x:v>
      </x:c>
      <x:c r="C1496" s="20">
        <x:v>69072100</x:v>
      </x:c>
      <x:c r="D1496" s="20">
        <x:v>0</x:v>
      </x:c>
      <x:c r="E1496" s="18" t="s">
        <x:v>227</x:v>
      </x:c>
      <x:c r="F1496" s="19" t="s">
        <x:v>11</x:v>
      </x:c>
      <x:c r="G1496" s="20">
        <x:v>0</x:v>
      </x:c>
      <x:c r="H1496" s="21"/>
      <x:c r="I1496" s="21"/>
      <x:c r="J1496" s="22">
        <x:v>0</x:v>
      </x:c>
      <x:c r="K1496" s="22">
        <x:v>0</x:v>
      </x:c>
      <x:c r="L1496" s="23">
        <x:v>0</x:v>
      </x:c>
    </x:row>
    <x:row r="1497">
      <x:c r="A1497" s="18" t="s">
        <x:v>3274</x:v>
      </x:c>
      <x:c r="B1497" s="19" t="s">
        <x:v>3275</x:v>
      </x:c>
      <x:c r="C1497" s="20">
        <x:v>69072100</x:v>
      </x:c>
      <x:c r="D1497" s="20">
        <x:v>0</x:v>
      </x:c>
      <x:c r="E1497" s="18" t="s">
        <x:v>227</x:v>
      </x:c>
      <x:c r="F1497" s="19" t="s">
        <x:v>11</x:v>
      </x:c>
      <x:c r="G1497" s="20">
        <x:v>0</x:v>
      </x:c>
      <x:c r="H1497" s="21"/>
      <x:c r="I1497" s="21"/>
      <x:c r="J1497" s="22">
        <x:v>0</x:v>
      </x:c>
      <x:c r="K1497" s="22">
        <x:v>0</x:v>
      </x:c>
      <x:c r="L1497" s="23">
        <x:v>0</x:v>
      </x:c>
    </x:row>
    <x:row r="1498">
      <x:c r="A1498" s="18" t="s">
        <x:v>3276</x:v>
      </x:c>
      <x:c r="B1498" s="19" t="s">
        <x:v>3277</x:v>
      </x:c>
      <x:c r="C1498" s="20">
        <x:v>69072100</x:v>
      </x:c>
      <x:c r="D1498" s="20">
        <x:v>0</x:v>
      </x:c>
      <x:c r="E1498" s="18" t="s">
        <x:v>227</x:v>
      </x:c>
      <x:c r="F1498" s="19" t="s">
        <x:v>11</x:v>
      </x:c>
      <x:c r="G1498" s="20">
        <x:v>0</x:v>
      </x:c>
      <x:c r="H1498" s="21"/>
      <x:c r="I1498" s="21"/>
      <x:c r="J1498" s="22">
        <x:v>0</x:v>
      </x:c>
      <x:c r="K1498" s="22">
        <x:v>0</x:v>
      </x:c>
      <x:c r="L1498" s="23">
        <x:v>0</x:v>
      </x:c>
    </x:row>
    <x:row r="1499">
      <x:c r="A1499" s="18" t="s">
        <x:v>3278</x:v>
      </x:c>
      <x:c r="B1499" s="19" t="s">
        <x:v>3279</x:v>
      </x:c>
      <x:c r="C1499" s="20">
        <x:v>69072100</x:v>
      </x:c>
      <x:c r="D1499" s="20">
        <x:v>0</x:v>
      </x:c>
      <x:c r="E1499" s="18" t="s">
        <x:v>227</x:v>
      </x:c>
      <x:c r="F1499" s="19" t="s">
        <x:v>11</x:v>
      </x:c>
      <x:c r="G1499" s="20">
        <x:v>0</x:v>
      </x:c>
      <x:c r="H1499" s="21"/>
      <x:c r="I1499" s="21"/>
      <x:c r="J1499" s="22">
        <x:v>0</x:v>
      </x:c>
      <x:c r="K1499" s="22">
        <x:v>0</x:v>
      </x:c>
      <x:c r="L1499" s="23">
        <x:v>0</x:v>
      </x:c>
    </x:row>
    <x:row r="1500">
      <x:c r="A1500" s="18" t="s">
        <x:v>3280</x:v>
      </x:c>
      <x:c r="B1500" s="19" t="s">
        <x:v>3281</x:v>
      </x:c>
      <x:c r="C1500" s="20">
        <x:v>69072100</x:v>
      </x:c>
      <x:c r="D1500" s="20">
        <x:v>0</x:v>
      </x:c>
      <x:c r="E1500" s="18" t="s">
        <x:v>227</x:v>
      </x:c>
      <x:c r="F1500" s="19" t="s">
        <x:v>11</x:v>
      </x:c>
      <x:c r="G1500" s="20">
        <x:v>0</x:v>
      </x:c>
      <x:c r="H1500" s="21"/>
      <x:c r="I1500" s="21"/>
      <x:c r="J1500" s="22">
        <x:v>0</x:v>
      </x:c>
      <x:c r="K1500" s="22">
        <x:v>0</x:v>
      </x:c>
      <x:c r="L1500" s="23">
        <x:v>0</x:v>
      </x:c>
    </x:row>
    <x:row r="1501">
      <x:c r="A1501" s="18" t="s">
        <x:v>3282</x:v>
      </x:c>
      <x:c r="B1501" s="19" t="s">
        <x:v>3283</x:v>
      </x:c>
      <x:c r="C1501" s="20">
        <x:v>69072100</x:v>
      </x:c>
      <x:c r="D1501" s="20">
        <x:v>0</x:v>
      </x:c>
      <x:c r="E1501" s="18" t="s">
        <x:v>227</x:v>
      </x:c>
      <x:c r="F1501" s="19" t="s">
        <x:v>11</x:v>
      </x:c>
      <x:c r="G1501" s="20">
        <x:v>0</x:v>
      </x:c>
      <x:c r="H1501" s="21"/>
      <x:c r="I1501" s="21"/>
      <x:c r="J1501" s="22">
        <x:v>0</x:v>
      </x:c>
      <x:c r="K1501" s="22">
        <x:v>0</x:v>
      </x:c>
      <x:c r="L1501" s="23">
        <x:v>0</x:v>
      </x:c>
    </x:row>
    <x:row r="1502">
      <x:c r="A1502" s="18" t="s">
        <x:v>3284</x:v>
      </x:c>
      <x:c r="B1502" s="19" t="s">
        <x:v>3285</x:v>
      </x:c>
      <x:c r="C1502" s="20">
        <x:v>69072100</x:v>
      </x:c>
      <x:c r="D1502" s="20">
        <x:v>0</x:v>
      </x:c>
      <x:c r="E1502" s="18" t="s">
        <x:v>227</x:v>
      </x:c>
      <x:c r="F1502" s="19" t="s">
        <x:v>11</x:v>
      </x:c>
      <x:c r="G1502" s="20">
        <x:v>0</x:v>
      </x:c>
      <x:c r="H1502" s="21"/>
      <x:c r="I1502" s="21"/>
      <x:c r="J1502" s="22">
        <x:v>0</x:v>
      </x:c>
      <x:c r="K1502" s="22">
        <x:v>0</x:v>
      </x:c>
      <x:c r="L1502" s="23">
        <x:v>0</x:v>
      </x:c>
    </x:row>
    <x:row r="1503">
      <x:c r="A1503" s="18" t="s">
        <x:v>3286</x:v>
      </x:c>
      <x:c r="B1503" s="19" t="s">
        <x:v>3287</x:v>
      </x:c>
      <x:c r="C1503" s="20">
        <x:v>69072100</x:v>
      </x:c>
      <x:c r="D1503" s="20">
        <x:v>0</x:v>
      </x:c>
      <x:c r="E1503" s="18" t="s">
        <x:v>227</x:v>
      </x:c>
      <x:c r="F1503" s="19" t="s">
        <x:v>11</x:v>
      </x:c>
      <x:c r="G1503" s="20">
        <x:v>0</x:v>
      </x:c>
      <x:c r="H1503" s="21"/>
      <x:c r="I1503" s="21"/>
      <x:c r="J1503" s="22">
        <x:v>0</x:v>
      </x:c>
      <x:c r="K1503" s="22">
        <x:v>0</x:v>
      </x:c>
      <x:c r="L1503" s="23">
        <x:v>0</x:v>
      </x:c>
    </x:row>
    <x:row r="1504">
      <x:c r="A1504" s="18" t="s">
        <x:v>3288</x:v>
      </x:c>
      <x:c r="B1504" s="19" t="s">
        <x:v>3289</x:v>
      </x:c>
      <x:c r="C1504" s="20">
        <x:v>69072100</x:v>
      </x:c>
      <x:c r="D1504" s="20">
        <x:v>0</x:v>
      </x:c>
      <x:c r="E1504" s="18" t="s">
        <x:v>227</x:v>
      </x:c>
      <x:c r="F1504" s="19" t="s">
        <x:v>11</x:v>
      </x:c>
      <x:c r="G1504" s="20">
        <x:v>12400</x:v>
      </x:c>
      <x:c r="H1504" s="21"/>
      <x:c r="I1504" s="26" t="s">
        <x:v>3290</x:v>
      </x:c>
      <x:c r="J1504" s="22">
        <x:v>0</x:v>
      </x:c>
      <x:c r="K1504" s="22">
        <x:v>0</x:v>
      </x:c>
      <x:c r="L1504" s="23">
        <x:v>0</x:v>
      </x:c>
    </x:row>
    <x:row r="1505">
      <x:c r="A1505" s="18" t="s">
        <x:v>3291</x:v>
      </x:c>
      <x:c r="B1505" s="19" t="s">
        <x:v>3292</x:v>
      </x:c>
      <x:c r="C1505" s="20">
        <x:v>69072100</x:v>
      </x:c>
      <x:c r="D1505" s="20">
        <x:v>0</x:v>
      </x:c>
      <x:c r="E1505" s="18" t="s">
        <x:v>227</x:v>
      </x:c>
      <x:c r="F1505" s="19" t="s">
        <x:v>11</x:v>
      </x:c>
      <x:c r="G1505" s="20">
        <x:v>0</x:v>
      </x:c>
      <x:c r="H1505" s="21"/>
      <x:c r="I1505" s="21"/>
      <x:c r="J1505" s="22">
        <x:v>0</x:v>
      </x:c>
      <x:c r="K1505" s="22">
        <x:v>0</x:v>
      </x:c>
      <x:c r="L1505" s="23">
        <x:v>0</x:v>
      </x:c>
    </x:row>
    <x:row r="1506">
      <x:c r="A1506" s="18" t="s">
        <x:v>3293</x:v>
      </x:c>
      <x:c r="B1506" s="19" t="s">
        <x:v>3294</x:v>
      </x:c>
      <x:c r="C1506" s="20">
        <x:v>69072100</x:v>
      </x:c>
      <x:c r="D1506" s="20">
        <x:v>4215.66</x:v>
      </x:c>
      <x:c r="E1506" s="18" t="s">
        <x:v>227</x:v>
      </x:c>
      <x:c r="F1506" s="19" t="s">
        <x:v>11</x:v>
      </x:c>
      <x:c r="G1506" s="20">
        <x:v>4215.7</x:v>
      </x:c>
      <x:c r="H1506" s="21"/>
      <x:c r="I1506" s="26" t="s">
        <x:v>3295</x:v>
      </x:c>
      <x:c r="J1506" s="22">
        <x:v>0</x:v>
      </x:c>
      <x:c r="K1506" s="22">
        <x:v>0</x:v>
      </x:c>
      <x:c r="L1506" s="23">
        <x:v>20</x:v>
      </x:c>
    </x:row>
    <x:row r="1507">
      <x:c r="A1507" s="18" t="s">
        <x:v>3296</x:v>
      </x:c>
      <x:c r="B1507" s="19" t="s">
        <x:v>3297</x:v>
      </x:c>
      <x:c r="C1507" s="20">
        <x:v>69072100</x:v>
      </x:c>
      <x:c r="D1507" s="20">
        <x:v>0</x:v>
      </x:c>
      <x:c r="E1507" s="18" t="s">
        <x:v>227</x:v>
      </x:c>
      <x:c r="F1507" s="19" t="s">
        <x:v>11</x:v>
      </x:c>
      <x:c r="G1507" s="20">
        <x:v>0</x:v>
      </x:c>
      <x:c r="H1507" s="21"/>
      <x:c r="I1507" s="21"/>
      <x:c r="J1507" s="22">
        <x:v>0</x:v>
      </x:c>
      <x:c r="K1507" s="22">
        <x:v>0</x:v>
      </x:c>
      <x:c r="L1507" s="23">
        <x:v>0</x:v>
      </x:c>
    </x:row>
    <x:row r="1508">
      <x:c r="A1508" s="18" t="s">
        <x:v>3298</x:v>
      </x:c>
      <x:c r="B1508" s="19" t="s">
        <x:v>3299</x:v>
      </x:c>
      <x:c r="C1508" s="20">
        <x:v>69072100</x:v>
      </x:c>
      <x:c r="D1508" s="20">
        <x:v>0</x:v>
      </x:c>
      <x:c r="E1508" s="18" t="s">
        <x:v>227</x:v>
      </x:c>
      <x:c r="F1508" s="19" t="s">
        <x:v>11</x:v>
      </x:c>
      <x:c r="G1508" s="20">
        <x:v>0</x:v>
      </x:c>
      <x:c r="H1508" s="21"/>
      <x:c r="I1508" s="21"/>
      <x:c r="J1508" s="22">
        <x:v>0</x:v>
      </x:c>
      <x:c r="K1508" s="22">
        <x:v>0</x:v>
      </x:c>
      <x:c r="L1508" s="23">
        <x:v>0</x:v>
      </x:c>
    </x:row>
    <x:row r="1509">
      <x:c r="A1509" s="18" t="s">
        <x:v>3300</x:v>
      </x:c>
      <x:c r="B1509" s="19" t="s">
        <x:v>3301</x:v>
      </x:c>
      <x:c r="C1509" s="20">
        <x:v>69072100</x:v>
      </x:c>
      <x:c r="D1509" s="20">
        <x:v>5580</x:v>
      </x:c>
      <x:c r="E1509" s="18" t="s">
        <x:v>227</x:v>
      </x:c>
      <x:c r="F1509" s="19" t="s">
        <x:v>11</x:v>
      </x:c>
      <x:c r="G1509" s="20">
        <x:v>5580</x:v>
      </x:c>
      <x:c r="H1509" s="21"/>
      <x:c r="I1509" s="26" t="s">
        <x:v>3302</x:v>
      </x:c>
      <x:c r="J1509" s="23">
        <x:v>9</x:v>
      </x:c>
      <x:c r="K1509" s="23">
        <x:v>50220</x:v>
      </x:c>
      <x:c r="L1509" s="23">
        <x:v>3</x:v>
      </x:c>
    </x:row>
    <x:row r="1510">
      <x:c r="A1510" s="18" t="s">
        <x:v>3303</x:v>
      </x:c>
      <x:c r="B1510" s="19" t="s">
        <x:v>3304</x:v>
      </x:c>
      <x:c r="C1510" s="20">
        <x:v>69072100</x:v>
      </x:c>
      <x:c r="D1510" s="20">
        <x:v>3814</x:v>
      </x:c>
      <x:c r="E1510" s="18" t="s">
        <x:v>227</x:v>
      </x:c>
      <x:c r="F1510" s="19" t="s">
        <x:v>11</x:v>
      </x:c>
      <x:c r="G1510" s="20">
        <x:v>0</x:v>
      </x:c>
      <x:c r="H1510" s="21"/>
      <x:c r="I1510" s="21"/>
      <x:c r="J1510" s="23">
        <x:v>1</x:v>
      </x:c>
      <x:c r="K1510" s="23">
        <x:v>3814</x:v>
      </x:c>
      <x:c r="L1510" s="23">
        <x:v>1</x:v>
      </x:c>
    </x:row>
    <x:row r="1511">
      <x:c r="A1511" s="18" t="s">
        <x:v>3305</x:v>
      </x:c>
      <x:c r="B1511" s="19" t="s">
        <x:v>3306</x:v>
      </x:c>
      <x:c r="C1511" s="20">
        <x:v>69072100</x:v>
      </x:c>
      <x:c r="D1511" s="20">
        <x:v>0</x:v>
      </x:c>
      <x:c r="E1511" s="18" t="s">
        <x:v>227</x:v>
      </x:c>
      <x:c r="F1511" s="19" t="s">
        <x:v>11</x:v>
      </x:c>
      <x:c r="G1511" s="20">
        <x:v>0</x:v>
      </x:c>
      <x:c r="H1511" s="21"/>
      <x:c r="I1511" s="21"/>
      <x:c r="J1511" s="22">
        <x:v>0</x:v>
      </x:c>
      <x:c r="K1511" s="22">
        <x:v>0</x:v>
      </x:c>
      <x:c r="L1511" s="23">
        <x:v>0</x:v>
      </x:c>
    </x:row>
    <x:row r="1512">
      <x:c r="A1512" s="18" t="s">
        <x:v>3307</x:v>
      </x:c>
      <x:c r="B1512" s="19" t="s">
        <x:v>3308</x:v>
      </x:c>
      <x:c r="C1512" s="20">
        <x:v>69072100</x:v>
      </x:c>
      <x:c r="D1512" s="20">
        <x:v>0</x:v>
      </x:c>
      <x:c r="E1512" s="18" t="s">
        <x:v>227</x:v>
      </x:c>
      <x:c r="F1512" s="19" t="s">
        <x:v>82</x:v>
      </x:c>
      <x:c r="G1512" s="20">
        <x:v>0</x:v>
      </x:c>
      <x:c r="H1512" s="21"/>
      <x:c r="I1512" s="21"/>
      <x:c r="J1512" s="23">
        <x:v>1</x:v>
      </x:c>
      <x:c r="K1512" s="23">
        <x:v>145361.26</x:v>
      </x:c>
      <x:c r="L1512" s="23">
        <x:v>0</x:v>
      </x:c>
    </x:row>
    <x:row r="1513">
      <x:c r="A1513" s="18" t="s">
        <x:v>3309</x:v>
      </x:c>
      <x:c r="B1513" s="19" t="s">
        <x:v>3310</x:v>
      </x:c>
      <x:c r="C1513" s="20">
        <x:v>69072100</x:v>
      </x:c>
      <x:c r="D1513" s="20">
        <x:v>0</x:v>
      </x:c>
      <x:c r="E1513" s="18" t="s">
        <x:v>227</x:v>
      </x:c>
      <x:c r="F1513" s="19" t="s">
        <x:v>11</x:v>
      </x:c>
      <x:c r="G1513" s="20">
        <x:v>0</x:v>
      </x:c>
      <x:c r="H1513" s="21"/>
      <x:c r="I1513" s="21"/>
      <x:c r="J1513" s="23">
        <x:v>19</x:v>
      </x:c>
      <x:c r="K1513" s="23">
        <x:v>58311</x:v>
      </x:c>
      <x:c r="L1513" s="23">
        <x:v>0</x:v>
      </x:c>
    </x:row>
    <x:row r="1514">
      <x:c r="A1514" s="18" t="s">
        <x:v>3311</x:v>
      </x:c>
      <x:c r="B1514" s="19" t="s">
        <x:v>3312</x:v>
      </x:c>
      <x:c r="C1514" s="20">
        <x:v>69072100</x:v>
      </x:c>
      <x:c r="D1514" s="20">
        <x:v>0</x:v>
      </x:c>
      <x:c r="E1514" s="18" t="s">
        <x:v>227</x:v>
      </x:c>
      <x:c r="F1514" s="19" t="s">
        <x:v>11</x:v>
      </x:c>
      <x:c r="G1514" s="20">
        <x:v>0</x:v>
      </x:c>
      <x:c r="H1514" s="21"/>
      <x:c r="I1514" s="21"/>
      <x:c r="J1514" s="22">
        <x:v>0</x:v>
      </x:c>
      <x:c r="K1514" s="22">
        <x:v>0</x:v>
      </x:c>
      <x:c r="L1514" s="23">
        <x:v>0</x:v>
      </x:c>
    </x:row>
    <x:row r="1515">
      <x:c r="A1515" s="18" t="s">
        <x:v>3313</x:v>
      </x:c>
      <x:c r="B1515" s="19" t="s">
        <x:v>3314</x:v>
      </x:c>
      <x:c r="C1515" s="20">
        <x:v>69072100</x:v>
      </x:c>
      <x:c r="D1515" s="20">
        <x:v>0</x:v>
      </x:c>
      <x:c r="E1515" s="18" t="s">
        <x:v>227</x:v>
      </x:c>
      <x:c r="F1515" s="19" t="s">
        <x:v>11</x:v>
      </x:c>
      <x:c r="G1515" s="20">
        <x:v>0</x:v>
      </x:c>
      <x:c r="H1515" s="21"/>
      <x:c r="I1515" s="21"/>
      <x:c r="J1515" s="22">
        <x:v>0</x:v>
      </x:c>
      <x:c r="K1515" s="22">
        <x:v>0</x:v>
      </x:c>
      <x:c r="L1515" s="23">
        <x:v>0</x:v>
      </x:c>
    </x:row>
    <x:row r="1516">
      <x:c r="A1516" s="18" t="s">
        <x:v>3315</x:v>
      </x:c>
      <x:c r="B1516" s="19" t="s">
        <x:v>3316</x:v>
      </x:c>
      <x:c r="C1516" s="20">
        <x:v>69072100</x:v>
      </x:c>
      <x:c r="D1516" s="20">
        <x:v>0</x:v>
      </x:c>
      <x:c r="E1516" s="18" t="s">
        <x:v>227</x:v>
      </x:c>
      <x:c r="F1516" s="19" t="s">
        <x:v>11</x:v>
      </x:c>
      <x:c r="G1516" s="20">
        <x:v>0</x:v>
      </x:c>
      <x:c r="H1516" s="21"/>
      <x:c r="I1516" s="21"/>
      <x:c r="J1516" s="22">
        <x:v>0</x:v>
      </x:c>
      <x:c r="K1516" s="22">
        <x:v>0</x:v>
      </x:c>
      <x:c r="L1516" s="23">
        <x:v>0</x:v>
      </x:c>
    </x:row>
    <x:row r="1517">
      <x:c r="A1517" s="18" t="s">
        <x:v>3317</x:v>
      </x:c>
      <x:c r="B1517" s="19" t="s">
        <x:v>3318</x:v>
      </x:c>
      <x:c r="C1517" s="20">
        <x:v>69072100</x:v>
      </x:c>
      <x:c r="D1517" s="20">
        <x:v>0</x:v>
      </x:c>
      <x:c r="E1517" s="18" t="s">
        <x:v>227</x:v>
      </x:c>
      <x:c r="F1517" s="19" t="s">
        <x:v>11</x:v>
      </x:c>
      <x:c r="G1517" s="20">
        <x:v>0</x:v>
      </x:c>
      <x:c r="H1517" s="21"/>
      <x:c r="I1517" s="21"/>
      <x:c r="J1517" s="22">
        <x:v>0</x:v>
      </x:c>
      <x:c r="K1517" s="22">
        <x:v>0</x:v>
      </x:c>
      <x:c r="L1517" s="23">
        <x:v>0</x:v>
      </x:c>
    </x:row>
    <x:row r="1518">
      <x:c r="A1518" s="18" t="s">
        <x:v>3319</x:v>
      </x:c>
      <x:c r="B1518" s="19" t="s">
        <x:v>3320</x:v>
      </x:c>
      <x:c r="C1518" s="20">
        <x:v>69072100</x:v>
      </x:c>
      <x:c r="D1518" s="20">
        <x:v>0</x:v>
      </x:c>
      <x:c r="E1518" s="18" t="s">
        <x:v>227</x:v>
      </x:c>
      <x:c r="F1518" s="19" t="s">
        <x:v>11</x:v>
      </x:c>
      <x:c r="G1518" s="20">
        <x:v>0</x:v>
      </x:c>
      <x:c r="H1518" s="21"/>
      <x:c r="I1518" s="21"/>
      <x:c r="J1518" s="22">
        <x:v>0</x:v>
      </x:c>
      <x:c r="K1518" s="22">
        <x:v>0</x:v>
      </x:c>
      <x:c r="L1518" s="23">
        <x:v>0</x:v>
      </x:c>
    </x:row>
    <x:row r="1519">
      <x:c r="A1519" s="18" t="s">
        <x:v>3321</x:v>
      </x:c>
      <x:c r="B1519" s="19" t="s">
        <x:v>3322</x:v>
      </x:c>
      <x:c r="C1519" s="20">
        <x:v>69072100</x:v>
      </x:c>
      <x:c r="D1519" s="20">
        <x:v>0</x:v>
      </x:c>
      <x:c r="E1519" s="18" t="s">
        <x:v>227</x:v>
      </x:c>
      <x:c r="F1519" s="19" t="s">
        <x:v>11</x:v>
      </x:c>
      <x:c r="G1519" s="20">
        <x:v>0</x:v>
      </x:c>
      <x:c r="H1519" s="21"/>
      <x:c r="I1519" s="21"/>
      <x:c r="J1519" s="22">
        <x:v>0</x:v>
      </x:c>
      <x:c r="K1519" s="22">
        <x:v>0</x:v>
      </x:c>
      <x:c r="L1519" s="23">
        <x:v>0</x:v>
      </x:c>
    </x:row>
    <x:row r="1520">
      <x:c r="A1520" s="18" t="s">
        <x:v>3323</x:v>
      </x:c>
      <x:c r="B1520" s="19" t="s">
        <x:v>3324</x:v>
      </x:c>
      <x:c r="C1520" s="20">
        <x:v>69072100</x:v>
      </x:c>
      <x:c r="D1520" s="20">
        <x:v>0</x:v>
      </x:c>
      <x:c r="E1520" s="18" t="s">
        <x:v>227</x:v>
      </x:c>
      <x:c r="F1520" s="19" t="s">
        <x:v>11</x:v>
      </x:c>
      <x:c r="G1520" s="20">
        <x:v>0</x:v>
      </x:c>
      <x:c r="H1520" s="21"/>
      <x:c r="I1520" s="21"/>
      <x:c r="J1520" s="22">
        <x:v>0</x:v>
      </x:c>
      <x:c r="K1520" s="22">
        <x:v>0</x:v>
      </x:c>
      <x:c r="L1520" s="23">
        <x:v>0</x:v>
      </x:c>
    </x:row>
    <x:row r="1521">
      <x:c r="A1521" s="18" t="s">
        <x:v>3325</x:v>
      </x:c>
      <x:c r="B1521" s="19" t="s">
        <x:v>3326</x:v>
      </x:c>
      <x:c r="C1521" s="20">
        <x:v>69072100</x:v>
      </x:c>
      <x:c r="D1521" s="20">
        <x:v>2759</x:v>
      </x:c>
      <x:c r="E1521" s="18" t="s">
        <x:v>227</x:v>
      </x:c>
      <x:c r="F1521" s="19" t="s">
        <x:v>11</x:v>
      </x:c>
      <x:c r="G1521" s="20">
        <x:v>0</x:v>
      </x:c>
      <x:c r="H1521" s="21"/>
      <x:c r="I1521" s="21"/>
      <x:c r="J1521" s="22">
        <x:v>0</x:v>
      </x:c>
      <x:c r="K1521" s="22">
        <x:v>0</x:v>
      </x:c>
      <x:c r="L1521" s="23">
        <x:v>1</x:v>
      </x:c>
    </x:row>
    <x:row r="1522">
      <x:c r="A1522" s="18" t="s">
        <x:v>3327</x:v>
      </x:c>
      <x:c r="B1522" s="19" t="s">
        <x:v>3328</x:v>
      </x:c>
      <x:c r="C1522" s="20">
        <x:v>69072100</x:v>
      </x:c>
      <x:c r="D1522" s="20">
        <x:v>3069</x:v>
      </x:c>
      <x:c r="E1522" s="18" t="s">
        <x:v>227</x:v>
      </x:c>
      <x:c r="F1522" s="19" t="s">
        <x:v>11</x:v>
      </x:c>
      <x:c r="G1522" s="20">
        <x:v>0</x:v>
      </x:c>
      <x:c r="H1522" s="21"/>
      <x:c r="I1522" s="21"/>
      <x:c r="J1522" s="23">
        <x:v>25</x:v>
      </x:c>
      <x:c r="K1522" s="23">
        <x:v>76725</x:v>
      </x:c>
      <x:c r="L1522" s="23">
        <x:v>13</x:v>
      </x:c>
    </x:row>
    <x:row r="1523">
      <x:c r="A1523" s="18" t="s">
        <x:v>3329</x:v>
      </x:c>
      <x:c r="B1523" s="19" t="s">
        <x:v>3330</x:v>
      </x:c>
      <x:c r="C1523" s="20">
        <x:v>69072100</x:v>
      </x:c>
      <x:c r="D1523" s="20">
        <x:v>3580.83</x:v>
      </x:c>
      <x:c r="E1523" s="18" t="s">
        <x:v>227</x:v>
      </x:c>
      <x:c r="F1523" s="19" t="s">
        <x:v>11</x:v>
      </x:c>
      <x:c r="G1523" s="20">
        <x:v>3580.8</x:v>
      </x:c>
      <x:c r="H1523" s="21"/>
      <x:c r="I1523" s="26" t="s">
        <x:v>3331</x:v>
      </x:c>
      <x:c r="J1523" s="22">
        <x:v>0</x:v>
      </x:c>
      <x:c r="K1523" s="22">
        <x:v>0</x:v>
      </x:c>
      <x:c r="L1523" s="23">
        <x:v>20</x:v>
      </x:c>
    </x:row>
    <x:row r="1524">
      <x:c r="A1524" s="18" t="s">
        <x:v>3332</x:v>
      </x:c>
      <x:c r="B1524" s="19" t="s">
        <x:v>3333</x:v>
      </x:c>
      <x:c r="C1524" s="20">
        <x:v>69072100</x:v>
      </x:c>
      <x:c r="D1524" s="20">
        <x:v>3941.99</x:v>
      </x:c>
      <x:c r="E1524" s="18" t="s">
        <x:v>227</x:v>
      </x:c>
      <x:c r="F1524" s="19" t="s">
        <x:v>11</x:v>
      </x:c>
      <x:c r="G1524" s="20">
        <x:v>3942</x:v>
      </x:c>
      <x:c r="H1524" s="21"/>
      <x:c r="I1524" s="26" t="s">
        <x:v>3331</x:v>
      </x:c>
      <x:c r="J1524" s="22">
        <x:v>0</x:v>
      </x:c>
      <x:c r="K1524" s="22">
        <x:v>0</x:v>
      </x:c>
      <x:c r="L1524" s="23">
        <x:v>29</x:v>
      </x:c>
    </x:row>
    <x:row r="1525">
      <x:c r="A1525" s="18" t="s">
        <x:v>3334</x:v>
      </x:c>
      <x:c r="B1525" s="19" t="s">
        <x:v>3335</x:v>
      </x:c>
      <x:c r="C1525" s="20">
        <x:v>69072100</x:v>
      </x:c>
      <x:c r="D1525" s="20">
        <x:v>3401.79</x:v>
      </x:c>
      <x:c r="E1525" s="18" t="s">
        <x:v>227</x:v>
      </x:c>
      <x:c r="F1525" s="19" t="s">
        <x:v>11</x:v>
      </x:c>
      <x:c r="G1525" s="20">
        <x:v>0</x:v>
      </x:c>
      <x:c r="H1525" s="21"/>
      <x:c r="I1525" s="21"/>
      <x:c r="J1525" s="23">
        <x:v>4</x:v>
      </x:c>
      <x:c r="K1525" s="23">
        <x:v>13607.15</x:v>
      </x:c>
      <x:c r="L1525" s="23">
        <x:v>2</x:v>
      </x:c>
    </x:row>
    <x:row r="1526">
      <x:c r="A1526" s="18" t="s">
        <x:v>3336</x:v>
      </x:c>
      <x:c r="B1526" s="19" t="s">
        <x:v>3337</x:v>
      </x:c>
      <x:c r="C1526" s="20">
        <x:v>69072100</x:v>
      </x:c>
      <x:c r="D1526" s="20">
        <x:v>3580.83</x:v>
      </x:c>
      <x:c r="E1526" s="18" t="s">
        <x:v>227</x:v>
      </x:c>
      <x:c r="F1526" s="19" t="s">
        <x:v>11</x:v>
      </x:c>
      <x:c r="G1526" s="20">
        <x:v>3580.8</x:v>
      </x:c>
      <x:c r="H1526" s="21"/>
      <x:c r="I1526" s="26" t="s">
        <x:v>3331</x:v>
      </x:c>
      <x:c r="J1526" s="22">
        <x:v>0</x:v>
      </x:c>
      <x:c r="K1526" s="22">
        <x:v>0</x:v>
      </x:c>
      <x:c r="L1526" s="23">
        <x:v>17</x:v>
      </x:c>
    </x:row>
    <x:row r="1527">
      <x:c r="A1527" s="18" t="s">
        <x:v>3338</x:v>
      </x:c>
      <x:c r="B1527" s="19" t="s">
        <x:v>3339</x:v>
      </x:c>
      <x:c r="C1527" s="20">
        <x:v>69072100</x:v>
      </x:c>
      <x:c r="D1527" s="20">
        <x:v>3580.83</x:v>
      </x:c>
      <x:c r="E1527" s="18" t="s">
        <x:v>227</x:v>
      </x:c>
      <x:c r="F1527" s="19" t="s">
        <x:v>11</x:v>
      </x:c>
      <x:c r="G1527" s="20">
        <x:v>3580.8</x:v>
      </x:c>
      <x:c r="H1527" s="21"/>
      <x:c r="I1527" s="26" t="s">
        <x:v>3331</x:v>
      </x:c>
      <x:c r="J1527" s="22">
        <x:v>0</x:v>
      </x:c>
      <x:c r="K1527" s="22">
        <x:v>0</x:v>
      </x:c>
      <x:c r="L1527" s="23">
        <x:v>20</x:v>
      </x:c>
    </x:row>
    <x:row r="1528">
      <x:c r="A1528" s="18" t="s">
        <x:v>3340</x:v>
      </x:c>
      <x:c r="B1528" s="19" t="s">
        <x:v>3341</x:v>
      </x:c>
      <x:c r="C1528" s="20">
        <x:v>69072100</x:v>
      </x:c>
      <x:c r="D1528" s="20">
        <x:v>3069</x:v>
      </x:c>
      <x:c r="E1528" s="18" t="s">
        <x:v>227</x:v>
      </x:c>
      <x:c r="F1528" s="19" t="s">
        <x:v>11</x:v>
      </x:c>
      <x:c r="G1528" s="20">
        <x:v>0</x:v>
      </x:c>
      <x:c r="H1528" s="21"/>
      <x:c r="I1528" s="21"/>
      <x:c r="J1528" s="23">
        <x:v>15</x:v>
      </x:c>
      <x:c r="K1528" s="23">
        <x:v>46035</x:v>
      </x:c>
      <x:c r="L1528" s="23">
        <x:v>11</x:v>
      </x:c>
    </x:row>
    <x:row r="1529">
      <x:c r="A1529" s="18" t="s">
        <x:v>3342</x:v>
      </x:c>
      <x:c r="B1529" s="19" t="s">
        <x:v>3343</x:v>
      </x:c>
      <x:c r="C1529" s="20">
        <x:v>69072100</x:v>
      </x:c>
      <x:c r="D1529" s="20">
        <x:v>3870.19</x:v>
      </x:c>
      <x:c r="E1529" s="18" t="s">
        <x:v>227</x:v>
      </x:c>
      <x:c r="F1529" s="19" t="s">
        <x:v>11</x:v>
      </x:c>
      <x:c r="G1529" s="20">
        <x:v>3580.8</x:v>
      </x:c>
      <x:c r="H1529" s="21"/>
      <x:c r="I1529" s="26" t="s">
        <x:v>3331</x:v>
      </x:c>
      <x:c r="J1529" s="22">
        <x:v>0</x:v>
      </x:c>
      <x:c r="K1529" s="22">
        <x:v>0</x:v>
      </x:c>
      <x:c r="L1529" s="23">
        <x:v>22</x:v>
      </x:c>
    </x:row>
    <x:row r="1530">
      <x:c r="A1530" s="18" t="s">
        <x:v>3344</x:v>
      </x:c>
      <x:c r="B1530" s="19" t="s">
        <x:v>3345</x:v>
      </x:c>
      <x:c r="C1530" s="20">
        <x:v>69072100</x:v>
      </x:c>
      <x:c r="D1530" s="20">
        <x:v>3942.21</x:v>
      </x:c>
      <x:c r="E1530" s="18" t="s">
        <x:v>227</x:v>
      </x:c>
      <x:c r="F1530" s="19" t="s">
        <x:v>11</x:v>
      </x:c>
      <x:c r="G1530" s="20">
        <x:v>0</x:v>
      </x:c>
      <x:c r="H1530" s="21"/>
      <x:c r="I1530" s="21"/>
      <x:c r="J1530" s="23">
        <x:v>31</x:v>
      </x:c>
      <x:c r="K1530" s="23">
        <x:v>122208.51</x:v>
      </x:c>
      <x:c r="L1530" s="23">
        <x:v>25</x:v>
      </x:c>
    </x:row>
    <x:row r="1531">
      <x:c r="A1531" s="18" t="s">
        <x:v>3346</x:v>
      </x:c>
      <x:c r="B1531" s="19" t="s">
        <x:v>3347</x:v>
      </x:c>
      <x:c r="C1531" s="20">
        <x:v>69072100</x:v>
      </x:c>
      <x:c r="D1531" s="20">
        <x:v>3069</x:v>
      </x:c>
      <x:c r="E1531" s="18" t="s">
        <x:v>227</x:v>
      </x:c>
      <x:c r="F1531" s="19" t="s">
        <x:v>11</x:v>
      </x:c>
      <x:c r="G1531" s="20">
        <x:v>0</x:v>
      </x:c>
      <x:c r="H1531" s="21"/>
      <x:c r="I1531" s="21"/>
      <x:c r="J1531" s="23">
        <x:v>13</x:v>
      </x:c>
      <x:c r="K1531" s="23">
        <x:v>39897</x:v>
      </x:c>
      <x:c r="L1531" s="23">
        <x:v>10</x:v>
      </x:c>
    </x:row>
    <x:row r="1532">
      <x:c r="A1532" s="18" t="s">
        <x:v>3348</x:v>
      </x:c>
      <x:c r="B1532" s="19" t="s">
        <x:v>3349</x:v>
      </x:c>
      <x:c r="C1532" s="20">
        <x:v>69072100</x:v>
      </x:c>
      <x:c r="D1532" s="20">
        <x:v>3069</x:v>
      </x:c>
      <x:c r="E1532" s="18" t="s">
        <x:v>227</x:v>
      </x:c>
      <x:c r="F1532" s="19" t="s">
        <x:v>11</x:v>
      </x:c>
      <x:c r="G1532" s="20">
        <x:v>0</x:v>
      </x:c>
      <x:c r="H1532" s="21"/>
      <x:c r="I1532" s="21"/>
      <x:c r="J1532" s="23">
        <x:v>7</x:v>
      </x:c>
      <x:c r="K1532" s="23">
        <x:v>21483</x:v>
      </x:c>
      <x:c r="L1532" s="23">
        <x:v>2</x:v>
      </x:c>
    </x:row>
    <x:row r="1533">
      <x:c r="A1533" s="18" t="s">
        <x:v>3350</x:v>
      </x:c>
      <x:c r="B1533" s="19" t="s">
        <x:v>3351</x:v>
      </x:c>
      <x:c r="C1533" s="20">
        <x:v>69072100</x:v>
      </x:c>
      <x:c r="D1533" s="20">
        <x:v>3870.19</x:v>
      </x:c>
      <x:c r="E1533" s="18" t="s">
        <x:v>227</x:v>
      </x:c>
      <x:c r="F1533" s="19" t="s">
        <x:v>11</x:v>
      </x:c>
      <x:c r="G1533" s="20">
        <x:v>3580.8</x:v>
      </x:c>
      <x:c r="H1533" s="21"/>
      <x:c r="I1533" s="26" t="s">
        <x:v>3331</x:v>
      </x:c>
      <x:c r="J1533" s="22">
        <x:v>0</x:v>
      </x:c>
      <x:c r="K1533" s="22">
        <x:v>0</x:v>
      </x:c>
      <x:c r="L1533" s="23">
        <x:v>117</x:v>
      </x:c>
    </x:row>
    <x:row r="1534">
      <x:c r="A1534" s="18" t="s">
        <x:v>3352</x:v>
      </x:c>
      <x:c r="B1534" s="19" t="s">
        <x:v>3353</x:v>
      </x:c>
      <x:c r="C1534" s="20">
        <x:v>69072100</x:v>
      </x:c>
      <x:c r="D1534" s="20">
        <x:v>4122.8100000000004</x:v>
      </x:c>
      <x:c r="E1534" s="18" t="s">
        <x:v>227</x:v>
      </x:c>
      <x:c r="F1534" s="19" t="s">
        <x:v>11</x:v>
      </x:c>
      <x:c r="G1534" s="20">
        <x:v>4122.8</x:v>
      </x:c>
      <x:c r="H1534" s="21"/>
      <x:c r="I1534" s="26" t="s">
        <x:v>3331</x:v>
      </x:c>
      <x:c r="J1534" s="23">
        <x:v>110</x:v>
      </x:c>
      <x:c r="K1534" s="23">
        <x:v>433639.58</x:v>
      </x:c>
      <x:c r="L1534" s="23">
        <x:v>110</x:v>
      </x:c>
    </x:row>
    <x:row r="1535">
      <x:c r="A1535" s="18" t="s">
        <x:v>3354</x:v>
      </x:c>
      <x:c r="B1535" s="19" t="s">
        <x:v>3355</x:v>
      </x:c>
      <x:c r="C1535" s="20">
        <x:v>69072100</x:v>
      </x:c>
      <x:c r="D1535" s="20">
        <x:v>7776.55</x:v>
      </x:c>
      <x:c r="E1535" s="18" t="s">
        <x:v>227</x:v>
      </x:c>
      <x:c r="F1535" s="19" t="s">
        <x:v>11</x:v>
      </x:c>
      <x:c r="G1535" s="20">
        <x:v>7776.6</x:v>
      </x:c>
      <x:c r="H1535" s="21"/>
      <x:c r="I1535" s="26" t="s">
        <x:v>3331</x:v>
      </x:c>
      <x:c r="J1535" s="22">
        <x:v>0</x:v>
      </x:c>
      <x:c r="K1535" s="22">
        <x:v>0</x:v>
      </x:c>
      <x:c r="L1535" s="23">
        <x:v>1</x:v>
      </x:c>
    </x:row>
    <x:row r="1536">
      <x:c r="A1536" s="18" t="s">
        <x:v>3356</x:v>
      </x:c>
      <x:c r="B1536" s="19" t="s">
        <x:v>3357</x:v>
      </x:c>
      <x:c r="C1536" s="20">
        <x:v>69072100</x:v>
      </x:c>
      <x:c r="D1536" s="20">
        <x:v>3870.19</x:v>
      </x:c>
      <x:c r="E1536" s="18" t="s">
        <x:v>227</x:v>
      </x:c>
      <x:c r="F1536" s="19" t="s">
        <x:v>11</x:v>
      </x:c>
      <x:c r="G1536" s="20">
        <x:v>3580.8</x:v>
      </x:c>
      <x:c r="H1536" s="21"/>
      <x:c r="I1536" s="26" t="s">
        <x:v>3331</x:v>
      </x:c>
      <x:c r="J1536" s="22">
        <x:v>0</x:v>
      </x:c>
      <x:c r="K1536" s="22">
        <x:v>0</x:v>
      </x:c>
      <x:c r="L1536" s="23">
        <x:v>195</x:v>
      </x:c>
    </x:row>
    <x:row r="1537">
      <x:c r="A1537" s="18" t="s">
        <x:v>3358</x:v>
      </x:c>
      <x:c r="B1537" s="19" t="s">
        <x:v>3359</x:v>
      </x:c>
      <x:c r="C1537" s="20">
        <x:v>69072100</x:v>
      </x:c>
      <x:c r="D1537" s="20">
        <x:v>4122.8100000000004</x:v>
      </x:c>
      <x:c r="E1537" s="18" t="s">
        <x:v>227</x:v>
      </x:c>
      <x:c r="F1537" s="19" t="s">
        <x:v>11</x:v>
      </x:c>
      <x:c r="G1537" s="20">
        <x:v>3942</x:v>
      </x:c>
      <x:c r="H1537" s="21"/>
      <x:c r="I1537" s="26" t="s">
        <x:v>3331</x:v>
      </x:c>
      <x:c r="J1537" s="23">
        <x:v>195</x:v>
      </x:c>
      <x:c r="K1537" s="23">
        <x:v>768730.95</x:v>
      </x:c>
      <x:c r="L1537" s="23">
        <x:v>149</x:v>
      </x:c>
    </x:row>
    <x:row r="1538">
      <x:c r="A1538" s="18" t="s">
        <x:v>3360</x:v>
      </x:c>
      <x:c r="B1538" s="19" t="s">
        <x:v>3361</x:v>
      </x:c>
      <x:c r="C1538" s="20">
        <x:v>69072100</x:v>
      </x:c>
      <x:c r="D1538" s="20">
        <x:v>3401.79</x:v>
      </x:c>
      <x:c r="E1538" s="18" t="s">
        <x:v>227</x:v>
      </x:c>
      <x:c r="F1538" s="19" t="s">
        <x:v>11</x:v>
      </x:c>
      <x:c r="G1538" s="20">
        <x:v>0</x:v>
      </x:c>
      <x:c r="H1538" s="21"/>
      <x:c r="I1538" s="21"/>
      <x:c r="J1538" s="23">
        <x:v>3</x:v>
      </x:c>
      <x:c r="K1538" s="23">
        <x:v>10205.370000000001</x:v>
      </x:c>
      <x:c r="L1538" s="23">
        <x:v>1</x:v>
      </x:c>
    </x:row>
    <x:row r="1539">
      <x:c r="A1539" s="18" t="s">
        <x:v>3362</x:v>
      </x:c>
      <x:c r="B1539" s="19" t="s">
        <x:v>3363</x:v>
      </x:c>
      <x:c r="C1539" s="20">
        <x:v>69072100</x:v>
      </x:c>
      <x:c r="D1539" s="20">
        <x:v>3870.19</x:v>
      </x:c>
      <x:c r="E1539" s="18" t="s">
        <x:v>227</x:v>
      </x:c>
      <x:c r="F1539" s="19" t="s">
        <x:v>11</x:v>
      </x:c>
      <x:c r="G1539" s="20">
        <x:v>0</x:v>
      </x:c>
      <x:c r="H1539" s="21"/>
      <x:c r="I1539" s="21"/>
      <x:c r="J1539" s="22">
        <x:v>0</x:v>
      </x:c>
      <x:c r="K1539" s="22">
        <x:v>0</x:v>
      </x:c>
      <x:c r="L1539" s="23">
        <x:v>6</x:v>
      </x:c>
    </x:row>
    <x:row r="1540">
      <x:c r="A1540" s="18" t="s">
        <x:v>3364</x:v>
      </x:c>
      <x:c r="B1540" s="19" t="s">
        <x:v>3365</x:v>
      </x:c>
      <x:c r="C1540" s="20">
        <x:v>69072100</x:v>
      </x:c>
      <x:c r="D1540" s="20">
        <x:v>4122.8100000000004</x:v>
      </x:c>
      <x:c r="E1540" s="18" t="s">
        <x:v>227</x:v>
      </x:c>
      <x:c r="F1540" s="19" t="s">
        <x:v>11</x:v>
      </x:c>
      <x:c r="G1540" s="20">
        <x:v>4122.8</x:v>
      </x:c>
      <x:c r="H1540" s="21"/>
      <x:c r="I1540" s="26" t="s">
        <x:v>3331</x:v>
      </x:c>
      <x:c r="J1540" s="22">
        <x:v>0</x:v>
      </x:c>
      <x:c r="K1540" s="22">
        <x:v>0</x:v>
      </x:c>
      <x:c r="L1540" s="23">
        <x:v>20</x:v>
      </x:c>
    </x:row>
    <x:row r="1541">
      <x:c r="A1541" s="18" t="s">
        <x:v>3366</x:v>
      </x:c>
      <x:c r="B1541" s="19" t="s">
        <x:v>3367</x:v>
      </x:c>
      <x:c r="C1541" s="20">
        <x:v>69072100</x:v>
      </x:c>
      <x:c r="D1541" s="20">
        <x:v>3870.19</x:v>
      </x:c>
      <x:c r="E1541" s="18" t="s">
        <x:v>227</x:v>
      </x:c>
      <x:c r="F1541" s="19" t="s">
        <x:v>11</x:v>
      </x:c>
      <x:c r="G1541" s="20">
        <x:v>3580.8</x:v>
      </x:c>
      <x:c r="H1541" s="21"/>
      <x:c r="I1541" s="26" t="s">
        <x:v>3331</x:v>
      </x:c>
      <x:c r="J1541" s="22">
        <x:v>0</x:v>
      </x:c>
      <x:c r="K1541" s="22">
        <x:v>0</x:v>
      </x:c>
      <x:c r="L1541" s="23">
        <x:v>171</x:v>
      </x:c>
    </x:row>
    <x:row r="1542">
      <x:c r="A1542" s="18" t="s">
        <x:v>3368</x:v>
      </x:c>
      <x:c r="B1542" s="19" t="s">
        <x:v>3369</x:v>
      </x:c>
      <x:c r="C1542" s="20">
        <x:v>69072100</x:v>
      </x:c>
      <x:c r="D1542" s="20">
        <x:v>4122.8100000000004</x:v>
      </x:c>
      <x:c r="E1542" s="18" t="s">
        <x:v>227</x:v>
      </x:c>
      <x:c r="F1542" s="19" t="s">
        <x:v>11</x:v>
      </x:c>
      <x:c r="G1542" s="20">
        <x:v>3942</x:v>
      </x:c>
      <x:c r="H1542" s="21"/>
      <x:c r="I1542" s="26" t="s">
        <x:v>3331</x:v>
      </x:c>
      <x:c r="J1542" s="23">
        <x:v>84</x:v>
      </x:c>
      <x:c r="K1542" s="23">
        <x:v>331131.12</x:v>
      </x:c>
      <x:c r="L1542" s="23">
        <x:v>118</x:v>
      </x:c>
    </x:row>
    <x:row r="1543">
      <x:c r="A1543" s="18" t="s">
        <x:v>3370</x:v>
      </x:c>
      <x:c r="B1543" s="19" t="s">
        <x:v>3371</x:v>
      </x:c>
      <x:c r="C1543" s="20">
        <x:v>69072100</x:v>
      </x:c>
      <x:c r="D1543" s="20">
        <x:v>0</x:v>
      </x:c>
      <x:c r="E1543" s="18" t="s">
        <x:v>227</x:v>
      </x:c>
      <x:c r="F1543" s="19" t="s">
        <x:v>11</x:v>
      </x:c>
      <x:c r="G1543" s="20">
        <x:v>0</x:v>
      </x:c>
      <x:c r="H1543" s="21"/>
      <x:c r="I1543" s="21"/>
      <x:c r="J1543" s="23">
        <x:v>1</x:v>
      </x:c>
      <x:c r="K1543" s="23">
        <x:v>3401.79</x:v>
      </x:c>
      <x:c r="L1543" s="23">
        <x:v>0</x:v>
      </x:c>
    </x:row>
    <x:row r="1544">
      <x:c r="A1544" s="18" t="s">
        <x:v>3372</x:v>
      </x:c>
      <x:c r="B1544" s="19" t="s">
        <x:v>3373</x:v>
      </x:c>
      <x:c r="C1544" s="20">
        <x:v>69072100</x:v>
      </x:c>
      <x:c r="D1544" s="20">
        <x:v>0</x:v>
      </x:c>
      <x:c r="E1544" s="18" t="s">
        <x:v>227</x:v>
      </x:c>
      <x:c r="F1544" s="19" t="s">
        <x:v>11</x:v>
      </x:c>
      <x:c r="G1544" s="20">
        <x:v>0</x:v>
      </x:c>
      <x:c r="H1544" s="21"/>
      <x:c r="I1544" s="21"/>
      <x:c r="J1544" s="22">
        <x:v>0</x:v>
      </x:c>
      <x:c r="K1544" s="22">
        <x:v>0</x:v>
      </x:c>
      <x:c r="L1544" s="23">
        <x:v>0</x:v>
      </x:c>
    </x:row>
    <x:row r="1545">
      <x:c r="A1545" s="18" t="s">
        <x:v>3374</x:v>
      </x:c>
      <x:c r="B1545" s="19" t="s">
        <x:v>3375</x:v>
      </x:c>
      <x:c r="C1545" s="20">
        <x:v>69072100</x:v>
      </x:c>
      <x:c r="D1545" s="20">
        <x:v>3401.79</x:v>
      </x:c>
      <x:c r="E1545" s="18" t="s">
        <x:v>227</x:v>
      </x:c>
      <x:c r="F1545" s="19" t="s">
        <x:v>11</x:v>
      </x:c>
      <x:c r="G1545" s="20">
        <x:v>0</x:v>
      </x:c>
      <x:c r="H1545" s="21"/>
      <x:c r="I1545" s="21"/>
      <x:c r="J1545" s="23">
        <x:v>4</x:v>
      </x:c>
      <x:c r="K1545" s="23">
        <x:v>13607.16</x:v>
      </x:c>
      <x:c r="L1545" s="23">
        <x:v>2</x:v>
      </x:c>
    </x:row>
    <x:row r="1546">
      <x:c r="A1546" s="18" t="s">
        <x:v>3376</x:v>
      </x:c>
      <x:c r="B1546" s="19" t="s">
        <x:v>3377</x:v>
      </x:c>
      <x:c r="C1546" s="20">
        <x:v>69072100</x:v>
      </x:c>
      <x:c r="D1546" s="20">
        <x:v>3870.19</x:v>
      </x:c>
      <x:c r="E1546" s="18" t="s">
        <x:v>227</x:v>
      </x:c>
      <x:c r="F1546" s="19" t="s">
        <x:v>11</x:v>
      </x:c>
      <x:c r="G1546" s="20">
        <x:v>3580.8</x:v>
      </x:c>
      <x:c r="H1546" s="21"/>
      <x:c r="I1546" s="26" t="s">
        <x:v>3331</x:v>
      </x:c>
      <x:c r="J1546" s="22">
        <x:v>0</x:v>
      </x:c>
      <x:c r="K1546" s="22">
        <x:v>0</x:v>
      </x:c>
      <x:c r="L1546" s="23">
        <x:v>6</x:v>
      </x:c>
    </x:row>
    <x:row r="1547">
      <x:c r="A1547" s="18" t="s">
        <x:v>3378</x:v>
      </x:c>
      <x:c r="B1547" s="19" t="s">
        <x:v>3379</x:v>
      </x:c>
      <x:c r="C1547" s="20">
        <x:v>69072100</x:v>
      </x:c>
      <x:c r="D1547" s="20">
        <x:v>3580.83</x:v>
      </x:c>
      <x:c r="E1547" s="18" t="s">
        <x:v>227</x:v>
      </x:c>
      <x:c r="F1547" s="19" t="s">
        <x:v>11</x:v>
      </x:c>
      <x:c r="G1547" s="20">
        <x:v>3580.8</x:v>
      </x:c>
      <x:c r="H1547" s="21"/>
      <x:c r="I1547" s="26" t="s">
        <x:v>3331</x:v>
      </x:c>
      <x:c r="J1547" s="22">
        <x:v>0</x:v>
      </x:c>
      <x:c r="K1547" s="22">
        <x:v>0</x:v>
      </x:c>
      <x:c r="L1547" s="23">
        <x:v>10</x:v>
      </x:c>
    </x:row>
    <x:row r="1548">
      <x:c r="A1548" s="18" t="s">
        <x:v>3380</x:v>
      </x:c>
      <x:c r="B1548" s="19" t="s">
        <x:v>3381</x:v>
      </x:c>
      <x:c r="C1548" s="20">
        <x:v>69072100</x:v>
      </x:c>
      <x:c r="D1548" s="20">
        <x:v>3870.19</x:v>
      </x:c>
      <x:c r="E1548" s="18" t="s">
        <x:v>227</x:v>
      </x:c>
      <x:c r="F1548" s="19" t="s">
        <x:v>11</x:v>
      </x:c>
      <x:c r="G1548" s="20">
        <x:v>3580.8</x:v>
      </x:c>
      <x:c r="H1548" s="21"/>
      <x:c r="I1548" s="26" t="s">
        <x:v>3331</x:v>
      </x:c>
      <x:c r="J1548" s="22">
        <x:v>0</x:v>
      </x:c>
      <x:c r="K1548" s="22">
        <x:v>0</x:v>
      </x:c>
      <x:c r="L1548" s="23">
        <x:v>58</x:v>
      </x:c>
    </x:row>
    <x:row r="1549">
      <x:c r="A1549" s="18" t="s">
        <x:v>3382</x:v>
      </x:c>
      <x:c r="B1549" s="19" t="s">
        <x:v>3383</x:v>
      </x:c>
      <x:c r="C1549" s="20">
        <x:v>69072100</x:v>
      </x:c>
      <x:c r="D1549" s="20">
        <x:v>3941.99</x:v>
      </x:c>
      <x:c r="E1549" s="18" t="s">
        <x:v>227</x:v>
      </x:c>
      <x:c r="F1549" s="19" t="s">
        <x:v>11</x:v>
      </x:c>
      <x:c r="G1549" s="20">
        <x:v>0</x:v>
      </x:c>
      <x:c r="H1549" s="21"/>
      <x:c r="I1549" s="21"/>
      <x:c r="J1549" s="23">
        <x:v>52</x:v>
      </x:c>
      <x:c r="K1549" s="23">
        <x:v>204994.48</x:v>
      </x:c>
      <x:c r="L1549" s="23">
        <x:v>53</x:v>
      </x:c>
    </x:row>
    <x:row r="1550">
      <x:c r="A1550" s="18" t="s">
        <x:v>3384</x:v>
      </x:c>
      <x:c r="B1550" s="19" t="s">
        <x:v>3385</x:v>
      </x:c>
      <x:c r="C1550" s="20">
        <x:v>69072100</x:v>
      </x:c>
      <x:c r="D1550" s="20">
        <x:v>3401.79</x:v>
      </x:c>
      <x:c r="E1550" s="18" t="s">
        <x:v>227</x:v>
      </x:c>
      <x:c r="F1550" s="19" t="s">
        <x:v>11</x:v>
      </x:c>
      <x:c r="G1550" s="20">
        <x:v>0</x:v>
      </x:c>
      <x:c r="H1550" s="21"/>
      <x:c r="I1550" s="21"/>
      <x:c r="J1550" s="23">
        <x:v>4</x:v>
      </x:c>
      <x:c r="K1550" s="23">
        <x:v>13607.15</x:v>
      </x:c>
      <x:c r="L1550" s="23">
        <x:v>2</x:v>
      </x:c>
    </x:row>
    <x:row r="1551">
      <x:c r="A1551" s="18" t="s">
        <x:v>3386</x:v>
      </x:c>
      <x:c r="B1551" s="19" t="s">
        <x:v>3387</x:v>
      </x:c>
      <x:c r="C1551" s="20">
        <x:v>69072100</x:v>
      </x:c>
      <x:c r="D1551" s="20">
        <x:v>2759</x:v>
      </x:c>
      <x:c r="E1551" s="18" t="s">
        <x:v>227</x:v>
      </x:c>
      <x:c r="F1551" s="19" t="s">
        <x:v>11</x:v>
      </x:c>
      <x:c r="G1551" s="20">
        <x:v>0</x:v>
      </x:c>
      <x:c r="H1551" s="21"/>
      <x:c r="I1551" s="21"/>
      <x:c r="J1551" s="22">
        <x:v>0</x:v>
      </x:c>
      <x:c r="K1551" s="22">
        <x:v>0</x:v>
      </x:c>
      <x:c r="L1551" s="23">
        <x:v>1</x:v>
      </x:c>
    </x:row>
    <x:row r="1552">
      <x:c r="A1552" s="18" t="s">
        <x:v>3388</x:v>
      </x:c>
      <x:c r="B1552" s="19" t="s">
        <x:v>3389</x:v>
      </x:c>
      <x:c r="C1552" s="20">
        <x:v>69072100</x:v>
      </x:c>
      <x:c r="D1552" s="20">
        <x:v>3580.83</x:v>
      </x:c>
      <x:c r="E1552" s="18" t="s">
        <x:v>227</x:v>
      </x:c>
      <x:c r="F1552" s="19" t="s">
        <x:v>11</x:v>
      </x:c>
      <x:c r="G1552" s="20">
        <x:v>3580.8</x:v>
      </x:c>
      <x:c r="H1552" s="21"/>
      <x:c r="I1552" s="26" t="s">
        <x:v>3331</x:v>
      </x:c>
      <x:c r="J1552" s="22">
        <x:v>0</x:v>
      </x:c>
      <x:c r="K1552" s="22">
        <x:v>0</x:v>
      </x:c>
      <x:c r="L1552" s="23">
        <x:v>5</x:v>
      </x:c>
    </x:row>
    <x:row r="1553">
      <x:c r="A1553" s="18" t="s">
        <x:v>3390</x:v>
      </x:c>
      <x:c r="B1553" s="19" t="s">
        <x:v>3391</x:v>
      </x:c>
      <x:c r="C1553" s="20">
        <x:v>69072100</x:v>
      </x:c>
      <x:c r="D1553" s="20">
        <x:v>0</x:v>
      </x:c>
      <x:c r="E1553" s="18" t="s">
        <x:v>227</x:v>
      </x:c>
      <x:c r="F1553" s="19" t="s">
        <x:v>11</x:v>
      </x:c>
      <x:c r="G1553" s="20">
        <x:v>0</x:v>
      </x:c>
      <x:c r="H1553" s="21"/>
      <x:c r="I1553" s="21"/>
      <x:c r="J1553" s="22">
        <x:v>0</x:v>
      </x:c>
      <x:c r="K1553" s="22">
        <x:v>0</x:v>
      </x:c>
      <x:c r="L1553" s="23">
        <x:v>0</x:v>
      </x:c>
    </x:row>
    <x:row r="1554">
      <x:c r="A1554" s="18" t="s">
        <x:v>3392</x:v>
      </x:c>
      <x:c r="B1554" s="19" t="s">
        <x:v>3393</x:v>
      </x:c>
      <x:c r="C1554" s="20">
        <x:v>69072100</x:v>
      </x:c>
      <x:c r="D1554" s="20">
        <x:v>259.63</x:v>
      </x:c>
      <x:c r="E1554" s="18" t="s">
        <x:v>227</x:v>
      </x:c>
      <x:c r="F1554" s="19" t="s">
        <x:v>11</x:v>
      </x:c>
      <x:c r="G1554" s="20">
        <x:v>205.38</x:v>
      </x:c>
      <x:c r="H1554" s="21"/>
      <x:c r="I1554" s="26" t="s">
        <x:v>3394</x:v>
      </x:c>
      <x:c r="J1554" s="23">
        <x:v>88</x:v>
      </x:c>
      <x:c r="K1554" s="23">
        <x:v>18073</x:v>
      </x:c>
      <x:c r="L1554" s="23">
        <x:v>448</x:v>
      </x:c>
    </x:row>
    <x:row r="1555">
      <x:c r="A1555" s="18" t="s">
        <x:v>3395</x:v>
      </x:c>
      <x:c r="B1555" s="19" t="s">
        <x:v>3396</x:v>
      </x:c>
      <x:c r="C1555" s="20">
        <x:v>69072100</x:v>
      </x:c>
      <x:c r="D1555" s="20">
        <x:v>0</x:v>
      </x:c>
      <x:c r="E1555" s="18" t="s">
        <x:v>227</x:v>
      </x:c>
      <x:c r="F1555" s="19" t="s">
        <x:v>11</x:v>
      </x:c>
      <x:c r="G1555" s="20">
        <x:v>0</x:v>
      </x:c>
      <x:c r="H1555" s="21"/>
      <x:c r="I1555" s="21"/>
      <x:c r="J1555" s="22">
        <x:v>0</x:v>
      </x:c>
      <x:c r="K1555" s="22">
        <x:v>0</x:v>
      </x:c>
      <x:c r="L1555" s="23">
        <x:v>0</x:v>
      </x:c>
    </x:row>
    <x:row r="1556">
      <x:c r="A1556" s="18" t="s">
        <x:v>3397</x:v>
      </x:c>
      <x:c r="B1556" s="19" t="s">
        <x:v>3398</x:v>
      </x:c>
      <x:c r="C1556" s="20">
        <x:v>69072100</x:v>
      </x:c>
      <x:c r="D1556" s="20">
        <x:v>2015</x:v>
      </x:c>
      <x:c r="E1556" s="18" t="s">
        <x:v>227</x:v>
      </x:c>
      <x:c r="F1556" s="19" t="s">
        <x:v>11</x:v>
      </x:c>
      <x:c r="G1556" s="20">
        <x:v>0</x:v>
      </x:c>
      <x:c r="H1556" s="21"/>
      <x:c r="I1556" s="21"/>
      <x:c r="J1556" s="23">
        <x:v>207</x:v>
      </x:c>
      <x:c r="K1556" s="23">
        <x:v>480962.31</x:v>
      </x:c>
      <x:c r="L1556" s="23">
        <x:v>203</x:v>
      </x:c>
    </x:row>
    <x:row r="1557">
      <x:c r="A1557" s="18" t="s">
        <x:v>3399</x:v>
      </x:c>
      <x:c r="B1557" s="19" t="s">
        <x:v>3400</x:v>
      </x:c>
      <x:c r="C1557" s="20">
        <x:v>69072100</x:v>
      </x:c>
      <x:c r="D1557" s="20">
        <x:v>2036.26</x:v>
      </x:c>
      <x:c r="E1557" s="18" t="s">
        <x:v>227</x:v>
      </x:c>
      <x:c r="F1557" s="19" t="s">
        <x:v>11</x:v>
      </x:c>
      <x:c r="G1557" s="20">
        <x:v>0</x:v>
      </x:c>
      <x:c r="H1557" s="21"/>
      <x:c r="I1557" s="21"/>
      <x:c r="J1557" s="23">
        <x:v>607</x:v>
      </x:c>
      <x:c r="K1557" s="23">
        <x:v>1260769.53</x:v>
      </x:c>
      <x:c r="L1557" s="23">
        <x:v>267</x:v>
      </x:c>
    </x:row>
    <x:row r="1558">
      <x:c r="A1558" s="18" t="s">
        <x:v>3401</x:v>
      </x:c>
      <x:c r="B1558" s="19" t="s">
        <x:v>3402</x:v>
      </x:c>
      <x:c r="C1558" s="20">
        <x:v>69072100</x:v>
      </x:c>
      <x:c r="D1558" s="20">
        <x:v>2480</x:v>
      </x:c>
      <x:c r="E1558" s="18" t="s">
        <x:v>227</x:v>
      </x:c>
      <x:c r="F1558" s="19" t="s">
        <x:v>11</x:v>
      </x:c>
      <x:c r="G1558" s="20">
        <x:v>0</x:v>
      </x:c>
      <x:c r="H1558" s="21"/>
      <x:c r="I1558" s="21"/>
      <x:c r="J1558" s="23">
        <x:v>352</x:v>
      </x:c>
      <x:c r="K1558" s="23">
        <x:v>798560</x:v>
      </x:c>
      <x:c r="L1558" s="23">
        <x:v>315</x:v>
      </x:c>
    </x:row>
    <x:row r="1559">
      <x:c r="A1559" s="18" t="s">
        <x:v>3403</x:v>
      </x:c>
      <x:c r="B1559" s="19" t="s">
        <x:v>3404</x:v>
      </x:c>
      <x:c r="C1559" s="20">
        <x:v>69072100</x:v>
      </x:c>
      <x:c r="D1559" s="20">
        <x:v>2604</x:v>
      </x:c>
      <x:c r="E1559" s="18" t="s">
        <x:v>227</x:v>
      </x:c>
      <x:c r="F1559" s="19" t="s">
        <x:v>11</x:v>
      </x:c>
      <x:c r="G1559" s="20">
        <x:v>2635</x:v>
      </x:c>
      <x:c r="H1559" s="21"/>
      <x:c r="I1559" s="26" t="s">
        <x:v>3405</x:v>
      </x:c>
      <x:c r="J1559" s="23">
        <x:v>560</x:v>
      </x:c>
      <x:c r="K1559" s="23">
        <x:v>1302000</x:v>
      </x:c>
      <x:c r="L1559" s="23">
        <x:v>410</x:v>
      </x:c>
    </x:row>
    <x:row r="1560">
      <x:c r="A1560" s="18" t="s">
        <x:v>3406</x:v>
      </x:c>
      <x:c r="B1560" s="19" t="s">
        <x:v>3407</x:v>
      </x:c>
      <x:c r="C1560" s="20">
        <x:v>69072100</x:v>
      </x:c>
      <x:c r="D1560" s="20">
        <x:v>0</x:v>
      </x:c>
      <x:c r="E1560" s="18" t="s">
        <x:v>227</x:v>
      </x:c>
      <x:c r="F1560" s="19" t="s">
        <x:v>11</x:v>
      </x:c>
      <x:c r="G1560" s="20">
        <x:v>0</x:v>
      </x:c>
      <x:c r="H1560" s="21"/>
      <x:c r="I1560" s="21"/>
      <x:c r="J1560" s="23">
        <x:v>18</x:v>
      </x:c>
      <x:c r="K1560" s="23">
        <x:v>41850</x:v>
      </x:c>
      <x:c r="L1560" s="23">
        <x:v>0</x:v>
      </x:c>
    </x:row>
    <x:row r="1561">
      <x:c r="A1561" s="18" t="s">
        <x:v>3408</x:v>
      </x:c>
      <x:c r="B1561" s="19" t="s">
        <x:v>3409</x:v>
      </x:c>
      <x:c r="C1561" s="20">
        <x:v>69072100</x:v>
      </x:c>
      <x:c r="D1561" s="20">
        <x:v>2170</x:v>
      </x:c>
      <x:c r="E1561" s="18" t="s">
        <x:v>227</x:v>
      </x:c>
      <x:c r="F1561" s="19" t="s">
        <x:v>11</x:v>
      </x:c>
      <x:c r="G1561" s="20">
        <x:v>0</x:v>
      </x:c>
      <x:c r="H1561" s="21"/>
      <x:c r="I1561" s="21"/>
      <x:c r="J1561" s="23">
        <x:v>1</x:v>
      </x:c>
      <x:c r="K1561" s="23">
        <x:v>2170</x:v>
      </x:c>
      <x:c r="L1561" s="23">
        <x:v>1</x:v>
      </x:c>
    </x:row>
    <x:row r="1562">
      <x:c r="A1562" s="18" t="s">
        <x:v>3410</x:v>
      </x:c>
      <x:c r="B1562" s="19" t="s">
        <x:v>3411</x:v>
      </x:c>
      <x:c r="C1562" s="20">
        <x:v>69072100</x:v>
      </x:c>
      <x:c r="D1562" s="20">
        <x:v>0</x:v>
      </x:c>
      <x:c r="E1562" s="18" t="s">
        <x:v>227</x:v>
      </x:c>
      <x:c r="F1562" s="19" t="s">
        <x:v>11</x:v>
      </x:c>
      <x:c r="G1562" s="20">
        <x:v>0</x:v>
      </x:c>
      <x:c r="H1562" s="21"/>
      <x:c r="I1562" s="21"/>
      <x:c r="J1562" s="23">
        <x:v>1</x:v>
      </x:c>
      <x:c r="K1562" s="23">
        <x:v>2170</x:v>
      </x:c>
      <x:c r="L1562" s="23">
        <x:v>0</x:v>
      </x:c>
    </x:row>
    <x:row r="1563">
      <x:c r="A1563" s="18" t="s">
        <x:v>3412</x:v>
      </x:c>
      <x:c r="B1563" s="19" t="s">
        <x:v>3413</x:v>
      </x:c>
      <x:c r="C1563" s="20">
        <x:v>69072100</x:v>
      </x:c>
      <x:c r="D1563" s="20">
        <x:v>2480</x:v>
      </x:c>
      <x:c r="E1563" s="18" t="s">
        <x:v>227</x:v>
      </x:c>
      <x:c r="F1563" s="19" t="s">
        <x:v>11</x:v>
      </x:c>
      <x:c r="G1563" s="20">
        <x:v>2480</x:v>
      </x:c>
      <x:c r="H1563" s="21"/>
      <x:c r="I1563" s="26" t="s">
        <x:v>3295</x:v>
      </x:c>
      <x:c r="J1563" s="23">
        <x:v>329</x:v>
      </x:c>
      <x:c r="K1563" s="23">
        <x:v>815920</x:v>
      </x:c>
      <x:c r="L1563" s="23">
        <x:v>12</x:v>
      </x:c>
    </x:row>
    <x:row r="1564">
      <x:c r="A1564" s="18" t="s">
        <x:v>3414</x:v>
      </x:c>
      <x:c r="B1564" s="19" t="s">
        <x:v>3415</x:v>
      </x:c>
      <x:c r="C1564" s="20">
        <x:v>69072100</x:v>
      </x:c>
      <x:c r="D1564" s="20">
        <x:v>0</x:v>
      </x:c>
      <x:c r="E1564" s="18" t="s">
        <x:v>227</x:v>
      </x:c>
      <x:c r="F1564" s="19" t="s">
        <x:v>11</x:v>
      </x:c>
      <x:c r="G1564" s="20">
        <x:v>0</x:v>
      </x:c>
      <x:c r="H1564" s="21"/>
      <x:c r="I1564" s="21"/>
      <x:c r="J1564" s="23">
        <x:v>14</x:v>
      </x:c>
      <x:c r="K1564" s="23">
        <x:v>34720</x:v>
      </x:c>
      <x:c r="L1564" s="23">
        <x:v>0</x:v>
      </x:c>
    </x:row>
    <x:row r="1565">
      <x:c r="A1565" s="18" t="s">
        <x:v>3416</x:v>
      </x:c>
      <x:c r="B1565" s="19" t="s">
        <x:v>3417</x:v>
      </x:c>
      <x:c r="C1565" s="20">
        <x:v>69072100</x:v>
      </x:c>
      <x:c r="D1565" s="20">
        <x:v>0</x:v>
      </x:c>
      <x:c r="E1565" s="18" t="s">
        <x:v>227</x:v>
      </x:c>
      <x:c r="F1565" s="19" t="s">
        <x:v>11</x:v>
      </x:c>
      <x:c r="G1565" s="20">
        <x:v>0</x:v>
      </x:c>
      <x:c r="H1565" s="21"/>
      <x:c r="I1565" s="21"/>
      <x:c r="J1565" s="22">
        <x:v>0</x:v>
      </x:c>
      <x:c r="K1565" s="22">
        <x:v>0</x:v>
      </x:c>
      <x:c r="L1565" s="23">
        <x:v>0</x:v>
      </x:c>
    </x:row>
    <x:row r="1566">
      <x:c r="A1566" s="18" t="s">
        <x:v>3418</x:v>
      </x:c>
      <x:c r="B1566" s="19" t="s">
        <x:v>3419</x:v>
      </x:c>
      <x:c r="C1566" s="20">
        <x:v>69072100</x:v>
      </x:c>
      <x:c r="D1566" s="20">
        <x:v>1860</x:v>
      </x:c>
      <x:c r="E1566" s="18" t="s">
        <x:v>227</x:v>
      </x:c>
      <x:c r="F1566" s="19" t="s">
        <x:v>11</x:v>
      </x:c>
      <x:c r="G1566" s="20">
        <x:v>0</x:v>
      </x:c>
      <x:c r="H1566" s="21"/>
      <x:c r="I1566" s="21"/>
      <x:c r="J1566" s="23">
        <x:v>22</x:v>
      </x:c>
      <x:c r="K1566" s="23">
        <x:v>40920</x:v>
      </x:c>
      <x:c r="L1566" s="23">
        <x:v>22</x:v>
      </x:c>
    </x:row>
    <x:row r="1567">
      <x:c r="A1567" s="18" t="s">
        <x:v>3420</x:v>
      </x:c>
      <x:c r="B1567" s="19" t="s">
        <x:v>3421</x:v>
      </x:c>
      <x:c r="C1567" s="20">
        <x:v>69072100</x:v>
      </x:c>
      <x:c r="D1567" s="20">
        <x:v>2464.9499999999998</x:v>
      </x:c>
      <x:c r="E1567" s="18" t="s">
        <x:v>227</x:v>
      </x:c>
      <x:c r="F1567" s="19" t="s">
        <x:v>11</x:v>
      </x:c>
      <x:c r="G1567" s="20">
        <x:v>0</x:v>
      </x:c>
      <x:c r="H1567" s="21"/>
      <x:c r="I1567" s="21"/>
      <x:c r="J1567" s="23">
        <x:v>71</x:v>
      </x:c>
      <x:c r="K1567" s="23">
        <x:v>176080</x:v>
      </x:c>
      <x:c r="L1567" s="23">
        <x:v>54</x:v>
      </x:c>
    </x:row>
    <x:row r="1568">
      <x:c r="A1568" s="18" t="s">
        <x:v>3422</x:v>
      </x:c>
      <x:c r="B1568" s="19" t="s">
        <x:v>3423</x:v>
      </x:c>
      <x:c r="C1568" s="20">
        <x:v>69072100</x:v>
      </x:c>
      <x:c r="D1568" s="20">
        <x:v>1880.47</x:v>
      </x:c>
      <x:c r="E1568" s="18" t="s">
        <x:v>227</x:v>
      </x:c>
      <x:c r="F1568" s="19" t="s">
        <x:v>11</x:v>
      </x:c>
      <x:c r="G1568" s="20">
        <x:v>1881</x:v>
      </x:c>
      <x:c r="H1568" s="21"/>
      <x:c r="I1568" s="26" t="s">
        <x:v>3424</x:v>
      </x:c>
      <x:c r="J1568" s="22">
        <x:v>0</x:v>
      </x:c>
      <x:c r="K1568" s="22">
        <x:v>0</x:v>
      </x:c>
      <x:c r="L1568" s="23">
        <x:v>20</x:v>
      </x:c>
    </x:row>
    <x:row r="1569">
      <x:c r="A1569" s="18" t="s">
        <x:v>3425</x:v>
      </x:c>
      <x:c r="B1569" s="19" t="s">
        <x:v>3426</x:v>
      </x:c>
      <x:c r="C1569" s="20">
        <x:v>69072100</x:v>
      </x:c>
      <x:c r="D1569" s="20">
        <x:v>2377.0500000000002</x:v>
      </x:c>
      <x:c r="E1569" s="18" t="s">
        <x:v>227</x:v>
      </x:c>
      <x:c r="F1569" s="19" t="s">
        <x:v>11</x:v>
      </x:c>
      <x:c r="G1569" s="20">
        <x:v>0</x:v>
      </x:c>
      <x:c r="H1569" s="21"/>
      <x:c r="I1569" s="21"/>
      <x:c r="J1569" s="22">
        <x:v>0</x:v>
      </x:c>
      <x:c r="K1569" s="22">
        <x:v>0</x:v>
      </x:c>
      <x:c r="L1569" s="23">
        <x:v>16</x:v>
      </x:c>
    </x:row>
    <x:row r="1570">
      <x:c r="A1570" s="18" t="s">
        <x:v>3427</x:v>
      </x:c>
      <x:c r="B1570" s="19" t="s">
        <x:v>3428</x:v>
      </x:c>
      <x:c r="C1570" s="20">
        <x:v>69072100</x:v>
      </x:c>
      <x:c r="D1570" s="20">
        <x:v>1653.6</x:v>
      </x:c>
      <x:c r="E1570" s="18" t="s">
        <x:v>227</x:v>
      </x:c>
      <x:c r="F1570" s="19" t="s">
        <x:v>11</x:v>
      </x:c>
      <x:c r="G1570" s="20">
        <x:v>0</x:v>
      </x:c>
      <x:c r="H1570" s="21"/>
      <x:c r="I1570" s="21"/>
      <x:c r="J1570" s="23">
        <x:v>35</x:v>
      </x:c>
      <x:c r="K1570" s="23">
        <x:v>57876</x:v>
      </x:c>
      <x:c r="L1570" s="23">
        <x:v>2</x:v>
      </x:c>
    </x:row>
    <x:row r="1571">
      <x:c r="A1571" s="18" t="s">
        <x:v>3429</x:v>
      </x:c>
      <x:c r="B1571" s="19" t="s">
        <x:v>3430</x:v>
      </x:c>
      <x:c r="C1571" s="20">
        <x:v>69072100</x:v>
      </x:c>
      <x:c r="D1571" s="20">
        <x:v>1653.6</x:v>
      </x:c>
      <x:c r="E1571" s="18" t="s">
        <x:v>227</x:v>
      </x:c>
      <x:c r="F1571" s="19" t="s">
        <x:v>11</x:v>
      </x:c>
      <x:c r="G1571" s="20">
        <x:v>0</x:v>
      </x:c>
      <x:c r="H1571" s="21"/>
      <x:c r="I1571" s="21"/>
      <x:c r="J1571" s="23">
        <x:v>1</x:v>
      </x:c>
      <x:c r="K1571" s="23">
        <x:v>1653.6</x:v>
      </x:c>
      <x:c r="L1571" s="23">
        <x:v>1</x:v>
      </x:c>
    </x:row>
    <x:row r="1572">
      <x:c r="A1572" s="18" t="s">
        <x:v>3431</x:v>
      </x:c>
      <x:c r="B1572" s="19" t="s">
        <x:v>3432</x:v>
      </x:c>
      <x:c r="C1572" s="20">
        <x:v>69072100</x:v>
      </x:c>
      <x:c r="D1572" s="20">
        <x:v>1653.6</x:v>
      </x:c>
      <x:c r="E1572" s="18" t="s">
        <x:v>227</x:v>
      </x:c>
      <x:c r="F1572" s="19" t="s">
        <x:v>11</x:v>
      </x:c>
      <x:c r="G1572" s="20">
        <x:v>0</x:v>
      </x:c>
      <x:c r="H1572" s="21"/>
      <x:c r="I1572" s="21"/>
      <x:c r="J1572" s="23">
        <x:v>6</x:v>
      </x:c>
      <x:c r="K1572" s="23">
        <x:v>9921.6</x:v>
      </x:c>
      <x:c r="L1572" s="23">
        <x:v>6</x:v>
      </x:c>
    </x:row>
    <x:row r="1573">
      <x:c r="A1573" s="18" t="s">
        <x:v>3433</x:v>
      </x:c>
      <x:c r="B1573" s="19" t="s">
        <x:v>3434</x:v>
      </x:c>
      <x:c r="C1573" s="20">
        <x:v>69072100</x:v>
      </x:c>
      <x:c r="D1573" s="20">
        <x:v>3789.78</x:v>
      </x:c>
      <x:c r="E1573" s="18" t="s">
        <x:v>227</x:v>
      </x:c>
      <x:c r="F1573" s="19" t="s">
        <x:v>11</x:v>
      </x:c>
      <x:c r="G1573" s="20">
        <x:v>0</x:v>
      </x:c>
      <x:c r="H1573" s="21"/>
      <x:c r="I1573" s="21"/>
      <x:c r="J1573" s="23">
        <x:v>25</x:v>
      </x:c>
      <x:c r="K1573" s="23">
        <x:v>94744.41</x:v>
      </x:c>
      <x:c r="L1573" s="23">
        <x:v>15</x:v>
      </x:c>
    </x:row>
    <x:row r="1574">
      <x:c r="A1574" s="18" t="s">
        <x:v>3435</x:v>
      </x:c>
      <x:c r="B1574" s="19" t="s">
        <x:v>3436</x:v>
      </x:c>
      <x:c r="C1574" s="20">
        <x:v>69072100</x:v>
      </x:c>
      <x:c r="D1574" s="20">
        <x:v>3335.33</x:v>
      </x:c>
      <x:c r="E1574" s="18" t="s">
        <x:v>227</x:v>
      </x:c>
      <x:c r="F1574" s="19" t="s">
        <x:v>11</x:v>
      </x:c>
      <x:c r="G1574" s="20">
        <x:v>0</x:v>
      </x:c>
      <x:c r="H1574" s="21"/>
      <x:c r="I1574" s="21"/>
      <x:c r="J1574" s="23">
        <x:v>143</x:v>
      </x:c>
      <x:c r="K1574" s="23">
        <x:v>476952.38</x:v>
      </x:c>
      <x:c r="L1574" s="23">
        <x:v>129</x:v>
      </x:c>
    </x:row>
    <x:row r="1575">
      <x:c r="A1575" s="18" t="s">
        <x:v>3437</x:v>
      </x:c>
      <x:c r="B1575" s="19" t="s">
        <x:v>3438</x:v>
      </x:c>
      <x:c r="C1575" s="20">
        <x:v>69072100</x:v>
      </x:c>
      <x:c r="D1575" s="20">
        <x:v>0</x:v>
      </x:c>
      <x:c r="E1575" s="18" t="s">
        <x:v>227</x:v>
      </x:c>
      <x:c r="F1575" s="19" t="s">
        <x:v>11</x:v>
      </x:c>
      <x:c r="G1575" s="20">
        <x:v>0</x:v>
      </x:c>
      <x:c r="H1575" s="21"/>
      <x:c r="I1575" s="21"/>
      <x:c r="J1575" s="23">
        <x:v>29</x:v>
      </x:c>
      <x:c r="K1575" s="23">
        <x:v>107424.9</x:v>
      </x:c>
      <x:c r="L1575" s="23">
        <x:v>0</x:v>
      </x:c>
    </x:row>
    <x:row r="1576">
      <x:c r="A1576" s="18" t="s">
        <x:v>3439</x:v>
      </x:c>
      <x:c r="B1576" s="19" t="s">
        <x:v>3440</x:v>
      </x:c>
      <x:c r="C1576" s="20">
        <x:v>69072100</x:v>
      </x:c>
      <x:c r="D1576" s="20">
        <x:v>3328.34</x:v>
      </x:c>
      <x:c r="E1576" s="18" t="s">
        <x:v>227</x:v>
      </x:c>
      <x:c r="F1576" s="19" t="s">
        <x:v>11</x:v>
      </x:c>
      <x:c r="G1576" s="20">
        <x:v>0</x:v>
      </x:c>
      <x:c r="H1576" s="21"/>
      <x:c r="I1576" s="21"/>
      <x:c r="J1576" s="23">
        <x:v>95</x:v>
      </x:c>
      <x:c r="K1576" s="23">
        <x:v>316191.88</x:v>
      </x:c>
      <x:c r="L1576" s="23">
        <x:v>94</x:v>
      </x:c>
    </x:row>
    <x:row r="1577">
      <x:c r="A1577" s="18" t="s">
        <x:v>3441</x:v>
      </x:c>
      <x:c r="B1577" s="19" t="s">
        <x:v>3442</x:v>
      </x:c>
      <x:c r="C1577" s="20">
        <x:v>69072100</x:v>
      </x:c>
      <x:c r="D1577" s="20">
        <x:v>0</x:v>
      </x:c>
      <x:c r="E1577" s="18" t="s">
        <x:v>227</x:v>
      </x:c>
      <x:c r="F1577" s="19" t="s">
        <x:v>11</x:v>
      </x:c>
      <x:c r="G1577" s="20">
        <x:v>0</x:v>
      </x:c>
      <x:c r="H1577" s="21"/>
      <x:c r="I1577" s="21"/>
      <x:c r="J1577" s="22">
        <x:v>0</x:v>
      </x:c>
      <x:c r="K1577" s="22">
        <x:v>0</x:v>
      </x:c>
      <x:c r="L1577" s="23">
        <x:v>0</x:v>
      </x:c>
    </x:row>
    <x:row r="1578">
      <x:c r="A1578" s="18" t="s">
        <x:v>3443</x:v>
      </x:c>
      <x:c r="B1578" s="19" t="s">
        <x:v>3444</x:v>
      </x:c>
      <x:c r="C1578" s="20">
        <x:v>69072100</x:v>
      </x:c>
      <x:c r="D1578" s="20">
        <x:v>0</x:v>
      </x:c>
      <x:c r="E1578" s="18" t="s">
        <x:v>227</x:v>
      </x:c>
      <x:c r="F1578" s="19" t="s">
        <x:v>11</x:v>
      </x:c>
      <x:c r="G1578" s="20">
        <x:v>0</x:v>
      </x:c>
      <x:c r="H1578" s="21"/>
      <x:c r="I1578" s="21"/>
      <x:c r="J1578" s="22">
        <x:v>0</x:v>
      </x:c>
      <x:c r="K1578" s="22">
        <x:v>0</x:v>
      </x:c>
      <x:c r="L1578" s="23">
        <x:v>0</x:v>
      </x:c>
    </x:row>
    <x:row r="1579">
      <x:c r="A1579" s="18" t="s">
        <x:v>3445</x:v>
      </x:c>
      <x:c r="B1579" s="19" t="s">
        <x:v>3446</x:v>
      </x:c>
      <x:c r="C1579" s="20">
        <x:v>69072100</x:v>
      </x:c>
      <x:c r="D1579" s="20">
        <x:v>3704.38</x:v>
      </x:c>
      <x:c r="E1579" s="18" t="s">
        <x:v>227</x:v>
      </x:c>
      <x:c r="F1579" s="19" t="s">
        <x:v>11</x:v>
      </x:c>
      <x:c r="G1579" s="20">
        <x:v>0</x:v>
      </x:c>
      <x:c r="H1579" s="21"/>
      <x:c r="I1579" s="21"/>
      <x:c r="J1579" s="23">
        <x:v>102</x:v>
      </x:c>
      <x:c r="K1579" s="23">
        <x:v>377815.74</x:v>
      </x:c>
      <x:c r="L1579" s="23">
        <x:v>95</x:v>
      </x:c>
    </x:row>
    <x:row r="1580">
      <x:c r="A1580" s="18" t="s">
        <x:v>3447</x:v>
      </x:c>
      <x:c r="B1580" s="19" t="s">
        <x:v>3448</x:v>
      </x:c>
      <x:c r="C1580" s="20">
        <x:v>69072100</x:v>
      </x:c>
      <x:c r="D1580" s="20">
        <x:v>7288.56</x:v>
      </x:c>
      <x:c r="E1580" s="18" t="s">
        <x:v>227</x:v>
      </x:c>
      <x:c r="F1580" s="19" t="s">
        <x:v>11</x:v>
      </x:c>
      <x:c r="G1580" s="20">
        <x:v>0</x:v>
      </x:c>
      <x:c r="H1580" s="21"/>
      <x:c r="I1580" s="21"/>
      <x:c r="J1580" s="23">
        <x:v>31</x:v>
      </x:c>
      <x:c r="K1580" s="23">
        <x:v>225945.37</x:v>
      </x:c>
      <x:c r="L1580" s="23">
        <x:v>31</x:v>
      </x:c>
    </x:row>
    <x:row r="1581">
      <x:c r="A1581" s="18" t="s">
        <x:v>3449</x:v>
      </x:c>
      <x:c r="B1581" s="19" t="s">
        <x:v>3450</x:v>
      </x:c>
      <x:c r="C1581" s="20">
        <x:v>69072100</x:v>
      </x:c>
      <x:c r="D1581" s="20">
        <x:v>3832.95</x:v>
      </x:c>
      <x:c r="E1581" s="18" t="s">
        <x:v>227</x:v>
      </x:c>
      <x:c r="F1581" s="19" t="s">
        <x:v>11</x:v>
      </x:c>
      <x:c r="G1581" s="20">
        <x:v>0</x:v>
      </x:c>
      <x:c r="H1581" s="21"/>
      <x:c r="I1581" s="21"/>
      <x:c r="J1581" s="23">
        <x:v>8</x:v>
      </x:c>
      <x:c r="K1581" s="23">
        <x:v>30663.599999999999</x:v>
      </x:c>
      <x:c r="L1581" s="23">
        <x:v>8</x:v>
      </x:c>
    </x:row>
    <x:row r="1582">
      <x:c r="A1582" s="18" t="s">
        <x:v>3451</x:v>
      </x:c>
      <x:c r="B1582" s="19" t="s">
        <x:v>3452</x:v>
      </x:c>
      <x:c r="C1582" s="20">
        <x:v>69072100</x:v>
      </x:c>
      <x:c r="D1582" s="20">
        <x:v>3833.1</x:v>
      </x:c>
      <x:c r="E1582" s="18" t="s">
        <x:v>227</x:v>
      </x:c>
      <x:c r="F1582" s="19" t="s">
        <x:v>11</x:v>
      </x:c>
      <x:c r="G1582" s="20">
        <x:v>0</x:v>
      </x:c>
      <x:c r="H1582" s="21"/>
      <x:c r="I1582" s="21"/>
      <x:c r="J1582" s="23">
        <x:v>7</x:v>
      </x:c>
      <x:c r="K1582" s="23">
        <x:v>26831.7</x:v>
      </x:c>
      <x:c r="L1582" s="23">
        <x:v>4</x:v>
      </x:c>
    </x:row>
    <x:row r="1583">
      <x:c r="A1583" s="18" t="s">
        <x:v>3453</x:v>
      </x:c>
      <x:c r="B1583" s="19" t="s">
        <x:v>3454</x:v>
      </x:c>
      <x:c r="C1583" s="20">
        <x:v>69072100</x:v>
      </x:c>
      <x:c r="D1583" s="20">
        <x:v>4194.59</x:v>
      </x:c>
      <x:c r="E1583" s="18" t="s">
        <x:v>227</x:v>
      </x:c>
      <x:c r="F1583" s="19" t="s">
        <x:v>11</x:v>
      </x:c>
      <x:c r="G1583" s="20">
        <x:v>0</x:v>
      </x:c>
      <x:c r="H1583" s="21"/>
      <x:c r="I1583" s="21"/>
      <x:c r="J1583" s="23">
        <x:v>22</x:v>
      </x:c>
      <x:c r="K1583" s="23">
        <x:v>92280.98</x:v>
      </x:c>
      <x:c r="L1583" s="23">
        <x:v>22</x:v>
      </x:c>
    </x:row>
    <x:row r="1584">
      <x:c r="A1584" s="18" t="s">
        <x:v>3455</x:v>
      </x:c>
      <x:c r="B1584" s="19" t="s">
        <x:v>3456</x:v>
      </x:c>
      <x:c r="C1584" s="20">
        <x:v>69072100</x:v>
      </x:c>
      <x:c r="D1584" s="20">
        <x:v>3832.95</x:v>
      </x:c>
      <x:c r="E1584" s="18" t="s">
        <x:v>227</x:v>
      </x:c>
      <x:c r="F1584" s="19" t="s">
        <x:v>11</x:v>
      </x:c>
      <x:c r="G1584" s="20">
        <x:v>0</x:v>
      </x:c>
      <x:c r="H1584" s="21"/>
      <x:c r="I1584" s="21"/>
      <x:c r="J1584" s="23">
        <x:v>19</x:v>
      </x:c>
      <x:c r="K1584" s="23">
        <x:v>72826.05</x:v>
      </x:c>
      <x:c r="L1584" s="23">
        <x:v>17</x:v>
      </x:c>
    </x:row>
    <x:row r="1585">
      <x:c r="A1585" s="18" t="s">
        <x:v>3457</x:v>
      </x:c>
      <x:c r="B1585" s="19" t="s">
        <x:v>3458</x:v>
      </x:c>
      <x:c r="C1585" s="20">
        <x:v>69072100</x:v>
      </x:c>
      <x:c r="D1585" s="20">
        <x:v>0</x:v>
      </x:c>
      <x:c r="E1585" s="18" t="s">
        <x:v>227</x:v>
      </x:c>
      <x:c r="F1585" s="19" t="s">
        <x:v>11</x:v>
      </x:c>
      <x:c r="G1585" s="20">
        <x:v>0</x:v>
      </x:c>
      <x:c r="H1585" s="21"/>
      <x:c r="I1585" s="21"/>
      <x:c r="J1585" s="22">
        <x:v>0</x:v>
      </x:c>
      <x:c r="K1585" s="22">
        <x:v>0</x:v>
      </x:c>
      <x:c r="L1585" s="23">
        <x:v>0</x:v>
      </x:c>
    </x:row>
    <x:row r="1586">
      <x:c r="A1586" s="18" t="s">
        <x:v>3459</x:v>
      </x:c>
      <x:c r="B1586" s="19" t="s">
        <x:v>3460</x:v>
      </x:c>
      <x:c r="C1586" s="20">
        <x:v>69072100</x:v>
      </x:c>
      <x:c r="D1586" s="20">
        <x:v>3833.45</x:v>
      </x:c>
      <x:c r="E1586" s="18" t="s">
        <x:v>227</x:v>
      </x:c>
      <x:c r="F1586" s="19" t="s">
        <x:v>11</x:v>
      </x:c>
      <x:c r="G1586" s="20">
        <x:v>0</x:v>
      </x:c>
      <x:c r="H1586" s="21"/>
      <x:c r="I1586" s="21"/>
      <x:c r="J1586" s="23">
        <x:v>21</x:v>
      </x:c>
      <x:c r="K1586" s="23">
        <x:v>80502.45</x:v>
      </x:c>
      <x:c r="L1586" s="23">
        <x:v>21</x:v>
      </x:c>
    </x:row>
    <x:row r="1587">
      <x:c r="A1587" s="18" t="s">
        <x:v>3461</x:v>
      </x:c>
      <x:c r="B1587" s="19" t="s">
        <x:v>3462</x:v>
      </x:c>
      <x:c r="C1587" s="20">
        <x:v>69072100</x:v>
      </x:c>
      <x:c r="D1587" s="20">
        <x:v>0</x:v>
      </x:c>
      <x:c r="E1587" s="18" t="s">
        <x:v>227</x:v>
      </x:c>
      <x:c r="F1587" s="19" t="s">
        <x:v>11</x:v>
      </x:c>
      <x:c r="G1587" s="20">
        <x:v>0</x:v>
      </x:c>
      <x:c r="H1587" s="21"/>
      <x:c r="I1587" s="21"/>
      <x:c r="J1587" s="23">
        <x:v>1</x:v>
      </x:c>
      <x:c r="K1587" s="23">
        <x:v>3833.45</x:v>
      </x:c>
      <x:c r="L1587" s="23">
        <x:v>0</x:v>
      </x:c>
    </x:row>
    <x:row r="1588">
      <x:c r="A1588" s="18" t="s">
        <x:v>3463</x:v>
      </x:c>
      <x:c r="B1588" s="19" t="s">
        <x:v>3464</x:v>
      </x:c>
      <x:c r="C1588" s="20">
        <x:v>69072100</x:v>
      </x:c>
      <x:c r="D1588" s="20">
        <x:v>3833.45</x:v>
      </x:c>
      <x:c r="E1588" s="18" t="s">
        <x:v>227</x:v>
      </x:c>
      <x:c r="F1588" s="19" t="s">
        <x:v>11</x:v>
      </x:c>
      <x:c r="G1588" s="20">
        <x:v>0</x:v>
      </x:c>
      <x:c r="H1588" s="21"/>
      <x:c r="I1588" s="21"/>
      <x:c r="J1588" s="23">
        <x:v>2</x:v>
      </x:c>
      <x:c r="K1588" s="23">
        <x:v>7666.9</x:v>
      </x:c>
      <x:c r="L1588" s="23">
        <x:v>2</x:v>
      </x:c>
    </x:row>
    <x:row r="1589">
      <x:c r="A1589" s="18" t="s">
        <x:v>3465</x:v>
      </x:c>
      <x:c r="B1589" s="19" t="s">
        <x:v>3466</x:v>
      </x:c>
      <x:c r="C1589" s="20">
        <x:v>69072100</x:v>
      </x:c>
      <x:c r="D1589" s="20">
        <x:v>0</x:v>
      </x:c>
      <x:c r="E1589" s="18" t="s">
        <x:v>227</x:v>
      </x:c>
      <x:c r="F1589" s="19" t="s">
        <x:v>11</x:v>
      </x:c>
      <x:c r="G1589" s="20">
        <x:v>0</x:v>
      </x:c>
      <x:c r="H1589" s="21"/>
      <x:c r="I1589" s="21"/>
      <x:c r="J1589" s="23">
        <x:v>1</x:v>
      </x:c>
      <x:c r="K1589" s="23">
        <x:v>3099.6</x:v>
      </x:c>
      <x:c r="L1589" s="23">
        <x:v>0</x:v>
      </x:c>
    </x:row>
    <x:row r="1590">
      <x:c r="A1590" s="18" t="s">
        <x:v>3467</x:v>
      </x:c>
      <x:c r="B1590" s="19" t="s">
        <x:v>3468</x:v>
      </x:c>
      <x:c r="C1590" s="20">
        <x:v>69072100</x:v>
      </x:c>
      <x:c r="D1590" s="20">
        <x:v>2169.7199999999998</x:v>
      </x:c>
      <x:c r="E1590" s="18" t="s">
        <x:v>227</x:v>
      </x:c>
      <x:c r="F1590" s="19" t="s">
        <x:v>11</x:v>
      </x:c>
      <x:c r="G1590" s="20">
        <x:v>0</x:v>
      </x:c>
      <x:c r="H1590" s="21"/>
      <x:c r="I1590" s="21"/>
      <x:c r="J1590" s="23">
        <x:v>45</x:v>
      </x:c>
      <x:c r="K1590" s="23">
        <x:v>97637.4</x:v>
      </x:c>
      <x:c r="L1590" s="23">
        <x:v>40</x:v>
      </x:c>
    </x:row>
    <x:row r="1591">
      <x:c r="A1591" s="18" t="s">
        <x:v>3469</x:v>
      </x:c>
      <x:c r="B1591" s="19" t="s">
        <x:v>3470</x:v>
      </x:c>
      <x:c r="C1591" s="20">
        <x:v>69072100</x:v>
      </x:c>
      <x:c r="D1591" s="20">
        <x:v>0</x:v>
      </x:c>
      <x:c r="E1591" s="18" t="s">
        <x:v>227</x:v>
      </x:c>
      <x:c r="F1591" s="19" t="s">
        <x:v>11</x:v>
      </x:c>
      <x:c r="G1591" s="20">
        <x:v>0</x:v>
      </x:c>
      <x:c r="H1591" s="21"/>
      <x:c r="I1591" s="21"/>
      <x:c r="J1591" s="22">
        <x:v>0</x:v>
      </x:c>
      <x:c r="K1591" s="22">
        <x:v>0</x:v>
      </x:c>
      <x:c r="L1591" s="23">
        <x:v>0</x:v>
      </x:c>
    </x:row>
    <x:row r="1592">
      <x:c r="A1592" s="18" t="s">
        <x:v>3471</x:v>
      </x:c>
      <x:c r="B1592" s="19" t="s">
        <x:v>3472</x:v>
      </x:c>
      <x:c r="C1592" s="20">
        <x:v>69072100</x:v>
      </x:c>
      <x:c r="D1592" s="20">
        <x:v>2169.7199999999998</x:v>
      </x:c>
      <x:c r="E1592" s="18" t="s">
        <x:v>227</x:v>
      </x:c>
      <x:c r="F1592" s="19" t="s">
        <x:v>11</x:v>
      </x:c>
      <x:c r="G1592" s="20">
        <x:v>0</x:v>
      </x:c>
      <x:c r="H1592" s="21"/>
      <x:c r="I1592" s="21"/>
      <x:c r="J1592" s="23">
        <x:v>40</x:v>
      </x:c>
      <x:c r="K1592" s="23">
        <x:v>86788.800000000003</x:v>
      </x:c>
      <x:c r="L1592" s="23">
        <x:v>24</x:v>
      </x:c>
    </x:row>
    <x:row r="1593">
      <x:c r="A1593" s="18" t="s">
        <x:v>3473</x:v>
      </x:c>
      <x:c r="B1593" s="19" t="s">
        <x:v>3474</x:v>
      </x:c>
      <x:c r="C1593" s="20">
        <x:v>69072100</x:v>
      </x:c>
      <x:c r="D1593" s="20">
        <x:v>0</x:v>
      </x:c>
      <x:c r="E1593" s="18" t="s">
        <x:v>227</x:v>
      </x:c>
      <x:c r="F1593" s="19" t="s">
        <x:v>11</x:v>
      </x:c>
      <x:c r="G1593" s="20">
        <x:v>0</x:v>
      </x:c>
      <x:c r="H1593" s="21"/>
      <x:c r="I1593" s="21"/>
      <x:c r="J1593" s="23">
        <x:v>3</x:v>
      </x:c>
      <x:c r="K1593" s="23">
        <x:v>6509.16</x:v>
      </x:c>
      <x:c r="L1593" s="23">
        <x:v>0</x:v>
      </x:c>
    </x:row>
    <x:row r="1594">
      <x:c r="A1594" s="18" t="s">
        <x:v>3475</x:v>
      </x:c>
      <x:c r="B1594" s="19" t="s">
        <x:v>3476</x:v>
      </x:c>
      <x:c r="C1594" s="20">
        <x:v>69072100</x:v>
      </x:c>
      <x:c r="D1594" s="20">
        <x:v>3099.6</x:v>
      </x:c>
      <x:c r="E1594" s="18" t="s">
        <x:v>227</x:v>
      </x:c>
      <x:c r="F1594" s="19" t="s">
        <x:v>11</x:v>
      </x:c>
      <x:c r="G1594" s="20">
        <x:v>3099.6</x:v>
      </x:c>
      <x:c r="H1594" s="21"/>
      <x:c r="I1594" s="26" t="s">
        <x:v>3405</x:v>
      </x:c>
      <x:c r="J1594" s="22">
        <x:v>0</x:v>
      </x:c>
      <x:c r="K1594" s="22">
        <x:v>0</x:v>
      </x:c>
      <x:c r="L1594" s="23">
        <x:v>11</x:v>
      </x:c>
    </x:row>
    <x:row r="1595">
      <x:c r="A1595" s="18" t="s">
        <x:v>3477</x:v>
      </x:c>
      <x:c r="B1595" s="19" t="s">
        <x:v>3478</x:v>
      </x:c>
      <x:c r="C1595" s="20">
        <x:v>69072100</x:v>
      </x:c>
      <x:c r="D1595" s="20">
        <x:v>2169.7199999999998</x:v>
      </x:c>
      <x:c r="E1595" s="18" t="s">
        <x:v>227</x:v>
      </x:c>
      <x:c r="F1595" s="19" t="s">
        <x:v>11</x:v>
      </x:c>
      <x:c r="G1595" s="20">
        <x:v>0</x:v>
      </x:c>
      <x:c r="H1595" s="21"/>
      <x:c r="I1595" s="21"/>
      <x:c r="J1595" s="23">
        <x:v>8</x:v>
      </x:c>
      <x:c r="K1595" s="23">
        <x:v>17357.759999999998</x:v>
      </x:c>
      <x:c r="L1595" s="23">
        <x:v>8</x:v>
      </x:c>
    </x:row>
    <x:row r="1596">
      <x:c r="A1596" s="18" t="s">
        <x:v>3479</x:v>
      </x:c>
      <x:c r="B1596" s="19" t="s">
        <x:v>3480</x:v>
      </x:c>
      <x:c r="C1596" s="20">
        <x:v>69072100</x:v>
      </x:c>
      <x:c r="D1596" s="20">
        <x:v>3099.75</x:v>
      </x:c>
      <x:c r="E1596" s="18" t="s">
        <x:v>227</x:v>
      </x:c>
      <x:c r="F1596" s="19" t="s">
        <x:v>11</x:v>
      </x:c>
      <x:c r="G1596" s="20">
        <x:v>0</x:v>
      </x:c>
      <x:c r="H1596" s="21"/>
      <x:c r="I1596" s="21"/>
      <x:c r="J1596" s="23">
        <x:v>17</x:v>
      </x:c>
      <x:c r="K1596" s="23">
        <x:v>52695.75</x:v>
      </x:c>
      <x:c r="L1596" s="23">
        <x:v>8</x:v>
      </x:c>
    </x:row>
    <x:row r="1597">
      <x:c r="A1597" s="18" t="s">
        <x:v>3481</x:v>
      </x:c>
      <x:c r="B1597" s="19" t="s">
        <x:v>3482</x:v>
      </x:c>
      <x:c r="C1597" s="20">
        <x:v>69072100</x:v>
      </x:c>
      <x:c r="D1597" s="20">
        <x:v>0</x:v>
      </x:c>
      <x:c r="E1597" s="18" t="s">
        <x:v>227</x:v>
      </x:c>
      <x:c r="F1597" s="19" t="s">
        <x:v>11</x:v>
      </x:c>
      <x:c r="G1597" s="20">
        <x:v>0</x:v>
      </x:c>
      <x:c r="H1597" s="21"/>
      <x:c r="I1597" s="21"/>
      <x:c r="J1597" s="22">
        <x:v>0</x:v>
      </x:c>
      <x:c r="K1597" s="22">
        <x:v>0</x:v>
      </x:c>
      <x:c r="L1597" s="23">
        <x:v>0</x:v>
      </x:c>
    </x:row>
    <x:row r="1598">
      <x:c r="A1598" s="18" t="s">
        <x:v>3483</x:v>
      </x:c>
      <x:c r="B1598" s="19" t="s">
        <x:v>3484</x:v>
      </x:c>
      <x:c r="C1598" s="20">
        <x:v>69072100</x:v>
      </x:c>
      <x:c r="D1598" s="20">
        <x:v>3099.75</x:v>
      </x:c>
      <x:c r="E1598" s="18" t="s">
        <x:v>227</x:v>
      </x:c>
      <x:c r="F1598" s="19" t="s">
        <x:v>11</x:v>
      </x:c>
      <x:c r="G1598" s="20">
        <x:v>0</x:v>
      </x:c>
      <x:c r="H1598" s="21"/>
      <x:c r="I1598" s="21"/>
      <x:c r="J1598" s="23">
        <x:v>18</x:v>
      </x:c>
      <x:c r="K1598" s="23">
        <x:v>55795.5</x:v>
      </x:c>
      <x:c r="L1598" s="23">
        <x:v>6</x:v>
      </x:c>
    </x:row>
    <x:row r="1599">
      <x:c r="A1599" s="18" t="s">
        <x:v>3485</x:v>
      </x:c>
      <x:c r="B1599" s="19" t="s">
        <x:v>3486</x:v>
      </x:c>
      <x:c r="C1599" s="20">
        <x:v>69072100</x:v>
      </x:c>
      <x:c r="D1599" s="20">
        <x:v>1590</x:v>
      </x:c>
      <x:c r="E1599" s="18" t="s">
        <x:v>227</x:v>
      </x:c>
      <x:c r="F1599" s="19" t="s">
        <x:v>11</x:v>
      </x:c>
      <x:c r="G1599" s="20">
        <x:v>4215.7</x:v>
      </x:c>
      <x:c r="H1599" s="21"/>
      <x:c r="I1599" s="26" t="s">
        <x:v>3295</x:v>
      </x:c>
      <x:c r="J1599" s="23">
        <x:v>39</x:v>
      </x:c>
      <x:c r="K1599" s="23">
        <x:v>145068.29999999999</x:v>
      </x:c>
      <x:c r="L1599" s="23">
        <x:v>10</x:v>
      </x:c>
    </x:row>
    <x:row r="1600">
      <x:c r="A1600" s="18" t="s">
        <x:v>3487</x:v>
      </x:c>
      <x:c r="B1600" s="19" t="s">
        <x:v>3488</x:v>
      </x:c>
      <x:c r="C1600" s="20">
        <x:v>69072100</x:v>
      </x:c>
      <x:c r="D1600" s="20">
        <x:v>433.33</x:v>
      </x:c>
      <x:c r="E1600" s="18" t="s">
        <x:v>227</x:v>
      </x:c>
      <x:c r="F1600" s="19" t="s">
        <x:v>11</x:v>
      </x:c>
      <x:c r="G1600" s="20">
        <x:v>0</x:v>
      </x:c>
      <x:c r="H1600" s="21"/>
      <x:c r="I1600" s="21"/>
      <x:c r="J1600" s="23">
        <x:v>8</x:v>
      </x:c>
      <x:c r="K1600" s="23">
        <x:v>33064</x:v>
      </x:c>
      <x:c r="L1600" s="23">
        <x:v>8</x:v>
      </x:c>
    </x:row>
    <x:row r="1601">
      <x:c r="A1601" s="18" t="s">
        <x:v>3489</x:v>
      </x:c>
      <x:c r="B1601" s="19" t="s">
        <x:v>3490</x:v>
      </x:c>
      <x:c r="C1601" s="20">
        <x:v>69072100</x:v>
      </x:c>
      <x:c r="D1601" s="20">
        <x:v>152.81</x:v>
      </x:c>
      <x:c r="E1601" s="18" t="s">
        <x:v>227</x:v>
      </x:c>
      <x:c r="F1601" s="19" t="s">
        <x:v>11</x:v>
      </x:c>
      <x:c r="G1601" s="20">
        <x:v>0</x:v>
      </x:c>
      <x:c r="H1601" s="21"/>
      <x:c r="I1601" s="21"/>
      <x:c r="J1601" s="23">
        <x:v>5</x:v>
      </x:c>
      <x:c r="K1601" s="23">
        <x:v>12718.58</x:v>
      </x:c>
      <x:c r="L1601" s="23">
        <x:v>5</x:v>
      </x:c>
    </x:row>
    <x:row r="1602">
      <x:c r="A1602" s="18" t="s">
        <x:v>3491</x:v>
      </x:c>
      <x:c r="B1602" s="19" t="s">
        <x:v>3492</x:v>
      </x:c>
      <x:c r="C1602" s="20">
        <x:v>69072100</x:v>
      </x:c>
      <x:c r="D1602" s="20">
        <x:v>1850</x:v>
      </x:c>
      <x:c r="E1602" s="18" t="s">
        <x:v>227</x:v>
      </x:c>
      <x:c r="F1602" s="19" t="s">
        <x:v>11</x:v>
      </x:c>
      <x:c r="G1602" s="20">
        <x:v>0</x:v>
      </x:c>
      <x:c r="H1602" s="21"/>
      <x:c r="I1602" s="21"/>
      <x:c r="J1602" s="22">
        <x:v>0</x:v>
      </x:c>
      <x:c r="K1602" s="22">
        <x:v>0</x:v>
      </x:c>
      <x:c r="L1602" s="23">
        <x:v>0</x:v>
      </x:c>
    </x:row>
    <x:row r="1603">
      <x:c r="A1603" s="18" t="s">
        <x:v>3493</x:v>
      </x:c>
      <x:c r="B1603" s="19" t="s">
        <x:v>3494</x:v>
      </x:c>
      <x:c r="C1603" s="20">
        <x:v>69072100</x:v>
      </x:c>
      <x:c r="D1603" s="20">
        <x:v>208.33</x:v>
      </x:c>
      <x:c r="E1603" s="18" t="s">
        <x:v>227</x:v>
      </x:c>
      <x:c r="F1603" s="19" t="s">
        <x:v>11</x:v>
      </x:c>
      <x:c r="G1603" s="20">
        <x:v>0</x:v>
      </x:c>
      <x:c r="H1603" s="21"/>
      <x:c r="I1603" s="21"/>
      <x:c r="J1603" s="22">
        <x:v>0</x:v>
      </x:c>
      <x:c r="K1603" s="22">
        <x:v>0</x:v>
      </x:c>
      <x:c r="L1603" s="23">
        <x:v>0</x:v>
      </x:c>
    </x:row>
    <x:row r="1604">
      <x:c r="A1604" s="18" t="s">
        <x:v>3495</x:v>
      </x:c>
      <x:c r="B1604" s="19" t="s">
        <x:v>3496</x:v>
      </x:c>
      <x:c r="C1604" s="20">
        <x:v>69072100</x:v>
      </x:c>
      <x:c r="D1604" s="20">
        <x:v>3200</x:v>
      </x:c>
      <x:c r="E1604" s="18" t="s">
        <x:v>227</x:v>
      </x:c>
      <x:c r="F1604" s="19" t="s">
        <x:v>11</x:v>
      </x:c>
      <x:c r="G1604" s="20">
        <x:v>4215.7</x:v>
      </x:c>
      <x:c r="H1604" s="21"/>
      <x:c r="I1604" s="26" t="s">
        <x:v>3295</x:v>
      </x:c>
      <x:c r="J1604" s="23">
        <x:v>13</x:v>
      </x:c>
      <x:c r="K1604" s="23">
        <x:v>48356.1</x:v>
      </x:c>
      <x:c r="L1604" s="23">
        <x:v>24</x:v>
      </x:c>
    </x:row>
    <x:row r="1605">
      <x:c r="A1605" s="18" t="s">
        <x:v>3497</x:v>
      </x:c>
      <x:c r="B1605" s="19" t="s">
        <x:v>3498</x:v>
      </x:c>
      <x:c r="C1605" s="20">
        <x:v>69072100</x:v>
      </x:c>
      <x:c r="D1605" s="20">
        <x:v>15681.6</x:v>
      </x:c>
      <x:c r="E1605" s="18" t="s">
        <x:v>227</x:v>
      </x:c>
      <x:c r="F1605" s="19" t="s">
        <x:v>11</x:v>
      </x:c>
      <x:c r="G1605" s="20">
        <x:v>0</x:v>
      </x:c>
      <x:c r="H1605" s="21"/>
      <x:c r="I1605" s="21"/>
      <x:c r="J1605" s="23">
        <x:v>55</x:v>
      </x:c>
      <x:c r="K1605" s="23">
        <x:v>204583.5</x:v>
      </x:c>
      <x:c r="L1605" s="23">
        <x:v>0</x:v>
      </x:c>
    </x:row>
    <x:row r="1606">
      <x:c r="A1606" s="18" t="s">
        <x:v>3499</x:v>
      </x:c>
      <x:c r="B1606" s="19" t="s">
        <x:v>3500</x:v>
      </x:c>
      <x:c r="C1606" s="20">
        <x:v>69072100</x:v>
      </x:c>
      <x:c r="D1606" s="20">
        <x:v>137</x:v>
      </x:c>
      <x:c r="E1606" s="18" t="s">
        <x:v>227</x:v>
      </x:c>
      <x:c r="F1606" s="19" t="s">
        <x:v>11</x:v>
      </x:c>
      <x:c r="G1606" s="20">
        <x:v>0</x:v>
      </x:c>
      <x:c r="H1606" s="21"/>
      <x:c r="I1606" s="21"/>
      <x:c r="J1606" s="23">
        <x:v>14</x:v>
      </x:c>
      <x:c r="K1606" s="23">
        <x:v>52075.8</x:v>
      </x:c>
      <x:c r="L1606" s="23">
        <x:v>0</x:v>
      </x:c>
    </x:row>
    <x:row r="1607">
      <x:c r="A1607" s="18" t="s">
        <x:v>3501</x:v>
      </x:c>
      <x:c r="B1607" s="19" t="s">
        <x:v>3502</x:v>
      </x:c>
      <x:c r="C1607" s="20">
        <x:v>69072100</x:v>
      </x:c>
      <x:c r="D1607" s="20">
        <x:v>201.54</x:v>
      </x:c>
      <x:c r="E1607" s="18" t="s">
        <x:v>227</x:v>
      </x:c>
      <x:c r="F1607" s="19" t="s">
        <x:v>11</x:v>
      </x:c>
      <x:c r="G1607" s="20">
        <x:v>0</x:v>
      </x:c>
      <x:c r="H1607" s="21"/>
      <x:c r="I1607" s="21"/>
      <x:c r="J1607" s="22">
        <x:v>0</x:v>
      </x:c>
      <x:c r="K1607" s="22">
        <x:v>0</x:v>
      </x:c>
      <x:c r="L1607" s="23">
        <x:v>0</x:v>
      </x:c>
    </x:row>
    <x:row r="1608">
      <x:c r="A1608" s="18" t="s">
        <x:v>3503</x:v>
      </x:c>
      <x:c r="B1608" s="19" t="s">
        <x:v>3504</x:v>
      </x:c>
      <x:c r="C1608" s="20">
        <x:v>69072100</x:v>
      </x:c>
      <x:c r="D1608" s="20">
        <x:v>6520.8</x:v>
      </x:c>
      <x:c r="E1608" s="18" t="s">
        <x:v>227</x:v>
      </x:c>
      <x:c r="F1608" s="19" t="s">
        <x:v>11</x:v>
      </x:c>
      <x:c r="G1608" s="20">
        <x:v>0</x:v>
      </x:c>
      <x:c r="H1608" s="21"/>
      <x:c r="I1608" s="21"/>
      <x:c r="J1608" s="22">
        <x:v>0</x:v>
      </x:c>
      <x:c r="K1608" s="22">
        <x:v>0</x:v>
      </x:c>
      <x:c r="L1608" s="23">
        <x:v>0</x:v>
      </x:c>
    </x:row>
    <x:row r="1609">
      <x:c r="A1609" s="18" t="s">
        <x:v>3505</x:v>
      </x:c>
      <x:c r="B1609" s="19" t="s">
        <x:v>3506</x:v>
      </x:c>
      <x:c r="C1609" s="20">
        <x:v>69072100</x:v>
      </x:c>
      <x:c r="D1609" s="20">
        <x:v>19278</x:v>
      </x:c>
      <x:c r="E1609" s="18" t="s">
        <x:v>227</x:v>
      </x:c>
      <x:c r="F1609" s="19" t="s">
        <x:v>11</x:v>
      </x:c>
      <x:c r="G1609" s="20">
        <x:v>0</x:v>
      </x:c>
      <x:c r="H1609" s="21"/>
      <x:c r="I1609" s="21"/>
      <x:c r="J1609" s="23">
        <x:v>24</x:v>
      </x:c>
      <x:c r="K1609" s="23">
        <x:v>89272.8</x:v>
      </x:c>
      <x:c r="L1609" s="23">
        <x:v>23</x:v>
      </x:c>
    </x:row>
    <x:row r="1610">
      <x:c r="A1610" s="18" t="s">
        <x:v>3507</x:v>
      </x:c>
      <x:c r="B1610" s="19" t="s">
        <x:v>3508</x:v>
      </x:c>
      <x:c r="C1610" s="20">
        <x:v>69072100</x:v>
      </x:c>
      <x:c r="D1610" s="20">
        <x:v>0</x:v>
      </x:c>
      <x:c r="E1610" s="18" t="s">
        <x:v>227</x:v>
      </x:c>
      <x:c r="F1610" s="19" t="s">
        <x:v>11</x:v>
      </x:c>
      <x:c r="G1610" s="20">
        <x:v>0</x:v>
      </x:c>
      <x:c r="H1610" s="21"/>
      <x:c r="I1610" s="21"/>
      <x:c r="J1610" s="22">
        <x:v>0</x:v>
      </x:c>
      <x:c r="K1610" s="22">
        <x:v>0</x:v>
      </x:c>
      <x:c r="L1610" s="23">
        <x:v>0</x:v>
      </x:c>
    </x:row>
    <x:row r="1611">
      <x:c r="A1611" s="18" t="s">
        <x:v>3509</x:v>
      </x:c>
      <x:c r="B1611" s="19" t="s">
        <x:v>3510</x:v>
      </x:c>
      <x:c r="C1611" s="20">
        <x:v>69072100</x:v>
      </x:c>
      <x:c r="D1611" s="20">
        <x:v>0</x:v>
      </x:c>
      <x:c r="E1611" s="18" t="s">
        <x:v>227</x:v>
      </x:c>
      <x:c r="F1611" s="19" t="s">
        <x:v>11</x:v>
      </x:c>
      <x:c r="G1611" s="20">
        <x:v>0</x:v>
      </x:c>
      <x:c r="H1611" s="21"/>
      <x:c r="I1611" s="21"/>
      <x:c r="J1611" s="22">
        <x:v>0</x:v>
      </x:c>
      <x:c r="K1611" s="22">
        <x:v>0</x:v>
      </x:c>
      <x:c r="L1611" s="23">
        <x:v>0</x:v>
      </x:c>
    </x:row>
    <x:row r="1612">
      <x:c r="A1612" s="18" t="s">
        <x:v>3511</x:v>
      </x:c>
      <x:c r="B1612" s="19" t="s">
        <x:v>3512</x:v>
      </x:c>
      <x:c r="C1612" s="20">
        <x:v>69072100</x:v>
      </x:c>
      <x:c r="D1612" s="20">
        <x:v>3719.7</x:v>
      </x:c>
      <x:c r="E1612" s="18" t="s">
        <x:v>227</x:v>
      </x:c>
      <x:c r="F1612" s="19" t="s">
        <x:v>11</x:v>
      </x:c>
      <x:c r="G1612" s="20">
        <x:v>0</x:v>
      </x:c>
      <x:c r="H1612" s="21"/>
      <x:c r="I1612" s="21"/>
      <x:c r="J1612" s="23">
        <x:v>11</x:v>
      </x:c>
      <x:c r="K1612" s="23">
        <x:v>40916.699999999997</x:v>
      </x:c>
      <x:c r="L1612" s="23">
        <x:v>10</x:v>
      </x:c>
    </x:row>
    <x:row r="1613">
      <x:c r="A1613" s="18" t="s">
        <x:v>3513</x:v>
      </x:c>
      <x:c r="B1613" s="19" t="s">
        <x:v>3514</x:v>
      </x:c>
      <x:c r="C1613" s="20">
        <x:v>69072100</x:v>
      </x:c>
      <x:c r="D1613" s="20">
        <x:v>0</x:v>
      </x:c>
      <x:c r="E1613" s="18" t="s">
        <x:v>227</x:v>
      </x:c>
      <x:c r="F1613" s="19" t="s">
        <x:v>11</x:v>
      </x:c>
      <x:c r="G1613" s="20">
        <x:v>0</x:v>
      </x:c>
      <x:c r="H1613" s="21"/>
      <x:c r="I1613" s="21"/>
      <x:c r="J1613" s="23">
        <x:v>1</x:v>
      </x:c>
      <x:c r="K1613" s="23">
        <x:v>3719.7</x:v>
      </x:c>
      <x:c r="L1613" s="23">
        <x:v>0</x:v>
      </x:c>
    </x:row>
    <x:row r="1614">
      <x:c r="A1614" s="18" t="s">
        <x:v>3515</x:v>
      </x:c>
      <x:c r="B1614" s="19" t="s">
        <x:v>3516</x:v>
      </x:c>
      <x:c r="C1614" s="20">
        <x:v>69072100</x:v>
      </x:c>
      <x:c r="D1614" s="20">
        <x:v>3719.7</x:v>
      </x:c>
      <x:c r="E1614" s="18" t="s">
        <x:v>227</x:v>
      </x:c>
      <x:c r="F1614" s="19" t="s">
        <x:v>11</x:v>
      </x:c>
      <x:c r="G1614" s="20">
        <x:v>0</x:v>
      </x:c>
      <x:c r="H1614" s="21"/>
      <x:c r="I1614" s="21"/>
      <x:c r="J1614" s="23">
        <x:v>6</x:v>
      </x:c>
      <x:c r="K1614" s="23">
        <x:v>22318.2</x:v>
      </x:c>
      <x:c r="L1614" s="23">
        <x:v>2</x:v>
      </x:c>
    </x:row>
    <x:row r="1615">
      <x:c r="A1615" s="18" t="s">
        <x:v>3517</x:v>
      </x:c>
      <x:c r="B1615" s="19" t="s">
        <x:v>3518</x:v>
      </x:c>
      <x:c r="C1615" s="20">
        <x:v>69072100</x:v>
      </x:c>
      <x:c r="D1615" s="20">
        <x:v>0</x:v>
      </x:c>
      <x:c r="E1615" s="18" t="s">
        <x:v>227</x:v>
      </x:c>
      <x:c r="F1615" s="19" t="s">
        <x:v>11</x:v>
      </x:c>
      <x:c r="G1615" s="20">
        <x:v>0</x:v>
      </x:c>
      <x:c r="H1615" s="21"/>
      <x:c r="I1615" s="21"/>
      <x:c r="J1615" s="22">
        <x:v>0</x:v>
      </x:c>
      <x:c r="K1615" s="22">
        <x:v>0</x:v>
      </x:c>
      <x:c r="L1615" s="23">
        <x:v>0</x:v>
      </x:c>
    </x:row>
    <x:row r="1616">
      <x:c r="A1616" s="18" t="s">
        <x:v>3519</x:v>
      </x:c>
      <x:c r="B1616" s="19" t="s">
        <x:v>3520</x:v>
      </x:c>
      <x:c r="C1616" s="20">
        <x:v>69072100</x:v>
      </x:c>
      <x:c r="D1616" s="20">
        <x:v>4215.66</x:v>
      </x:c>
      <x:c r="E1616" s="18" t="s">
        <x:v>227</x:v>
      </x:c>
      <x:c r="F1616" s="19" t="s">
        <x:v>11</x:v>
      </x:c>
      <x:c r="G1616" s="20">
        <x:v>4215.7</x:v>
      </x:c>
      <x:c r="H1616" s="21"/>
      <x:c r="I1616" s="26" t="s">
        <x:v>3295</x:v>
      </x:c>
      <x:c r="J1616" s="23">
        <x:v>25</x:v>
      </x:c>
      <x:c r="K1616" s="23">
        <x:v>92992.5</x:v>
      </x:c>
      <x:c r="L1616" s="23">
        <x:v>10</x:v>
      </x:c>
    </x:row>
    <x:row r="1617">
      <x:c r="A1617" s="18" t="s">
        <x:v>3521</x:v>
      </x:c>
      <x:c r="B1617" s="19" t="s">
        <x:v>3522</x:v>
      </x:c>
      <x:c r="C1617" s="20">
        <x:v>69072100</x:v>
      </x:c>
      <x:c r="D1617" s="20">
        <x:v>0</x:v>
      </x:c>
      <x:c r="E1617" s="18" t="s">
        <x:v>227</x:v>
      </x:c>
      <x:c r="F1617" s="19" t="s">
        <x:v>11</x:v>
      </x:c>
      <x:c r="G1617" s="20">
        <x:v>0</x:v>
      </x:c>
      <x:c r="H1617" s="21"/>
      <x:c r="I1617" s="21"/>
      <x:c r="J1617" s="22">
        <x:v>0</x:v>
      </x:c>
      <x:c r="K1617" s="22">
        <x:v>0</x:v>
      </x:c>
      <x:c r="L1617" s="23">
        <x:v>0</x:v>
      </x:c>
    </x:row>
    <x:row r="1618">
      <x:c r="A1618" s="18" t="s">
        <x:v>3523</x:v>
      </x:c>
      <x:c r="B1618" s="19" t="s">
        <x:v>3524</x:v>
      </x:c>
      <x:c r="C1618" s="20">
        <x:v>69072100</x:v>
      </x:c>
      <x:c r="D1618" s="20">
        <x:v>0</x:v>
      </x:c>
      <x:c r="E1618" s="18" t="s">
        <x:v>227</x:v>
      </x:c>
      <x:c r="F1618" s="19" t="s">
        <x:v>11</x:v>
      </x:c>
      <x:c r="G1618" s="20">
        <x:v>0</x:v>
      </x:c>
      <x:c r="H1618" s="21"/>
      <x:c r="I1618" s="21"/>
      <x:c r="J1618" s="22">
        <x:v>0</x:v>
      </x:c>
      <x:c r="K1618" s="22">
        <x:v>0</x:v>
      </x:c>
      <x:c r="L1618" s="23">
        <x:v>0</x:v>
      </x:c>
    </x:row>
    <x:row r="1619">
      <x:c r="A1619" s="18" t="s">
        <x:v>3525</x:v>
      </x:c>
      <x:c r="B1619" s="19" t="s">
        <x:v>3526</x:v>
      </x:c>
      <x:c r="C1619" s="20">
        <x:v>69072100</x:v>
      </x:c>
      <x:c r="D1619" s="20">
        <x:v>0</x:v>
      </x:c>
      <x:c r="E1619" s="18" t="s">
        <x:v>227</x:v>
      </x:c>
      <x:c r="F1619" s="19" t="s">
        <x:v>11</x:v>
      </x:c>
      <x:c r="G1619" s="20">
        <x:v>0</x:v>
      </x:c>
      <x:c r="H1619" s="21"/>
      <x:c r="I1619" s="21"/>
      <x:c r="J1619" s="22">
        <x:v>0</x:v>
      </x:c>
      <x:c r="K1619" s="22">
        <x:v>0</x:v>
      </x:c>
      <x:c r="L1619" s="23">
        <x:v>0</x:v>
      </x:c>
    </x:row>
    <x:row r="1620">
      <x:c r="A1620" s="18" t="s">
        <x:v>3527</x:v>
      </x:c>
      <x:c r="B1620" s="19" t="s">
        <x:v>3528</x:v>
      </x:c>
      <x:c r="C1620" s="20">
        <x:v>69072100</x:v>
      </x:c>
      <x:c r="D1620" s="20">
        <x:v>11022</x:v>
      </x:c>
      <x:c r="E1620" s="18" t="s">
        <x:v>227</x:v>
      </x:c>
      <x:c r="F1620" s="19" t="s">
        <x:v>11</x:v>
      </x:c>
      <x:c r="G1620" s="20">
        <x:v>0</x:v>
      </x:c>
      <x:c r="H1620" s="21"/>
      <x:c r="I1620" s="21"/>
      <x:c r="J1620" s="23">
        <x:v>1</x:v>
      </x:c>
      <x:c r="K1620" s="23">
        <x:v>11022</x:v>
      </x:c>
      <x:c r="L1620" s="23">
        <x:v>1</x:v>
      </x:c>
    </x:row>
    <x:row r="1621">
      <x:c r="A1621" s="18" t="s">
        <x:v>3529</x:v>
      </x:c>
      <x:c r="B1621" s="19" t="s">
        <x:v>3530</x:v>
      </x:c>
      <x:c r="C1621" s="20">
        <x:v>69072100</x:v>
      </x:c>
      <x:c r="D1621" s="20">
        <x:v>12399.75</x:v>
      </x:c>
      <x:c r="E1621" s="18" t="s">
        <x:v>227</x:v>
      </x:c>
      <x:c r="F1621" s="19" t="s">
        <x:v>11</x:v>
      </x:c>
      <x:c r="G1621" s="20">
        <x:v>0</x:v>
      </x:c>
      <x:c r="H1621" s="21"/>
      <x:c r="I1621" s="21"/>
      <x:c r="J1621" s="23">
        <x:v>1</x:v>
      </x:c>
      <x:c r="K1621" s="23">
        <x:v>12399.75</x:v>
      </x:c>
      <x:c r="L1621" s="23">
        <x:v>1</x:v>
      </x:c>
    </x:row>
    <x:row r="1622">
      <x:c r="A1622" s="18" t="s">
        <x:v>3531</x:v>
      </x:c>
      <x:c r="B1622" s="19" t="s">
        <x:v>3532</x:v>
      </x:c>
      <x:c r="C1622" s="20">
        <x:v>69072100</x:v>
      </x:c>
      <x:c r="D1622" s="20">
        <x:v>12399.75</x:v>
      </x:c>
      <x:c r="E1622" s="18" t="s">
        <x:v>227</x:v>
      </x:c>
      <x:c r="F1622" s="19" t="s">
        <x:v>11</x:v>
      </x:c>
      <x:c r="G1622" s="20">
        <x:v>0</x:v>
      </x:c>
      <x:c r="H1622" s="21"/>
      <x:c r="I1622" s="21"/>
      <x:c r="J1622" s="23">
        <x:v>12</x:v>
      </x:c>
      <x:c r="K1622" s="23">
        <x:v>148797</x:v>
      </x:c>
      <x:c r="L1622" s="23">
        <x:v>8</x:v>
      </x:c>
    </x:row>
    <x:row r="1623">
      <x:c r="A1623" s="18" t="s">
        <x:v>3533</x:v>
      </x:c>
      <x:c r="B1623" s="19" t="s">
        <x:v>3534</x:v>
      </x:c>
      <x:c r="C1623" s="20">
        <x:v>69072100</x:v>
      </x:c>
      <x:c r="D1623" s="20">
        <x:v>14080.61</x:v>
      </x:c>
      <x:c r="E1623" s="18" t="s">
        <x:v>227</x:v>
      </x:c>
      <x:c r="F1623" s="19" t="s">
        <x:v>11</x:v>
      </x:c>
      <x:c r="G1623" s="20">
        <x:v>0</x:v>
      </x:c>
      <x:c r="H1623" s="21"/>
      <x:c r="I1623" s="21"/>
      <x:c r="J1623" s="23">
        <x:v>2</x:v>
      </x:c>
      <x:c r="K1623" s="23">
        <x:v>28161.22</x:v>
      </x:c>
      <x:c r="L1623" s="23">
        <x:v>2</x:v>
      </x:c>
    </x:row>
    <x:row r="1624">
      <x:c r="A1624" s="18" t="s">
        <x:v>3535</x:v>
      </x:c>
      <x:c r="B1624" s="19" t="s">
        <x:v>3536</x:v>
      </x:c>
      <x:c r="C1624" s="20">
        <x:v>69072100</x:v>
      </x:c>
      <x:c r="D1624" s="20">
        <x:v>0</x:v>
      </x:c>
      <x:c r="E1624" s="18" t="s">
        <x:v>227</x:v>
      </x:c>
      <x:c r="F1624" s="19" t="s">
        <x:v>11</x:v>
      </x:c>
      <x:c r="G1624" s="20">
        <x:v>10471</x:v>
      </x:c>
      <x:c r="H1624" s="21"/>
      <x:c r="I1624" s="26" t="s">
        <x:v>3290</x:v>
      </x:c>
      <x:c r="J1624" s="22">
        <x:v>0</x:v>
      </x:c>
      <x:c r="K1624" s="22">
        <x:v>0</x:v>
      </x:c>
      <x:c r="L1624" s="23">
        <x:v>0</x:v>
      </x:c>
    </x:row>
    <x:row r="1625">
      <x:c r="A1625" s="18" t="s">
        <x:v>3537</x:v>
      </x:c>
      <x:c r="B1625" s="19" t="s">
        <x:v>3538</x:v>
      </x:c>
      <x:c r="C1625" s="20">
        <x:v>69072100</x:v>
      </x:c>
      <x:c r="D1625" s="20">
        <x:v>0</x:v>
      </x:c>
      <x:c r="E1625" s="18" t="s">
        <x:v>227</x:v>
      </x:c>
      <x:c r="F1625" s="19" t="s">
        <x:v>11</x:v>
      </x:c>
      <x:c r="G1625" s="20">
        <x:v>0</x:v>
      </x:c>
      <x:c r="H1625" s="21"/>
      <x:c r="I1625" s="21"/>
      <x:c r="J1625" s="22">
        <x:v>0</x:v>
      </x:c>
      <x:c r="K1625" s="22">
        <x:v>0</x:v>
      </x:c>
      <x:c r="L1625" s="23">
        <x:v>0</x:v>
      </x:c>
    </x:row>
    <x:row r="1626">
      <x:c r="A1626" s="18" t="s">
        <x:v>3539</x:v>
      </x:c>
      <x:c r="B1626" s="19" t="s">
        <x:v>3540</x:v>
      </x:c>
      <x:c r="C1626" s="20">
        <x:v>69072100</x:v>
      </x:c>
      <x:c r="D1626" s="20">
        <x:v>11256.21</x:v>
      </x:c>
      <x:c r="E1626" s="18" t="s">
        <x:v>227</x:v>
      </x:c>
      <x:c r="F1626" s="19" t="s">
        <x:v>11</x:v>
      </x:c>
      <x:c r="G1626" s="20">
        <x:v>0</x:v>
      </x:c>
      <x:c r="H1626" s="21"/>
      <x:c r="I1626" s="21"/>
      <x:c r="J1626" s="23">
        <x:v>1</x:v>
      </x:c>
      <x:c r="K1626" s="23">
        <x:v>11256.21</x:v>
      </x:c>
      <x:c r="L1626" s="23">
        <x:v>1</x:v>
      </x:c>
    </x:row>
    <x:row r="1627">
      <x:c r="A1627" s="18" t="s">
        <x:v>3541</x:v>
      </x:c>
      <x:c r="B1627" s="19" t="s">
        <x:v>3542</x:v>
      </x:c>
      <x:c r="C1627" s="20">
        <x:v>69072100</x:v>
      </x:c>
      <x:c r="D1627" s="20">
        <x:v>2756</x:v>
      </x:c>
      <x:c r="E1627" s="18" t="s">
        <x:v>227</x:v>
      </x:c>
      <x:c r="F1627" s="19" t="s">
        <x:v>11</x:v>
      </x:c>
      <x:c r="G1627" s="20">
        <x:v>0</x:v>
      </x:c>
      <x:c r="H1627" s="21"/>
      <x:c r="I1627" s="21"/>
      <x:c r="J1627" s="23">
        <x:v>6</x:v>
      </x:c>
      <x:c r="K1627" s="23">
        <x:v>16536</x:v>
      </x:c>
      <x:c r="L1627" s="23">
        <x:v>6</x:v>
      </x:c>
    </x:row>
    <x:row r="1628">
      <x:c r="A1628" s="18" t="s">
        <x:v>3543</x:v>
      </x:c>
      <x:c r="B1628" s="19" t="s">
        <x:v>3544</x:v>
      </x:c>
      <x:c r="C1628" s="20">
        <x:v>69072100</x:v>
      </x:c>
      <x:c r="D1628" s="20">
        <x:v>2618.1999999999998</x:v>
      </x:c>
      <x:c r="E1628" s="18" t="s">
        <x:v>227</x:v>
      </x:c>
      <x:c r="F1628" s="19" t="s">
        <x:v>11</x:v>
      </x:c>
      <x:c r="G1628" s="20">
        <x:v>0</x:v>
      </x:c>
      <x:c r="H1628" s="21"/>
      <x:c r="I1628" s="21"/>
      <x:c r="J1628" s="22">
        <x:v>0</x:v>
      </x:c>
      <x:c r="K1628" s="22">
        <x:v>0</x:v>
      </x:c>
      <x:c r="L1628" s="23">
        <x:v>55</x:v>
      </x:c>
    </x:row>
    <x:row r="1629">
      <x:c r="A1629" s="18" t="s">
        <x:v>3545</x:v>
      </x:c>
      <x:c r="B1629" s="19" t="s">
        <x:v>3546</x:v>
      </x:c>
      <x:c r="C1629" s="20">
        <x:v>69072100</x:v>
      </x:c>
      <x:c r="D1629" s="20">
        <x:v>11064.98</x:v>
      </x:c>
      <x:c r="E1629" s="18" t="s">
        <x:v>227</x:v>
      </x:c>
      <x:c r="F1629" s="19" t="s">
        <x:v>11</x:v>
      </x:c>
      <x:c r="G1629" s="20">
        <x:v>11065</x:v>
      </x:c>
      <x:c r="H1629" s="21"/>
      <x:c r="I1629" s="26" t="s">
        <x:v>3424</x:v>
      </x:c>
      <x:c r="J1629" s="22">
        <x:v>0</x:v>
      </x:c>
      <x:c r="K1629" s="22">
        <x:v>0</x:v>
      </x:c>
      <x:c r="L1629" s="23">
        <x:v>3</x:v>
      </x:c>
    </x:row>
    <x:row r="1630">
      <x:c r="A1630" s="18" t="s">
        <x:v>3547</x:v>
      </x:c>
      <x:c r="B1630" s="19" t="s">
        <x:v>3548</x:v>
      </x:c>
      <x:c r="C1630" s="20">
        <x:v>69072100</x:v>
      </x:c>
      <x:c r="D1630" s="20">
        <x:v>0</x:v>
      </x:c>
      <x:c r="E1630" s="18" t="s">
        <x:v>227</x:v>
      </x:c>
      <x:c r="F1630" s="19" t="s">
        <x:v>11</x:v>
      </x:c>
      <x:c r="G1630" s="20">
        <x:v>0</x:v>
      </x:c>
      <x:c r="H1630" s="21"/>
      <x:c r="I1630" s="21"/>
      <x:c r="J1630" s="22">
        <x:v>0</x:v>
      </x:c>
      <x:c r="K1630" s="22">
        <x:v>0</x:v>
      </x:c>
      <x:c r="L1630" s="23">
        <x:v>0</x:v>
      </x:c>
    </x:row>
    <x:row r="1631">
      <x:c r="A1631" s="18" t="s">
        <x:v>3549</x:v>
      </x:c>
      <x:c r="B1631" s="19" t="s">
        <x:v>3550</x:v>
      </x:c>
      <x:c r="C1631" s="20">
        <x:v>69072100</x:v>
      </x:c>
      <x:c r="D1631" s="20">
        <x:v>6528.29</x:v>
      </x:c>
      <x:c r="E1631" s="18" t="s">
        <x:v>227</x:v>
      </x:c>
      <x:c r="F1631" s="19" t="s">
        <x:v>11</x:v>
      </x:c>
      <x:c r="G1631" s="20">
        <x:v>0</x:v>
      </x:c>
      <x:c r="H1631" s="21"/>
      <x:c r="I1631" s="21"/>
      <x:c r="J1631" s="23">
        <x:v>30</x:v>
      </x:c>
      <x:c r="K1631" s="23">
        <x:v>195860.55</x:v>
      </x:c>
      <x:c r="L1631" s="23">
        <x:v>1</x:v>
      </x:c>
    </x:row>
    <x:row r="1632">
      <x:c r="A1632" s="18" t="s">
        <x:v>3551</x:v>
      </x:c>
      <x:c r="B1632" s="19" t="s">
        <x:v>3552</x:v>
      </x:c>
      <x:c r="C1632" s="20">
        <x:v>69072100</x:v>
      </x:c>
      <x:c r="D1632" s="20">
        <x:v>6854.68</x:v>
      </x:c>
      <x:c r="E1632" s="18" t="s">
        <x:v>227</x:v>
      </x:c>
      <x:c r="F1632" s="19" t="s">
        <x:v>11</x:v>
      </x:c>
      <x:c r="G1632" s="20">
        <x:v>0</x:v>
      </x:c>
      <x:c r="H1632" s="21"/>
      <x:c r="I1632" s="21"/>
      <x:c r="J1632" s="23">
        <x:v>39</x:v>
      </x:c>
      <x:c r="K1632" s="23">
        <x:v>267332.46999999997</x:v>
      </x:c>
      <x:c r="L1632" s="23">
        <x:v>35</x:v>
      </x:c>
    </x:row>
    <x:row r="1633">
      <x:c r="A1633" s="18" t="s">
        <x:v>3553</x:v>
      </x:c>
      <x:c r="B1633" s="19" t="s">
        <x:v>3554</x:v>
      </x:c>
      <x:c r="C1633" s="20">
        <x:v>69072100</x:v>
      </x:c>
      <x:c r="D1633" s="20">
        <x:v>4991.46</x:v>
      </x:c>
      <x:c r="E1633" s="18" t="s">
        <x:v>227</x:v>
      </x:c>
      <x:c r="F1633" s="19" t="s">
        <x:v>11</x:v>
      </x:c>
      <x:c r="G1633" s="20">
        <x:v>4991.5</x:v>
      </x:c>
      <x:c r="H1633" s="21"/>
      <x:c r="I1633" s="26" t="s">
        <x:v>3331</x:v>
      </x:c>
      <x:c r="J1633" s="23">
        <x:v>12</x:v>
      </x:c>
      <x:c r="K1633" s="23">
        <x:v>56902.64</x:v>
      </x:c>
      <x:c r="L1633" s="23">
        <x:v>33</x:v>
      </x:c>
    </x:row>
    <x:row r="1634">
      <x:c r="A1634" s="18" t="s">
        <x:v>3555</x:v>
      </x:c>
      <x:c r="B1634" s="19" t="s">
        <x:v>3556</x:v>
      </x:c>
      <x:c r="C1634" s="20">
        <x:v>69072100</x:v>
      </x:c>
      <x:c r="D1634" s="20">
        <x:v>0</x:v>
      </x:c>
      <x:c r="E1634" s="18" t="s">
        <x:v>227</x:v>
      </x:c>
      <x:c r="F1634" s="19" t="s">
        <x:v>11</x:v>
      </x:c>
      <x:c r="G1634" s="20">
        <x:v>0</x:v>
      </x:c>
      <x:c r="H1634" s="21"/>
      <x:c r="I1634" s="21"/>
      <x:c r="J1634" s="23">
        <x:v>12</x:v>
      </x:c>
      <x:c r="K1634" s="23">
        <x:v>51336</x:v>
      </x:c>
      <x:c r="L1634" s="23">
        <x:v>0</x:v>
      </x:c>
    </x:row>
    <x:row r="1635">
      <x:c r="A1635" s="18" t="s">
        <x:v>3557</x:v>
      </x:c>
      <x:c r="B1635" s="19" t="s">
        <x:v>3558</x:v>
      </x:c>
      <x:c r="C1635" s="20">
        <x:v>69072100</x:v>
      </x:c>
      <x:c r="D1635" s="20">
        <x:v>5352.72</x:v>
      </x:c>
      <x:c r="E1635" s="18" t="s">
        <x:v>227</x:v>
      </x:c>
      <x:c r="F1635" s="19" t="s">
        <x:v>11</x:v>
      </x:c>
      <x:c r="G1635" s="20">
        <x:v>5352.7</x:v>
      </x:c>
      <x:c r="H1635" s="21"/>
      <x:c r="I1635" s="26" t="s">
        <x:v>3331</x:v>
      </x:c>
      <x:c r="J1635" s="22">
        <x:v>0</x:v>
      </x:c>
      <x:c r="K1635" s="22">
        <x:v>0</x:v>
      </x:c>
      <x:c r="L1635" s="23">
        <x:v>44</x:v>
      </x:c>
    </x:row>
    <x:row r="1636">
      <x:c r="A1636" s="18" t="s">
        <x:v>3559</x:v>
      </x:c>
      <x:c r="B1636" s="19" t="s">
        <x:v>3560</x:v>
      </x:c>
      <x:c r="C1636" s="20">
        <x:v>69072100</x:v>
      </x:c>
      <x:c r="D1636" s="20">
        <x:v>4991.46</x:v>
      </x:c>
      <x:c r="E1636" s="18" t="s">
        <x:v>227</x:v>
      </x:c>
      <x:c r="F1636" s="19" t="s">
        <x:v>11</x:v>
      </x:c>
      <x:c r="G1636" s="20">
        <x:v>4991.5</x:v>
      </x:c>
      <x:c r="H1636" s="21"/>
      <x:c r="I1636" s="26" t="s">
        <x:v>3331</x:v>
      </x:c>
      <x:c r="J1636" s="22">
        <x:v>0</x:v>
      </x:c>
      <x:c r="K1636" s="22">
        <x:v>0</x:v>
      </x:c>
      <x:c r="L1636" s="23">
        <x:v>2</x:v>
      </x:c>
    </x:row>
    <x:row r="1637">
      <x:c r="A1637" s="18" t="s">
        <x:v>3561</x:v>
      </x:c>
      <x:c r="B1637" s="19" t="s">
        <x:v>3562</x:v>
      </x:c>
      <x:c r="C1637" s="20">
        <x:v>69072100</x:v>
      </x:c>
      <x:c r="D1637" s="20">
        <x:v>4741.8900000000003</x:v>
      </x:c>
      <x:c r="E1637" s="18" t="s">
        <x:v>227</x:v>
      </x:c>
      <x:c r="F1637" s="19" t="s">
        <x:v>11</x:v>
      </x:c>
      <x:c r="G1637" s="20">
        <x:v>0</x:v>
      </x:c>
      <x:c r="H1637" s="21"/>
      <x:c r="I1637" s="21"/>
      <x:c r="J1637" s="23">
        <x:v>25</x:v>
      </x:c>
      <x:c r="K1637" s="23">
        <x:v>118547.17</x:v>
      </x:c>
      <x:c r="L1637" s="23">
        <x:v>8</x:v>
      </x:c>
    </x:row>
    <x:row r="1638">
      <x:c r="A1638" s="18" t="s">
        <x:v>3563</x:v>
      </x:c>
      <x:c r="B1638" s="19" t="s">
        <x:v>3564</x:v>
      </x:c>
      <x:c r="C1638" s="20">
        <x:v>69072100</x:v>
      </x:c>
      <x:c r="D1638" s="20">
        <x:v>4278</x:v>
      </x:c>
      <x:c r="E1638" s="18" t="s">
        <x:v>227</x:v>
      </x:c>
      <x:c r="F1638" s="19" t="s">
        <x:v>11</x:v>
      </x:c>
      <x:c r="G1638" s="20">
        <x:v>0</x:v>
      </x:c>
      <x:c r="H1638" s="21"/>
      <x:c r="I1638" s="21"/>
      <x:c r="J1638" s="23">
        <x:v>27</x:v>
      </x:c>
      <x:c r="K1638" s="23">
        <x:v>115506</x:v>
      </x:c>
      <x:c r="L1638" s="23">
        <x:v>19</x:v>
      </x:c>
    </x:row>
    <x:row r="1639">
      <x:c r="A1639" s="18" t="s">
        <x:v>3565</x:v>
      </x:c>
      <x:c r="B1639" s="19" t="s">
        <x:v>3566</x:v>
      </x:c>
      <x:c r="C1639" s="20">
        <x:v>69072100</x:v>
      </x:c>
      <x:c r="D1639" s="20">
        <x:v>3937</x:v>
      </x:c>
      <x:c r="E1639" s="18" t="s">
        <x:v>227</x:v>
      </x:c>
      <x:c r="F1639" s="19" t="s">
        <x:v>11</x:v>
      </x:c>
      <x:c r="G1639" s="20">
        <x:v>0</x:v>
      </x:c>
      <x:c r="H1639" s="21"/>
      <x:c r="I1639" s="21"/>
      <x:c r="J1639" s="23">
        <x:v>35</x:v>
      </x:c>
      <x:c r="K1639" s="23">
        <x:v>137795</x:v>
      </x:c>
      <x:c r="L1639" s="23">
        <x:v>30</x:v>
      </x:c>
    </x:row>
    <x:row r="1640">
      <x:c r="A1640" s="18" t="s">
        <x:v>3567</x:v>
      </x:c>
      <x:c r="B1640" s="19" t="s">
        <x:v>3568</x:v>
      </x:c>
      <x:c r="C1640" s="20">
        <x:v>69072100</x:v>
      </x:c>
      <x:c r="D1640" s="20">
        <x:v>0</x:v>
      </x:c>
      <x:c r="E1640" s="18" t="s">
        <x:v>227</x:v>
      </x:c>
      <x:c r="F1640" s="19" t="s">
        <x:v>11</x:v>
      </x:c>
      <x:c r="G1640" s="20">
        <x:v>0</x:v>
      </x:c>
      <x:c r="H1640" s="21"/>
      <x:c r="I1640" s="21"/>
      <x:c r="J1640" s="22">
        <x:v>0</x:v>
      </x:c>
      <x:c r="K1640" s="22">
        <x:v>0</x:v>
      </x:c>
      <x:c r="L1640" s="23">
        <x:v>0</x:v>
      </x:c>
    </x:row>
    <x:row r="1641">
      <x:c r="A1641" s="18" t="s">
        <x:v>3569</x:v>
      </x:c>
      <x:c r="B1641" s="19" t="s">
        <x:v>3570</x:v>
      </x:c>
      <x:c r="C1641" s="20">
        <x:v>69072100</x:v>
      </x:c>
      <x:c r="D1641" s="20">
        <x:v>4593.59</x:v>
      </x:c>
      <x:c r="E1641" s="18" t="s">
        <x:v>227</x:v>
      </x:c>
      <x:c r="F1641" s="19" t="s">
        <x:v>11</x:v>
      </x:c>
      <x:c r="G1641" s="20">
        <x:v>4991.5</x:v>
      </x:c>
      <x:c r="H1641" s="21"/>
      <x:c r="I1641" s="26" t="s">
        <x:v>3331</x:v>
      </x:c>
      <x:c r="J1641" s="23">
        <x:v>23</x:v>
      </x:c>
      <x:c r="K1641" s="23">
        <x:v>100369.94</x:v>
      </x:c>
      <x:c r="L1641" s="23">
        <x:v>50</x:v>
      </x:c>
    </x:row>
    <x:row r="1642">
      <x:c r="A1642" s="18" t="s">
        <x:v>3571</x:v>
      </x:c>
      <x:c r="B1642" s="19" t="s">
        <x:v>3572</x:v>
      </x:c>
      <x:c r="C1642" s="20">
        <x:v>69072100</x:v>
      </x:c>
      <x:c r="D1642" s="20">
        <x:v>3937</x:v>
      </x:c>
      <x:c r="E1642" s="18" t="s">
        <x:v>227</x:v>
      </x:c>
      <x:c r="F1642" s="19" t="s">
        <x:v>11</x:v>
      </x:c>
      <x:c r="G1642" s="20">
        <x:v>0</x:v>
      </x:c>
      <x:c r="H1642" s="21"/>
      <x:c r="I1642" s="21"/>
      <x:c r="J1642" s="23">
        <x:v>55</x:v>
      </x:c>
      <x:c r="K1642" s="23">
        <x:v>216535</x:v>
      </x:c>
      <x:c r="L1642" s="23">
        <x:v>53</x:v>
      </x:c>
    </x:row>
    <x:row r="1643">
      <x:c r="A1643" s="18" t="s">
        <x:v>3573</x:v>
      </x:c>
      <x:c r="B1643" s="19" t="s">
        <x:v>3574</x:v>
      </x:c>
      <x:c r="C1643" s="20">
        <x:v>69072100</x:v>
      </x:c>
      <x:c r="D1643" s="20">
        <x:v>0</x:v>
      </x:c>
      <x:c r="E1643" s="18" t="s">
        <x:v>227</x:v>
      </x:c>
      <x:c r="F1643" s="19" t="s">
        <x:v>11</x:v>
      </x:c>
      <x:c r="G1643" s="20">
        <x:v>0</x:v>
      </x:c>
      <x:c r="H1643" s="21"/>
      <x:c r="I1643" s="21"/>
      <x:c r="J1643" s="22">
        <x:v>0</x:v>
      </x:c>
      <x:c r="K1643" s="22">
        <x:v>0</x:v>
      </x:c>
      <x:c r="L1643" s="23">
        <x:v>0</x:v>
      </x:c>
    </x:row>
    <x:row r="1644">
      <x:c r="A1644" s="18" t="s">
        <x:v>3575</x:v>
      </x:c>
      <x:c r="B1644" s="19" t="s">
        <x:v>3576</x:v>
      </x:c>
      <x:c r="C1644" s="20">
        <x:v>69072100</x:v>
      </x:c>
      <x:c r="D1644" s="20">
        <x:v>0</x:v>
      </x:c>
      <x:c r="E1644" s="18" t="s">
        <x:v>227</x:v>
      </x:c>
      <x:c r="F1644" s="19" t="s">
        <x:v>11</x:v>
      </x:c>
      <x:c r="G1644" s="20">
        <x:v>7776.6</x:v>
      </x:c>
      <x:c r="H1644" s="21"/>
      <x:c r="I1644" s="26" t="s">
        <x:v>3331</x:v>
      </x:c>
      <x:c r="J1644" s="22">
        <x:v>0</x:v>
      </x:c>
      <x:c r="K1644" s="22">
        <x:v>0</x:v>
      </x:c>
      <x:c r="L1644" s="23">
        <x:v>0</x:v>
      </x:c>
    </x:row>
    <x:row r="1645">
      <x:c r="A1645" s="18" t="s">
        <x:v>3577</x:v>
      </x:c>
      <x:c r="B1645" s="19" t="s">
        <x:v>3578</x:v>
      </x:c>
      <x:c r="C1645" s="20">
        <x:v>69072100</x:v>
      </x:c>
      <x:c r="D1645" s="20">
        <x:v>7957.4</x:v>
      </x:c>
      <x:c r="E1645" s="18" t="s">
        <x:v>227</x:v>
      </x:c>
      <x:c r="F1645" s="19" t="s">
        <x:v>11</x:v>
      </x:c>
      <x:c r="G1645" s="20">
        <x:v>7776.6</x:v>
      </x:c>
      <x:c r="H1645" s="21"/>
      <x:c r="I1645" s="26" t="s">
        <x:v>3331</x:v>
      </x:c>
      <x:c r="J1645" s="22">
        <x:v>0</x:v>
      </x:c>
      <x:c r="K1645" s="22">
        <x:v>0</x:v>
      </x:c>
      <x:c r="L1645" s="23">
        <x:v>36</x:v>
      </x:c>
    </x:row>
    <x:row r="1646">
      <x:c r="A1646" s="18" t="s">
        <x:v>3579</x:v>
      </x:c>
      <x:c r="B1646" s="19" t="s">
        <x:v>3580</x:v>
      </x:c>
      <x:c r="C1646" s="20">
        <x:v>69072100</x:v>
      </x:c>
      <x:c r="D1646" s="20">
        <x:v>7776.55</x:v>
      </x:c>
      <x:c r="E1646" s="18" t="s">
        <x:v>227</x:v>
      </x:c>
      <x:c r="F1646" s="19" t="s">
        <x:v>11</x:v>
      </x:c>
      <x:c r="G1646" s="20">
        <x:v>7776.6</x:v>
      </x:c>
      <x:c r="H1646" s="21"/>
      <x:c r="I1646" s="26" t="s">
        <x:v>3331</x:v>
      </x:c>
      <x:c r="J1646" s="23">
        <x:v>40</x:v>
      </x:c>
      <x:c r="K1646" s="23">
        <x:v>311062</x:v>
      </x:c>
      <x:c r="L1646" s="23">
        <x:v>53</x:v>
      </x:c>
    </x:row>
    <x:row r="1647">
      <x:c r="A1647" s="18" t="s">
        <x:v>3581</x:v>
      </x:c>
      <x:c r="B1647" s="19" t="s">
        <x:v>3582</x:v>
      </x:c>
      <x:c r="C1647" s="20">
        <x:v>69072100</x:v>
      </x:c>
      <x:c r="D1647" s="20">
        <x:v>7957.4</x:v>
      </x:c>
      <x:c r="E1647" s="18" t="s">
        <x:v>227</x:v>
      </x:c>
      <x:c r="F1647" s="19" t="s">
        <x:v>11</x:v>
      </x:c>
      <x:c r="G1647" s="20">
        <x:v>7776.6</x:v>
      </x:c>
      <x:c r="H1647" s="21"/>
      <x:c r="I1647" s="26" t="s">
        <x:v>3331</x:v>
      </x:c>
      <x:c r="J1647" s="23">
        <x:v>11</x:v>
      </x:c>
      <x:c r="K1647" s="23">
        <x:v>81264.95</x:v>
      </x:c>
      <x:c r="L1647" s="23">
        <x:v>39</x:v>
      </x:c>
    </x:row>
    <x:row r="1648">
      <x:c r="A1648" s="18" t="s">
        <x:v>3583</x:v>
      </x:c>
      <x:c r="B1648" s="19" t="s">
        <x:v>3584</x:v>
      </x:c>
      <x:c r="C1648" s="20">
        <x:v>69072100</x:v>
      </x:c>
      <x:c r="D1648" s="20">
        <x:v>3782</x:v>
      </x:c>
      <x:c r="E1648" s="18" t="s">
        <x:v>227</x:v>
      </x:c>
      <x:c r="F1648" s="19" t="s">
        <x:v>11</x:v>
      </x:c>
      <x:c r="G1648" s="20">
        <x:v>0</x:v>
      </x:c>
      <x:c r="H1648" s="21"/>
      <x:c r="I1648" s="21"/>
      <x:c r="J1648" s="23">
        <x:v>17</x:v>
      </x:c>
      <x:c r="K1648" s="23">
        <x:v>64294</x:v>
      </x:c>
      <x:c r="L1648" s="23">
        <x:v>5</x:v>
      </x:c>
    </x:row>
    <x:row r="1649">
      <x:c r="A1649" s="18" t="s">
        <x:v>3585</x:v>
      </x:c>
      <x:c r="B1649" s="19" t="s">
        <x:v>3586</x:v>
      </x:c>
      <x:c r="C1649" s="20">
        <x:v>69072100</x:v>
      </x:c>
      <x:c r="D1649" s="20">
        <x:v>4773.78</x:v>
      </x:c>
      <x:c r="E1649" s="18" t="s">
        <x:v>227</x:v>
      </x:c>
      <x:c r="F1649" s="19" t="s">
        <x:v>11</x:v>
      </x:c>
      <x:c r="G1649" s="20">
        <x:v>0</x:v>
      </x:c>
      <x:c r="H1649" s="21"/>
      <x:c r="I1649" s="21"/>
      <x:c r="J1649" s="23">
        <x:v>50</x:v>
      </x:c>
      <x:c r="K1649" s="23">
        <x:v>238689</x:v>
      </x:c>
      <x:c r="L1649" s="23">
        <x:v>44</x:v>
      </x:c>
    </x:row>
    <x:row r="1650">
      <x:c r="A1650" s="18" t="s">
        <x:v>3587</x:v>
      </x:c>
      <x:c r="B1650" s="19" t="s">
        <x:v>3588</x:v>
      </x:c>
      <x:c r="C1650" s="20">
        <x:v>69072100</x:v>
      </x:c>
      <x:c r="D1650" s="20">
        <x:v>4769.88</x:v>
      </x:c>
      <x:c r="E1650" s="18" t="s">
        <x:v>227</x:v>
      </x:c>
      <x:c r="F1650" s="19" t="s">
        <x:v>11</x:v>
      </x:c>
      <x:c r="G1650" s="20">
        <x:v>0</x:v>
      </x:c>
      <x:c r="H1650" s="21"/>
      <x:c r="I1650" s="21"/>
      <x:c r="J1650" s="23">
        <x:v>30</x:v>
      </x:c>
      <x:c r="K1650" s="23">
        <x:v>143096.5</x:v>
      </x:c>
      <x:c r="L1650" s="23">
        <x:v>15</x:v>
      </x:c>
    </x:row>
    <x:row r="1651">
      <x:c r="A1651" s="18" t="s">
        <x:v>3589</x:v>
      </x:c>
      <x:c r="B1651" s="19" t="s">
        <x:v>3590</x:v>
      </x:c>
      <x:c r="C1651" s="20">
        <x:v>69072100</x:v>
      </x:c>
      <x:c r="D1651" s="20">
        <x:v>0</x:v>
      </x:c>
      <x:c r="E1651" s="18" t="s">
        <x:v>227</x:v>
      </x:c>
      <x:c r="F1651" s="19" t="s">
        <x:v>11</x:v>
      </x:c>
      <x:c r="G1651" s="20">
        <x:v>0</x:v>
      </x:c>
      <x:c r="H1651" s="21"/>
      <x:c r="I1651" s="21"/>
      <x:c r="J1651" s="22">
        <x:v>0</x:v>
      </x:c>
      <x:c r="K1651" s="22">
        <x:v>0</x:v>
      </x:c>
      <x:c r="L1651" s="23">
        <x:v>0</x:v>
      </x:c>
    </x:row>
    <x:row r="1652">
      <x:c r="A1652" s="18" t="s">
        <x:v>3591</x:v>
      </x:c>
      <x:c r="B1652" s="19" t="s">
        <x:v>3592</x:v>
      </x:c>
      <x:c r="C1652" s="20">
        <x:v>69072100</x:v>
      </x:c>
      <x:c r="D1652" s="20">
        <x:v>3782</x:v>
      </x:c>
      <x:c r="E1652" s="18" t="s">
        <x:v>227</x:v>
      </x:c>
      <x:c r="F1652" s="19" t="s">
        <x:v>11</x:v>
      </x:c>
      <x:c r="G1652" s="20">
        <x:v>0</x:v>
      </x:c>
      <x:c r="H1652" s="21"/>
      <x:c r="I1652" s="21"/>
      <x:c r="J1652" s="23">
        <x:v>49</x:v>
      </x:c>
      <x:c r="K1652" s="23">
        <x:v>185318</x:v>
      </x:c>
      <x:c r="L1652" s="23">
        <x:v>36</x:v>
      </x:c>
    </x:row>
    <x:row r="1653">
      <x:c r="A1653" s="18" t="s">
        <x:v>3593</x:v>
      </x:c>
      <x:c r="B1653" s="19" t="s">
        <x:v>3594</x:v>
      </x:c>
      <x:c r="C1653" s="20">
        <x:v>69072100</x:v>
      </x:c>
      <x:c r="D1653" s="20">
        <x:v>3782</x:v>
      </x:c>
      <x:c r="E1653" s="18" t="s">
        <x:v>227</x:v>
      </x:c>
      <x:c r="F1653" s="19" t="s">
        <x:v>11</x:v>
      </x:c>
      <x:c r="G1653" s="20">
        <x:v>0</x:v>
      </x:c>
      <x:c r="H1653" s="21"/>
      <x:c r="I1653" s="21"/>
      <x:c r="J1653" s="23">
        <x:v>27</x:v>
      </x:c>
      <x:c r="K1653" s="23">
        <x:v>102114</x:v>
      </x:c>
      <x:c r="L1653" s="23">
        <x:v>11</x:v>
      </x:c>
    </x:row>
    <x:row r="1654">
      <x:c r="A1654" s="18" t="s">
        <x:v>3595</x:v>
      </x:c>
      <x:c r="B1654" s="19" t="s">
        <x:v>3596</x:v>
      </x:c>
      <x:c r="C1654" s="20">
        <x:v>69072100</x:v>
      </x:c>
      <x:c r="D1654" s="20">
        <x:v>3870.19</x:v>
      </x:c>
      <x:c r="E1654" s="18" t="s">
        <x:v>227</x:v>
      </x:c>
      <x:c r="F1654" s="19" t="s">
        <x:v>11</x:v>
      </x:c>
      <x:c r="G1654" s="20">
        <x:v>3870.2</x:v>
      </x:c>
      <x:c r="H1654" s="21"/>
      <x:c r="I1654" s="26" t="s">
        <x:v>3331</x:v>
      </x:c>
      <x:c r="J1654" s="22">
        <x:v>0</x:v>
      </x:c>
      <x:c r="K1654" s="22">
        <x:v>0</x:v>
      </x:c>
      <x:c r="L1654" s="23">
        <x:v>15</x:v>
      </x:c>
    </x:row>
    <x:row r="1655">
      <x:c r="A1655" s="18" t="s">
        <x:v>3597</x:v>
      </x:c>
      <x:c r="B1655" s="19" t="s">
        <x:v>3598</x:v>
      </x:c>
      <x:c r="C1655" s="20">
        <x:v>69072100</x:v>
      </x:c>
      <x:c r="D1655" s="20">
        <x:v>0</x:v>
      </x:c>
      <x:c r="E1655" s="18" t="s">
        <x:v>227</x:v>
      </x:c>
      <x:c r="F1655" s="19" t="s">
        <x:v>11</x:v>
      </x:c>
      <x:c r="G1655" s="20">
        <x:v>0</x:v>
      </x:c>
      <x:c r="H1655" s="21"/>
      <x:c r="I1655" s="21"/>
      <x:c r="J1655" s="22">
        <x:v>0</x:v>
      </x:c>
      <x:c r="K1655" s="22">
        <x:v>0</x:v>
      </x:c>
      <x:c r="L1655" s="23">
        <x:v>0</x:v>
      </x:c>
    </x:row>
    <x:row r="1656">
      <x:c r="A1656" s="18" t="s">
        <x:v>3599</x:v>
      </x:c>
      <x:c r="B1656" s="19" t="s">
        <x:v>3600</x:v>
      </x:c>
      <x:c r="C1656" s="20">
        <x:v>69072100</x:v>
      </x:c>
      <x:c r="D1656" s="20">
        <x:v>3782</x:v>
      </x:c>
      <x:c r="E1656" s="18" t="s">
        <x:v>227</x:v>
      </x:c>
      <x:c r="F1656" s="19" t="s">
        <x:v>11</x:v>
      </x:c>
      <x:c r="G1656" s="20">
        <x:v>0</x:v>
      </x:c>
      <x:c r="H1656" s="21"/>
      <x:c r="I1656" s="21"/>
      <x:c r="J1656" s="23">
        <x:v>14</x:v>
      </x:c>
      <x:c r="K1656" s="23">
        <x:v>52948</x:v>
      </x:c>
      <x:c r="L1656" s="23">
        <x:v>1</x:v>
      </x:c>
    </x:row>
    <x:row r="1657">
      <x:c r="A1657" s="18" t="s">
        <x:v>3601</x:v>
      </x:c>
      <x:c r="B1657" s="19" t="s">
        <x:v>3602</x:v>
      </x:c>
      <x:c r="C1657" s="20">
        <x:v>69072100</x:v>
      </x:c>
      <x:c r="D1657" s="20">
        <x:v>4773.78</x:v>
      </x:c>
      <x:c r="E1657" s="18" t="s">
        <x:v>227</x:v>
      </x:c>
      <x:c r="F1657" s="19" t="s">
        <x:v>11</x:v>
      </x:c>
      <x:c r="G1657" s="20">
        <x:v>0</x:v>
      </x:c>
      <x:c r="H1657" s="21"/>
      <x:c r="I1657" s="21"/>
      <x:c r="J1657" s="23">
        <x:v>97</x:v>
      </x:c>
      <x:c r="K1657" s="23">
        <x:v>463065.57</x:v>
      </x:c>
      <x:c r="L1657" s="23">
        <x:v>82</x:v>
      </x:c>
    </x:row>
    <x:row r="1658">
      <x:c r="A1658" s="18" t="s">
        <x:v>3603</x:v>
      </x:c>
      <x:c r="B1658" s="19" t="s">
        <x:v>3604</x:v>
      </x:c>
      <x:c r="C1658" s="20">
        <x:v>69072100</x:v>
      </x:c>
      <x:c r="D1658" s="20">
        <x:v>0</x:v>
      </x:c>
      <x:c r="E1658" s="18" t="s">
        <x:v>227</x:v>
      </x:c>
      <x:c r="F1658" s="19" t="s">
        <x:v>11</x:v>
      </x:c>
      <x:c r="G1658" s="20">
        <x:v>0</x:v>
      </x:c>
      <x:c r="H1658" s="21"/>
      <x:c r="I1658" s="21"/>
      <x:c r="J1658" s="23">
        <x:v>2</x:v>
      </x:c>
      <x:c r="K1658" s="23">
        <x:v>1767</x:v>
      </x:c>
      <x:c r="L1658" s="23">
        <x:v>0</x:v>
      </x:c>
    </x:row>
    <x:row r="1659">
      <x:c r="A1659" s="18" t="s">
        <x:v>3605</x:v>
      </x:c>
      <x:c r="B1659" s="19" t="s">
        <x:v>3606</x:v>
      </x:c>
      <x:c r="C1659" s="20">
        <x:v>69072100</x:v>
      </x:c>
      <x:c r="D1659" s="20">
        <x:v>6479</x:v>
      </x:c>
      <x:c r="E1659" s="18" t="s">
        <x:v>227</x:v>
      </x:c>
      <x:c r="F1659" s="19" t="s">
        <x:v>11</x:v>
      </x:c>
      <x:c r="G1659" s="20">
        <x:v>0</x:v>
      </x:c>
      <x:c r="H1659" s="21"/>
      <x:c r="I1659" s="21"/>
      <x:c r="J1659" s="23">
        <x:v>27</x:v>
      </x:c>
      <x:c r="K1659" s="23">
        <x:v>174933</x:v>
      </x:c>
      <x:c r="L1659" s="23">
        <x:v>25</x:v>
      </x:c>
    </x:row>
    <x:row r="1660">
      <x:c r="A1660" s="18" t="s">
        <x:v>3607</x:v>
      </x:c>
      <x:c r="B1660" s="19" t="s">
        <x:v>3608</x:v>
      </x:c>
      <x:c r="C1660" s="20">
        <x:v>69072100</x:v>
      </x:c>
      <x:c r="D1660" s="20">
        <x:v>0</x:v>
      </x:c>
      <x:c r="E1660" s="18" t="s">
        <x:v>227</x:v>
      </x:c>
      <x:c r="F1660" s="19" t="s">
        <x:v>11</x:v>
      </x:c>
      <x:c r="G1660" s="20">
        <x:v>0</x:v>
      </x:c>
      <x:c r="H1660" s="21"/>
      <x:c r="I1660" s="21"/>
      <x:c r="J1660" s="22">
        <x:v>0</x:v>
      </x:c>
      <x:c r="K1660" s="22">
        <x:v>0</x:v>
      </x:c>
      <x:c r="L1660" s="23">
        <x:v>0</x:v>
      </x:c>
    </x:row>
    <x:row r="1661">
      <x:c r="A1661" s="18" t="s">
        <x:v>3609</x:v>
      </x:c>
      <x:c r="B1661" s="19" t="s">
        <x:v>3610</x:v>
      </x:c>
      <x:c r="C1661" s="20">
        <x:v>69072100</x:v>
      </x:c>
      <x:c r="D1661" s="20">
        <x:v>4278</x:v>
      </x:c>
      <x:c r="E1661" s="18" t="s">
        <x:v>227</x:v>
      </x:c>
      <x:c r="F1661" s="19" t="s">
        <x:v>11</x:v>
      </x:c>
      <x:c r="G1661" s="20">
        <x:v>0</x:v>
      </x:c>
      <x:c r="H1661" s="21"/>
      <x:c r="I1661" s="21"/>
      <x:c r="J1661" s="23">
        <x:v>37</x:v>
      </x:c>
      <x:c r="K1661" s="23">
        <x:v>158286</x:v>
      </x:c>
      <x:c r="L1661" s="23">
        <x:v>34</x:v>
      </x:c>
    </x:row>
    <x:row r="1662">
      <x:c r="A1662" s="18" t="s">
        <x:v>3611</x:v>
      </x:c>
      <x:c r="B1662" s="19" t="s">
        <x:v>3612</x:v>
      </x:c>
      <x:c r="C1662" s="20">
        <x:v>69072100</x:v>
      </x:c>
      <x:c r="D1662" s="20">
        <x:v>3782</x:v>
      </x:c>
      <x:c r="E1662" s="18" t="s">
        <x:v>227</x:v>
      </x:c>
      <x:c r="F1662" s="19" t="s">
        <x:v>11</x:v>
      </x:c>
      <x:c r="G1662" s="20">
        <x:v>0</x:v>
      </x:c>
      <x:c r="H1662" s="21"/>
      <x:c r="I1662" s="21"/>
      <x:c r="J1662" s="23">
        <x:v>27</x:v>
      </x:c>
      <x:c r="K1662" s="23">
        <x:v>102114</x:v>
      </x:c>
      <x:c r="L1662" s="23">
        <x:v>23</x:v>
      </x:c>
    </x:row>
    <x:row r="1663">
      <x:c r="A1663" s="18" t="s">
        <x:v>3613</x:v>
      </x:c>
      <x:c r="B1663" s="19" t="s">
        <x:v>3614</x:v>
      </x:c>
      <x:c r="C1663" s="20">
        <x:v>69072100</x:v>
      </x:c>
      <x:c r="D1663" s="20">
        <x:v>6066.7</x:v>
      </x:c>
      <x:c r="E1663" s="18" t="s">
        <x:v>227</x:v>
      </x:c>
      <x:c r="F1663" s="19" t="s">
        <x:v>11</x:v>
      </x:c>
      <x:c r="G1663" s="20">
        <x:v>0</x:v>
      </x:c>
      <x:c r="H1663" s="21"/>
      <x:c r="I1663" s="21"/>
      <x:c r="J1663" s="23">
        <x:v>5</x:v>
      </x:c>
      <x:c r="K1663" s="23">
        <x:v>30333.5</x:v>
      </x:c>
      <x:c r="L1663" s="23">
        <x:v>5</x:v>
      </x:c>
    </x:row>
    <x:row r="1664">
      <x:c r="A1664" s="18" t="s">
        <x:v>3615</x:v>
      </x:c>
      <x:c r="B1664" s="19" t="s">
        <x:v>3616</x:v>
      </x:c>
      <x:c r="C1664" s="20">
        <x:v>69072100</x:v>
      </x:c>
      <x:c r="D1664" s="20">
        <x:v>554.13</x:v>
      </x:c>
      <x:c r="E1664" s="18" t="s">
        <x:v>227</x:v>
      </x:c>
      <x:c r="F1664" s="19" t="s">
        <x:v>11</x:v>
      </x:c>
      <x:c r="G1664" s="20">
        <x:v>0</x:v>
      </x:c>
      <x:c r="H1664" s="21"/>
      <x:c r="I1664" s="21"/>
      <x:c r="J1664" s="23">
        <x:v>18</x:v>
      </x:c>
      <x:c r="K1664" s="23">
        <x:v>9974.34</x:v>
      </x:c>
      <x:c r="L1664" s="23">
        <x:v>18</x:v>
      </x:c>
    </x:row>
    <x:row r="1665">
      <x:c r="A1665" s="18" t="s">
        <x:v>3617</x:v>
      </x:c>
      <x:c r="B1665" s="19" t="s">
        <x:v>3618</x:v>
      </x:c>
      <x:c r="C1665" s="20">
        <x:v>69072100</x:v>
      </x:c>
      <x:c r="D1665" s="20">
        <x:v>294.5</x:v>
      </x:c>
      <x:c r="E1665" s="18" t="s">
        <x:v>227</x:v>
      </x:c>
      <x:c r="F1665" s="19" t="s">
        <x:v>11</x:v>
      </x:c>
      <x:c r="G1665" s="20">
        <x:v>0</x:v>
      </x:c>
      <x:c r="H1665" s="21"/>
      <x:c r="I1665" s="21"/>
      <x:c r="J1665" s="23">
        <x:v>194</x:v>
      </x:c>
      <x:c r="K1665" s="23">
        <x:v>57133</x:v>
      </x:c>
      <x:c r="L1665" s="23">
        <x:v>189</x:v>
      </x:c>
    </x:row>
    <x:row r="1666">
      <x:c r="A1666" s="18" t="s">
        <x:v>3619</x:v>
      </x:c>
      <x:c r="B1666" s="19" t="s">
        <x:v>3620</x:v>
      </x:c>
      <x:c r="C1666" s="20">
        <x:v>69072100</x:v>
      </x:c>
      <x:c r="D1666" s="20">
        <x:v>450.21</x:v>
      </x:c>
      <x:c r="E1666" s="18" t="s">
        <x:v>227</x:v>
      </x:c>
      <x:c r="F1666" s="19" t="s">
        <x:v>11</x:v>
      </x:c>
      <x:c r="G1666" s="20">
        <x:v>450.22</x:v>
      </x:c>
      <x:c r="H1666" s="21"/>
      <x:c r="I1666" s="26" t="s">
        <x:v>3621</x:v>
      </x:c>
      <x:c r="J1666" s="23">
        <x:v>4</x:v>
      </x:c>
      <x:c r="K1666" s="23">
        <x:v>1700</x:v>
      </x:c>
      <x:c r="L1666" s="23">
        <x:v>5</x:v>
      </x:c>
    </x:row>
    <x:row r="1667">
      <x:c r="A1667" s="18" t="s">
        <x:v>3622</x:v>
      </x:c>
      <x:c r="B1667" s="19" t="s">
        <x:v>3623</x:v>
      </x:c>
      <x:c r="C1667" s="20">
        <x:v>69072100</x:v>
      </x:c>
      <x:c r="D1667" s="20">
        <x:v>450.21</x:v>
      </x:c>
      <x:c r="E1667" s="18" t="s">
        <x:v>227</x:v>
      </x:c>
      <x:c r="F1667" s="19" t="s">
        <x:v>11</x:v>
      </x:c>
      <x:c r="G1667" s="20">
        <x:v>0</x:v>
      </x:c>
      <x:c r="H1667" s="21"/>
      <x:c r="I1667" s="21"/>
      <x:c r="J1667" s="23">
        <x:v>4</x:v>
      </x:c>
      <x:c r="K1667" s="23">
        <x:v>1700</x:v>
      </x:c>
      <x:c r="L1667" s="23">
        <x:v>5</x:v>
      </x:c>
    </x:row>
    <x:row r="1668">
      <x:c r="A1668" s="18" t="s">
        <x:v>3624</x:v>
      </x:c>
      <x:c r="B1668" s="19" t="s">
        <x:v>3625</x:v>
      </x:c>
      <x:c r="C1668" s="20">
        <x:v>69072100</x:v>
      </x:c>
      <x:c r="D1668" s="20">
        <x:v>434.32</x:v>
      </x:c>
      <x:c r="E1668" s="18" t="s">
        <x:v>227</x:v>
      </x:c>
      <x:c r="F1668" s="19" t="s">
        <x:v>11</x:v>
      </x:c>
      <x:c r="G1668" s="20">
        <x:v>425</x:v>
      </x:c>
      <x:c r="H1668" s="21"/>
      <x:c r="I1668" s="26" t="s">
        <x:v>3621</x:v>
      </x:c>
      <x:c r="J1668" s="23">
        <x:v>8</x:v>
      </x:c>
      <x:c r="K1668" s="23">
        <x:v>3400</x:v>
      </x:c>
      <x:c r="L1668" s="23">
        <x:v>104</x:v>
      </x:c>
    </x:row>
    <x:row r="1669">
      <x:c r="A1669" s="18" t="s">
        <x:v>3626</x:v>
      </x:c>
      <x:c r="B1669" s="19" t="s">
        <x:v>3627</x:v>
      </x:c>
      <x:c r="C1669" s="20">
        <x:v>69072100</x:v>
      </x:c>
      <x:c r="D1669" s="20">
        <x:v>434.32</x:v>
      </x:c>
      <x:c r="E1669" s="18" t="s">
        <x:v>227</x:v>
      </x:c>
      <x:c r="F1669" s="19" t="s">
        <x:v>11</x:v>
      </x:c>
      <x:c r="G1669" s="20">
        <x:v>425</x:v>
      </x:c>
      <x:c r="H1669" s="21"/>
      <x:c r="I1669" s="26" t="s">
        <x:v>3621</x:v>
      </x:c>
      <x:c r="J1669" s="23">
        <x:v>40</x:v>
      </x:c>
      <x:c r="K1669" s="23">
        <x:v>17000</x:v>
      </x:c>
      <x:c r="L1669" s="23">
        <x:v>70</x:v>
      </x:c>
    </x:row>
    <x:row r="1670">
      <x:c r="A1670" s="18" t="s">
        <x:v>3628</x:v>
      </x:c>
      <x:c r="B1670" s="19" t="s">
        <x:v>3629</x:v>
      </x:c>
      <x:c r="C1670" s="20">
        <x:v>69072100</x:v>
      </x:c>
      <x:c r="D1670" s="20">
        <x:v>450.22</x:v>
      </x:c>
      <x:c r="E1670" s="18" t="s">
        <x:v>227</x:v>
      </x:c>
      <x:c r="F1670" s="19" t="s">
        <x:v>11</x:v>
      </x:c>
      <x:c r="G1670" s="20">
        <x:v>0</x:v>
      </x:c>
      <x:c r="H1670" s="21"/>
      <x:c r="I1670" s="21"/>
      <x:c r="J1670" s="23">
        <x:v>17</x:v>
      </x:c>
      <x:c r="K1670" s="23">
        <x:v>7225</x:v>
      </x:c>
      <x:c r="L1670" s="23">
        <x:v>2</x:v>
      </x:c>
    </x:row>
    <x:row r="1671">
      <x:c r="A1671" s="18" t="s">
        <x:v>3630</x:v>
      </x:c>
      <x:c r="B1671" s="19" t="s">
        <x:v>3631</x:v>
      </x:c>
      <x:c r="C1671" s="20">
        <x:v>69072100</x:v>
      </x:c>
      <x:c r="D1671" s="20">
        <x:v>4010.58</x:v>
      </x:c>
      <x:c r="E1671" s="18" t="s">
        <x:v>227</x:v>
      </x:c>
      <x:c r="F1671" s="19" t="s">
        <x:v>11</x:v>
      </x:c>
      <x:c r="G1671" s="20">
        <x:v>0</x:v>
      </x:c>
      <x:c r="H1671" s="21"/>
      <x:c r="I1671" s="21"/>
      <x:c r="J1671" s="23">
        <x:v>5</x:v>
      </x:c>
      <x:c r="K1671" s="23">
        <x:v>20052.900000000001</x:v>
      </x:c>
      <x:c r="L1671" s="23">
        <x:v>1</x:v>
      </x:c>
    </x:row>
    <x:row r="1672">
      <x:c r="A1672" s="18" t="s">
        <x:v>3632</x:v>
      </x:c>
      <x:c r="B1672" s="19" t="s">
        <x:v>3633</x:v>
      </x:c>
      <x:c r="C1672" s="20">
        <x:v>69072100</x:v>
      </x:c>
      <x:c r="D1672" s="20">
        <x:v>3472</x:v>
      </x:c>
      <x:c r="E1672" s="18" t="s">
        <x:v>227</x:v>
      </x:c>
      <x:c r="F1672" s="19" t="s">
        <x:v>11</x:v>
      </x:c>
      <x:c r="G1672" s="20">
        <x:v>3472</x:v>
      </x:c>
      <x:c r="H1672" s="21"/>
      <x:c r="I1672" s="26" t="s">
        <x:v>3295</x:v>
      </x:c>
      <x:c r="J1672" s="23">
        <x:v>97</x:v>
      </x:c>
      <x:c r="K1672" s="23">
        <x:v>300700</x:v>
      </x:c>
      <x:c r="L1672" s="23">
        <x:v>142</x:v>
      </x:c>
    </x:row>
    <x:row r="1673">
      <x:c r="A1673" s="18" t="s">
        <x:v>3634</x:v>
      </x:c>
      <x:c r="B1673" s="19" t="s">
        <x:v>3635</x:v>
      </x:c>
      <x:c r="C1673" s="20">
        <x:v>69072100</x:v>
      </x:c>
      <x:c r="D1673" s="20">
        <x:v>0</x:v>
      </x:c>
      <x:c r="E1673" s="18" t="s">
        <x:v>227</x:v>
      </x:c>
      <x:c r="F1673" s="19" t="s">
        <x:v>11</x:v>
      </x:c>
      <x:c r="G1673" s="20">
        <x:v>3570</x:v>
      </x:c>
      <x:c r="H1673" s="21"/>
      <x:c r="I1673" s="26" t="s">
        <x:v>3302</x:v>
      </x:c>
      <x:c r="J1673" s="22">
        <x:v>0</x:v>
      </x:c>
      <x:c r="K1673" s="22">
        <x:v>0</x:v>
      </x:c>
      <x:c r="L1673" s="23">
        <x:v>0</x:v>
      </x:c>
    </x:row>
    <x:row r="1674">
      <x:c r="A1674" s="18" t="s">
        <x:v>3636</x:v>
      </x:c>
      <x:c r="B1674" s="19" t="s">
        <x:v>3637</x:v>
      </x:c>
      <x:c r="C1674" s="20">
        <x:v>69072100</x:v>
      </x:c>
      <x:c r="D1674" s="20">
        <x:v>0</x:v>
      </x:c>
      <x:c r="E1674" s="18" t="s">
        <x:v>227</x:v>
      </x:c>
      <x:c r="F1674" s="19" t="s">
        <x:v>11</x:v>
      </x:c>
      <x:c r="G1674" s="20">
        <x:v>0</x:v>
      </x:c>
      <x:c r="H1674" s="21"/>
      <x:c r="I1674" s="21"/>
      <x:c r="J1674" s="22">
        <x:v>0</x:v>
      </x:c>
      <x:c r="K1674" s="22">
        <x:v>0</x:v>
      </x:c>
      <x:c r="L1674" s="23">
        <x:v>0</x:v>
      </x:c>
    </x:row>
    <x:row r="1675">
      <x:c r="A1675" s="18" t="s">
        <x:v>3638</x:v>
      </x:c>
      <x:c r="B1675" s="19" t="s">
        <x:v>3639</x:v>
      </x:c>
      <x:c r="C1675" s="20">
        <x:v>69072100</x:v>
      </x:c>
      <x:c r="D1675" s="20">
        <x:v>0</x:v>
      </x:c>
      <x:c r="E1675" s="18" t="s">
        <x:v>227</x:v>
      </x:c>
      <x:c r="F1675" s="19" t="s">
        <x:v>11</x:v>
      </x:c>
      <x:c r="G1675" s="20">
        <x:v>0</x:v>
      </x:c>
      <x:c r="H1675" s="21"/>
      <x:c r="I1675" s="21"/>
      <x:c r="J1675" s="23">
        <x:v>15</x:v>
      </x:c>
      <x:c r="K1675" s="23">
        <x:v>97543.5</x:v>
      </x:c>
      <x:c r="L1675" s="23">
        <x:v>0</x:v>
      </x:c>
    </x:row>
    <x:row r="1676">
      <x:c r="A1676" s="18" t="s">
        <x:v>3640</x:v>
      </x:c>
      <x:c r="B1676" s="19" t="s">
        <x:v>3641</x:v>
      </x:c>
      <x:c r="C1676" s="20">
        <x:v>69072100</x:v>
      </x:c>
      <x:c r="D1676" s="20">
        <x:v>7756.12</x:v>
      </x:c>
      <x:c r="E1676" s="18" t="s">
        <x:v>227</x:v>
      </x:c>
      <x:c r="F1676" s="19" t="s">
        <x:v>11</x:v>
      </x:c>
      <x:c r="G1676" s="20">
        <x:v>0</x:v>
      </x:c>
      <x:c r="H1676" s="21"/>
      <x:c r="I1676" s="21"/>
      <x:c r="J1676" s="23">
        <x:v>20</x:v>
      </x:c>
      <x:c r="K1676" s="23">
        <x:v>155122.46</x:v>
      </x:c>
      <x:c r="L1676" s="23">
        <x:v>19</x:v>
      </x:c>
    </x:row>
    <x:row r="1677">
      <x:c r="A1677" s="18" t="s">
        <x:v>3642</x:v>
      </x:c>
      <x:c r="B1677" s="19" t="s">
        <x:v>3643</x:v>
      </x:c>
      <x:c r="C1677" s="20">
        <x:v>69072100</x:v>
      </x:c>
      <x:c r="D1677" s="20">
        <x:v>7603.01</x:v>
      </x:c>
      <x:c r="E1677" s="18" t="s">
        <x:v>227</x:v>
      </x:c>
      <x:c r="F1677" s="19" t="s">
        <x:v>11</x:v>
      </x:c>
      <x:c r="G1677" s="20">
        <x:v>0</x:v>
      </x:c>
      <x:c r="H1677" s="21"/>
      <x:c r="I1677" s="21"/>
      <x:c r="J1677" s="23">
        <x:v>40</x:v>
      </x:c>
      <x:c r="K1677" s="23">
        <x:v>304120.36</x:v>
      </x:c>
      <x:c r="L1677" s="23">
        <x:v>25</x:v>
      </x:c>
    </x:row>
    <x:row r="1678">
      <x:c r="A1678" s="18" t="s">
        <x:v>3644</x:v>
      </x:c>
      <x:c r="B1678" s="19" t="s">
        <x:v>3645</x:v>
      </x:c>
      <x:c r="C1678" s="20">
        <x:v>69072100</x:v>
      </x:c>
      <x:c r="D1678" s="20">
        <x:v>6894.51</x:v>
      </x:c>
      <x:c r="E1678" s="18" t="s">
        <x:v>227</x:v>
      </x:c>
      <x:c r="F1678" s="19" t="s">
        <x:v>11</x:v>
      </x:c>
      <x:c r="G1678" s="20">
        <x:v>0</x:v>
      </x:c>
      <x:c r="H1678" s="21"/>
      <x:c r="I1678" s="21"/>
      <x:c r="J1678" s="23">
        <x:v>11</x:v>
      </x:c>
      <x:c r="K1678" s="23">
        <x:v>75839.61</x:v>
      </x:c>
      <x:c r="L1678" s="23">
        <x:v>11</x:v>
      </x:c>
    </x:row>
    <x:row r="1679">
      <x:c r="A1679" s="18" t="s">
        <x:v>3646</x:v>
      </x:c>
      <x:c r="B1679" s="19" t="s">
        <x:v>3647</x:v>
      </x:c>
      <x:c r="C1679" s="20">
        <x:v>69072100</x:v>
      </x:c>
      <x:c r="D1679" s="20">
        <x:v>7275</x:v>
      </x:c>
      <x:c r="E1679" s="18" t="s">
        <x:v>227</x:v>
      </x:c>
      <x:c r="F1679" s="19" t="s">
        <x:v>11</x:v>
      </x:c>
      <x:c r="G1679" s="20">
        <x:v>0</x:v>
      </x:c>
      <x:c r="H1679" s="21"/>
      <x:c r="I1679" s="21"/>
      <x:c r="J1679" s="23">
        <x:v>1</x:v>
      </x:c>
      <x:c r="K1679" s="23">
        <x:v>7275</x:v>
      </x:c>
      <x:c r="L1679" s="23">
        <x:v>1</x:v>
      </x:c>
    </x:row>
    <x:row r="1680">
      <x:c r="A1680" s="18" t="s">
        <x:v>3648</x:v>
      </x:c>
      <x:c r="B1680" s="19" t="s">
        <x:v>3649</x:v>
      </x:c>
      <x:c r="C1680" s="20">
        <x:v>69072100</x:v>
      </x:c>
      <x:c r="D1680" s="20">
        <x:v>8370.35</x:v>
      </x:c>
      <x:c r="E1680" s="18" t="s">
        <x:v>227</x:v>
      </x:c>
      <x:c r="F1680" s="19" t="s">
        <x:v>11</x:v>
      </x:c>
      <x:c r="G1680" s="20">
        <x:v>0</x:v>
      </x:c>
      <x:c r="H1680" s="21"/>
      <x:c r="I1680" s="21"/>
      <x:c r="J1680" s="23">
        <x:v>15</x:v>
      </x:c>
      <x:c r="K1680" s="23">
        <x:v>125555.25</x:v>
      </x:c>
      <x:c r="L1680" s="23">
        <x:v>15</x:v>
      </x:c>
    </x:row>
    <x:row r="1681">
      <x:c r="A1681" s="18" t="s">
        <x:v>3650</x:v>
      </x:c>
      <x:c r="B1681" s="19" t="s">
        <x:v>3651</x:v>
      </x:c>
      <x:c r="C1681" s="20">
        <x:v>69072100</x:v>
      </x:c>
      <x:c r="D1681" s="20">
        <x:v>8363.64</x:v>
      </x:c>
      <x:c r="E1681" s="18" t="s">
        <x:v>227</x:v>
      </x:c>
      <x:c r="F1681" s="19" t="s">
        <x:v>11</x:v>
      </x:c>
      <x:c r="G1681" s="20">
        <x:v>0</x:v>
      </x:c>
      <x:c r="H1681" s="21"/>
      <x:c r="I1681" s="21"/>
      <x:c r="J1681" s="23">
        <x:v>12</x:v>
      </x:c>
      <x:c r="K1681" s="23">
        <x:v>100363.7</x:v>
      </x:c>
      <x:c r="L1681" s="23">
        <x:v>6</x:v>
      </x:c>
    </x:row>
    <x:row r="1682">
      <x:c r="A1682" s="18" t="s">
        <x:v>3652</x:v>
      </x:c>
      <x:c r="B1682" s="19" t="s">
        <x:v>3653</x:v>
      </x:c>
      <x:c r="C1682" s="20">
        <x:v>69072100</x:v>
      </x:c>
      <x:c r="D1682" s="20">
        <x:v>6547.57</x:v>
      </x:c>
      <x:c r="E1682" s="18" t="s">
        <x:v>227</x:v>
      </x:c>
      <x:c r="F1682" s="19" t="s">
        <x:v>11</x:v>
      </x:c>
      <x:c r="G1682" s="20">
        <x:v>0</x:v>
      </x:c>
      <x:c r="H1682" s="21"/>
      <x:c r="I1682" s="21"/>
      <x:c r="J1682" s="23">
        <x:v>1</x:v>
      </x:c>
      <x:c r="K1682" s="23">
        <x:v>6547.57</x:v>
      </x:c>
      <x:c r="L1682" s="23">
        <x:v>1</x:v>
      </x:c>
    </x:row>
    <x:row r="1683">
      <x:c r="A1683" s="18" t="s">
        <x:v>3654</x:v>
      </x:c>
      <x:c r="B1683" s="19" t="s">
        <x:v>3655</x:v>
      </x:c>
      <x:c r="C1683" s="20">
        <x:v>69072100</x:v>
      </x:c>
      <x:c r="D1683" s="20">
        <x:v>8124.98</x:v>
      </x:c>
      <x:c r="E1683" s="18" t="s">
        <x:v>227</x:v>
      </x:c>
      <x:c r="F1683" s="19" t="s">
        <x:v>11</x:v>
      </x:c>
      <x:c r="G1683" s="20">
        <x:v>0</x:v>
      </x:c>
      <x:c r="H1683" s="21"/>
      <x:c r="I1683" s="21"/>
      <x:c r="J1683" s="23">
        <x:v>21</x:v>
      </x:c>
      <x:c r="K1683" s="23">
        <x:v>170624.58</x:v>
      </x:c>
      <x:c r="L1683" s="23">
        <x:v>16</x:v>
      </x:c>
    </x:row>
    <x:row r="1684">
      <x:c r="A1684" s="18" t="s">
        <x:v>3656</x:v>
      </x:c>
      <x:c r="B1684" s="19" t="s">
        <x:v>3657</x:v>
      </x:c>
      <x:c r="C1684" s="20">
        <x:v>69072100</x:v>
      </x:c>
      <x:c r="D1684" s="20">
        <x:v>8200.57</x:v>
      </x:c>
      <x:c r="E1684" s="18" t="s">
        <x:v>227</x:v>
      </x:c>
      <x:c r="F1684" s="19" t="s">
        <x:v>11</x:v>
      </x:c>
      <x:c r="G1684" s="20">
        <x:v>0</x:v>
      </x:c>
      <x:c r="H1684" s="21"/>
      <x:c r="I1684" s="21"/>
      <x:c r="J1684" s="23">
        <x:v>75</x:v>
      </x:c>
      <x:c r="K1684" s="23">
        <x:v>615042.51</x:v>
      </x:c>
      <x:c r="L1684" s="23">
        <x:v>58</x:v>
      </x:c>
    </x:row>
    <x:row r="1685">
      <x:c r="A1685" s="18" t="s">
        <x:v>3658</x:v>
      </x:c>
      <x:c r="B1685" s="19" t="s">
        <x:v>3659</x:v>
      </x:c>
      <x:c r="C1685" s="20">
        <x:v>69072100</x:v>
      </x:c>
      <x:c r="D1685" s="20">
        <x:v>8250.73</x:v>
      </x:c>
      <x:c r="E1685" s="18" t="s">
        <x:v>227</x:v>
      </x:c>
      <x:c r="F1685" s="19" t="s">
        <x:v>11</x:v>
      </x:c>
      <x:c r="G1685" s="20">
        <x:v>0</x:v>
      </x:c>
      <x:c r="H1685" s="21"/>
      <x:c r="I1685" s="21"/>
      <x:c r="J1685" s="23">
        <x:v>16</x:v>
      </x:c>
      <x:c r="K1685" s="23">
        <x:v>132011.69</x:v>
      </x:c>
      <x:c r="L1685" s="23">
        <x:v>6</x:v>
      </x:c>
    </x:row>
    <x:row r="1686">
      <x:c r="A1686" s="18" t="s">
        <x:v>3660</x:v>
      </x:c>
      <x:c r="B1686" s="19" t="s">
        <x:v>3661</x:v>
      </x:c>
      <x:c r="C1686" s="20">
        <x:v>69072100</x:v>
      </x:c>
      <x:c r="D1686" s="20">
        <x:v>7496.4</x:v>
      </x:c>
      <x:c r="E1686" s="18" t="s">
        <x:v>227</x:v>
      </x:c>
      <x:c r="F1686" s="19" t="s">
        <x:v>11</x:v>
      </x:c>
      <x:c r="G1686" s="20">
        <x:v>0</x:v>
      </x:c>
      <x:c r="H1686" s="21"/>
      <x:c r="I1686" s="21"/>
      <x:c r="J1686" s="23">
        <x:v>3</x:v>
      </x:c>
      <x:c r="K1686" s="23">
        <x:v>22489.200000000001</x:v>
      </x:c>
      <x:c r="L1686" s="23">
        <x:v>1</x:v>
      </x:c>
    </x:row>
    <x:row r="1687">
      <x:c r="A1687" s="18" t="s">
        <x:v>3662</x:v>
      </x:c>
      <x:c r="B1687" s="19" t="s">
        <x:v>3663</x:v>
      </x:c>
      <x:c r="C1687" s="20">
        <x:v>69072100</x:v>
      </x:c>
      <x:c r="D1687" s="20">
        <x:v>7312.48</x:v>
      </x:c>
      <x:c r="E1687" s="18" t="s">
        <x:v>227</x:v>
      </x:c>
      <x:c r="F1687" s="19" t="s">
        <x:v>11</x:v>
      </x:c>
      <x:c r="G1687" s="20">
        <x:v>0</x:v>
      </x:c>
      <x:c r="H1687" s="21"/>
      <x:c r="I1687" s="21"/>
      <x:c r="J1687" s="23">
        <x:v>50</x:v>
      </x:c>
      <x:c r="K1687" s="23">
        <x:v>365624.11</x:v>
      </x:c>
      <x:c r="L1687" s="23">
        <x:v>23</x:v>
      </x:c>
    </x:row>
    <x:row r="1688">
      <x:c r="A1688" s="18" t="s">
        <x:v>3664</x:v>
      </x:c>
      <x:c r="B1688" s="19" t="s">
        <x:v>3665</x:v>
      </x:c>
      <x:c r="C1688" s="20">
        <x:v>69072100</x:v>
      </x:c>
      <x:c r="D1688" s="20">
        <x:v>0</x:v>
      </x:c>
      <x:c r="E1688" s="18" t="s">
        <x:v>227</x:v>
      </x:c>
      <x:c r="F1688" s="19" t="s">
        <x:v>11</x:v>
      </x:c>
      <x:c r="G1688" s="20">
        <x:v>0</x:v>
      </x:c>
      <x:c r="H1688" s="21"/>
      <x:c r="I1688" s="21"/>
      <x:c r="J1688" s="23">
        <x:v>1</x:v>
      </x:c>
      <x:c r="K1688" s="23">
        <x:v>7275.07</x:v>
      </x:c>
      <x:c r="L1688" s="23">
        <x:v>0</x:v>
      </x:c>
    </x:row>
    <x:row r="1689">
      <x:c r="A1689" s="18" t="s">
        <x:v>3666</x:v>
      </x:c>
      <x:c r="B1689" s="19" t="s">
        <x:v>3667</x:v>
      </x:c>
      <x:c r="C1689" s="20">
        <x:v>69072100</x:v>
      </x:c>
      <x:c r="D1689" s="20">
        <x:v>8329.33</x:v>
      </x:c>
      <x:c r="E1689" s="18" t="s">
        <x:v>227</x:v>
      </x:c>
      <x:c r="F1689" s="19" t="s">
        <x:v>11</x:v>
      </x:c>
      <x:c r="G1689" s="20">
        <x:v>0</x:v>
      </x:c>
      <x:c r="H1689" s="21"/>
      <x:c r="I1689" s="21"/>
      <x:c r="J1689" s="23">
        <x:v>24</x:v>
      </x:c>
      <x:c r="K1689" s="23">
        <x:v>199904</x:v>
      </x:c>
      <x:c r="L1689" s="23">
        <x:v>2</x:v>
      </x:c>
    </x:row>
    <x:row r="1690">
      <x:c r="A1690" s="18" t="s">
        <x:v>3668</x:v>
      </x:c>
      <x:c r="B1690" s="19" t="s">
        <x:v>3669</x:v>
      </x:c>
      <x:c r="C1690" s="20">
        <x:v>69072100</x:v>
      </x:c>
      <x:c r="D1690" s="20">
        <x:v>8124.98</x:v>
      </x:c>
      <x:c r="E1690" s="18" t="s">
        <x:v>227</x:v>
      </x:c>
      <x:c r="F1690" s="19" t="s">
        <x:v>11</x:v>
      </x:c>
      <x:c r="G1690" s="20">
        <x:v>0</x:v>
      </x:c>
      <x:c r="H1690" s="21"/>
      <x:c r="I1690" s="21"/>
      <x:c r="J1690" s="23">
        <x:v>5</x:v>
      </x:c>
      <x:c r="K1690" s="23">
        <x:v>40624.9</x:v>
      </x:c>
      <x:c r="L1690" s="23">
        <x:v>4</x:v>
      </x:c>
    </x:row>
    <x:row r="1691">
      <x:c r="A1691" s="18" t="s">
        <x:v>3670</x:v>
      </x:c>
      <x:c r="B1691" s="19" t="s">
        <x:v>3671</x:v>
      </x:c>
      <x:c r="C1691" s="20">
        <x:v>69072100</x:v>
      </x:c>
      <x:c r="D1691" s="20">
        <x:v>8124.98</x:v>
      </x:c>
      <x:c r="E1691" s="18" t="s">
        <x:v>227</x:v>
      </x:c>
      <x:c r="F1691" s="19" t="s">
        <x:v>11</x:v>
      </x:c>
      <x:c r="G1691" s="20">
        <x:v>0</x:v>
      </x:c>
      <x:c r="H1691" s="21"/>
      <x:c r="I1691" s="21"/>
      <x:c r="J1691" s="23">
        <x:v>16</x:v>
      </x:c>
      <x:c r="K1691" s="23">
        <x:v>138908.66</x:v>
      </x:c>
      <x:c r="L1691" s="23">
        <x:v>15</x:v>
      </x:c>
    </x:row>
    <x:row r="1692">
      <x:c r="A1692" s="18" t="s">
        <x:v>3672</x:v>
      </x:c>
      <x:c r="B1692" s="19" t="s">
        <x:v>3673</x:v>
      </x:c>
      <x:c r="C1692" s="20">
        <x:v>69072100</x:v>
      </x:c>
      <x:c r="D1692" s="20">
        <x:v>8329.5</x:v>
      </x:c>
      <x:c r="E1692" s="18" t="s">
        <x:v>227</x:v>
      </x:c>
      <x:c r="F1692" s="19" t="s">
        <x:v>11</x:v>
      </x:c>
      <x:c r="G1692" s="20">
        <x:v>0</x:v>
      </x:c>
      <x:c r="H1692" s="21"/>
      <x:c r="I1692" s="21"/>
      <x:c r="J1692" s="23">
        <x:v>1</x:v>
      </x:c>
      <x:c r="K1692" s="23">
        <x:v>8329.5</x:v>
      </x:c>
      <x:c r="L1692" s="23">
        <x:v>1</x:v>
      </x:c>
    </x:row>
    <x:row r="1693">
      <x:c r="A1693" s="18" t="s">
        <x:v>3674</x:v>
      </x:c>
      <x:c r="B1693" s="19" t="s">
        <x:v>3675</x:v>
      </x:c>
      <x:c r="C1693" s="20">
        <x:v>69072100</x:v>
      </x:c>
      <x:c r="D1693" s="20">
        <x:v>7496.4</x:v>
      </x:c>
      <x:c r="E1693" s="18" t="s">
        <x:v>227</x:v>
      </x:c>
      <x:c r="F1693" s="19" t="s">
        <x:v>11</x:v>
      </x:c>
      <x:c r="G1693" s="20">
        <x:v>0</x:v>
      </x:c>
      <x:c r="H1693" s="21"/>
      <x:c r="I1693" s="21"/>
      <x:c r="J1693" s="23">
        <x:v>2</x:v>
      </x:c>
      <x:c r="K1693" s="23">
        <x:v>14992.8</x:v>
      </x:c>
      <x:c r="L1693" s="23">
        <x:v>2</x:v>
      </x:c>
    </x:row>
    <x:row r="1694">
      <x:c r="A1694" s="18" t="s">
        <x:v>3676</x:v>
      </x:c>
      <x:c r="B1694" s="19" t="s">
        <x:v>3677</x:v>
      </x:c>
      <x:c r="C1694" s="20">
        <x:v>69072100</x:v>
      </x:c>
      <x:c r="D1694" s="20">
        <x:v>7312.48</x:v>
      </x:c>
      <x:c r="E1694" s="18" t="s">
        <x:v>227</x:v>
      </x:c>
      <x:c r="F1694" s="19" t="s">
        <x:v>11</x:v>
      </x:c>
      <x:c r="G1694" s="20">
        <x:v>0</x:v>
      </x:c>
      <x:c r="H1694" s="21"/>
      <x:c r="I1694" s="21"/>
      <x:c r="J1694" s="23">
        <x:v>12</x:v>
      </x:c>
      <x:c r="K1694" s="23">
        <x:v>87438.7</x:v>
      </x:c>
      <x:c r="L1694" s="23">
        <x:v>10</x:v>
      </x:c>
    </x:row>
    <x:row r="1695">
      <x:c r="A1695" s="18" t="s">
        <x:v>3678</x:v>
      </x:c>
      <x:c r="B1695" s="19" t="s">
        <x:v>3679</x:v>
      </x:c>
      <x:c r="C1695" s="20">
        <x:v>69072100</x:v>
      </x:c>
      <x:c r="D1695" s="20">
        <x:v>0</x:v>
      </x:c>
      <x:c r="E1695" s="18" t="s">
        <x:v>227</x:v>
      </x:c>
      <x:c r="F1695" s="19" t="s">
        <x:v>11</x:v>
      </x:c>
      <x:c r="G1695" s="20">
        <x:v>0</x:v>
      </x:c>
      <x:c r="H1695" s="21"/>
      <x:c r="I1695" s="21"/>
      <x:c r="J1695" s="23">
        <x:v>16</x:v>
      </x:c>
      <x:c r="K1695" s="23">
        <x:v>117528</x:v>
      </x:c>
      <x:c r="L1695" s="23">
        <x:v>0</x:v>
      </x:c>
    </x:row>
    <x:row r="1696">
      <x:c r="A1696" s="18" t="s">
        <x:v>3680</x:v>
      </x:c>
      <x:c r="B1696" s="19" t="s">
        <x:v>3681</x:v>
      </x:c>
      <x:c r="C1696" s="20">
        <x:v>69072100</x:v>
      </x:c>
      <x:c r="D1696" s="20">
        <x:v>4003.65</x:v>
      </x:c>
      <x:c r="E1696" s="18" t="s">
        <x:v>227</x:v>
      </x:c>
      <x:c r="F1696" s="19" t="s">
        <x:v>11</x:v>
      </x:c>
      <x:c r="G1696" s="20">
        <x:v>0</x:v>
      </x:c>
      <x:c r="H1696" s="21"/>
      <x:c r="I1696" s="21"/>
      <x:c r="J1696" s="23">
        <x:v>6</x:v>
      </x:c>
      <x:c r="K1696" s="23">
        <x:v>24021.9</x:v>
      </x:c>
      <x:c r="L1696" s="23">
        <x:v>6</x:v>
      </x:c>
    </x:row>
    <x:row r="1697">
      <x:c r="A1697" s="18" t="s">
        <x:v>3682</x:v>
      </x:c>
      <x:c r="B1697" s="19" t="s">
        <x:v>3683</x:v>
      </x:c>
      <x:c r="C1697" s="20">
        <x:v>69072100</x:v>
      </x:c>
      <x:c r="D1697" s="20">
        <x:v>2169.7199999999998</x:v>
      </x:c>
      <x:c r="E1697" s="18" t="s">
        <x:v>227</x:v>
      </x:c>
      <x:c r="F1697" s="19" t="s">
        <x:v>11</x:v>
      </x:c>
      <x:c r="G1697" s="20">
        <x:v>0</x:v>
      </x:c>
      <x:c r="H1697" s="21"/>
      <x:c r="I1697" s="21"/>
      <x:c r="J1697" s="23">
        <x:v>8</x:v>
      </x:c>
      <x:c r="K1697" s="23">
        <x:v>17357.759999999998</x:v>
      </x:c>
      <x:c r="L1697" s="23">
        <x:v>7</x:v>
      </x:c>
    </x:row>
    <x:row r="1698">
      <x:c r="A1698" s="18" t="s">
        <x:v>3684</x:v>
      </x:c>
      <x:c r="B1698" s="19" t="s">
        <x:v>3685</x:v>
      </x:c>
      <x:c r="C1698" s="20">
        <x:v>69072100</x:v>
      </x:c>
      <x:c r="D1698" s="20">
        <x:v>0</x:v>
      </x:c>
      <x:c r="E1698" s="18" t="s">
        <x:v>227</x:v>
      </x:c>
      <x:c r="F1698" s="19" t="s">
        <x:v>11</x:v>
      </x:c>
      <x:c r="G1698" s="20">
        <x:v>0</x:v>
      </x:c>
      <x:c r="H1698" s="21"/>
      <x:c r="I1698" s="21"/>
      <x:c r="J1698" s="23">
        <x:v>17</x:v>
      </x:c>
      <x:c r="K1698" s="23">
        <x:v>20839.28</x:v>
      </x:c>
      <x:c r="L1698" s="23">
        <x:v>0</x:v>
      </x:c>
    </x:row>
    <x:row r="1699">
      <x:c r="A1699" s="18" t="s">
        <x:v>3686</x:v>
      </x:c>
      <x:c r="B1699" s="19" t="s">
        <x:v>3687</x:v>
      </x:c>
      <x:c r="C1699" s="20">
        <x:v>69072100</x:v>
      </x:c>
      <x:c r="D1699" s="20">
        <x:v>0</x:v>
      </x:c>
      <x:c r="E1699" s="18" t="s">
        <x:v>227</x:v>
      </x:c>
      <x:c r="F1699" s="19" t="s">
        <x:v>11</x:v>
      </x:c>
      <x:c r="G1699" s="20">
        <x:v>0</x:v>
      </x:c>
      <x:c r="H1699" s="21"/>
      <x:c r="I1699" s="21"/>
      <x:c r="J1699" s="23">
        <x:v>1</x:v>
      </x:c>
      <x:c r="K1699" s="23">
        <x:v>3719.7</x:v>
      </x:c>
      <x:c r="L1699" s="23">
        <x:v>0</x:v>
      </x:c>
    </x:row>
    <x:row r="1700">
      <x:c r="A1700" s="18" t="s">
        <x:v>3688</x:v>
      </x:c>
      <x:c r="B1700" s="19" t="s">
        <x:v>3689</x:v>
      </x:c>
      <x:c r="C1700" s="20">
        <x:v>69072100</x:v>
      </x:c>
      <x:c r="D1700" s="20">
        <x:v>0</x:v>
      </x:c>
      <x:c r="E1700" s="18" t="s">
        <x:v>227</x:v>
      </x:c>
      <x:c r="F1700" s="19" t="s">
        <x:v>11</x:v>
      </x:c>
      <x:c r="G1700" s="20">
        <x:v>0</x:v>
      </x:c>
      <x:c r="H1700" s="21"/>
      <x:c r="I1700" s="21"/>
      <x:c r="J1700" s="22">
        <x:v>0</x:v>
      </x:c>
      <x:c r="K1700" s="22">
        <x:v>0</x:v>
      </x:c>
      <x:c r="L1700" s="23">
        <x:v>0</x:v>
      </x:c>
    </x:row>
    <x:row r="1701">
      <x:c r="A1701" s="18" t="s">
        <x:v>3690</x:v>
      </x:c>
      <x:c r="B1701" s="19" t="s">
        <x:v>3691</x:v>
      </x:c>
      <x:c r="C1701" s="20">
        <x:v>69072100</x:v>
      </x:c>
      <x:c r="D1701" s="20">
        <x:v>0</x:v>
      </x:c>
      <x:c r="E1701" s="18" t="s">
        <x:v>227</x:v>
      </x:c>
      <x:c r="F1701" s="19" t="s">
        <x:v>11</x:v>
      </x:c>
      <x:c r="G1701" s="20">
        <x:v>0</x:v>
      </x:c>
      <x:c r="H1701" s="21"/>
      <x:c r="I1701" s="21"/>
      <x:c r="J1701" s="22">
        <x:v>0</x:v>
      </x:c>
      <x:c r="K1701" s="22">
        <x:v>0</x:v>
      </x:c>
      <x:c r="L1701" s="23">
        <x:v>0</x:v>
      </x:c>
    </x:row>
    <x:row r="1702">
      <x:c r="A1702" s="18" t="s">
        <x:v>3692</x:v>
      </x:c>
      <x:c r="B1702" s="19" t="s">
        <x:v>3693</x:v>
      </x:c>
      <x:c r="C1702" s="20">
        <x:v>69072100</x:v>
      </x:c>
      <x:c r="D1702" s="20">
        <x:v>17737.36</x:v>
      </x:c>
      <x:c r="E1702" s="18" t="s">
        <x:v>227</x:v>
      </x:c>
      <x:c r="F1702" s="19" t="s">
        <x:v>11</x:v>
      </x:c>
      <x:c r="G1702" s="20">
        <x:v>0</x:v>
      </x:c>
      <x:c r="H1702" s="21"/>
      <x:c r="I1702" s="21"/>
      <x:c r="J1702" s="23">
        <x:v>8</x:v>
      </x:c>
      <x:c r="K1702" s="23">
        <x:v>141898.88</x:v>
      </x:c>
      <x:c r="L1702" s="23">
        <x:v>8</x:v>
      </x:c>
    </x:row>
    <x:row r="1703">
      <x:c r="A1703" s="18" t="s">
        <x:v>3694</x:v>
      </x:c>
      <x:c r="B1703" s="19" t="s">
        <x:v>3695</x:v>
      </x:c>
      <x:c r="C1703" s="20">
        <x:v>69072100</x:v>
      </x:c>
      <x:c r="D1703" s="20">
        <x:v>17737.36</x:v>
      </x:c>
      <x:c r="E1703" s="18" t="s">
        <x:v>227</x:v>
      </x:c>
      <x:c r="F1703" s="19" t="s">
        <x:v>11</x:v>
      </x:c>
      <x:c r="G1703" s="20">
        <x:v>0</x:v>
      </x:c>
      <x:c r="H1703" s="21"/>
      <x:c r="I1703" s="21"/>
      <x:c r="J1703" s="23">
        <x:v>8</x:v>
      </x:c>
      <x:c r="K1703" s="23">
        <x:v>141898.88</x:v>
      </x:c>
      <x:c r="L1703" s="23">
        <x:v>8</x:v>
      </x:c>
    </x:row>
    <x:row r="1704">
      <x:c r="A1704" s="18" t="s">
        <x:v>3696</x:v>
      </x:c>
      <x:c r="B1704" s="19" t="s">
        <x:v>3697</x:v>
      </x:c>
      <x:c r="C1704" s="20">
        <x:v>69072100</x:v>
      </x:c>
      <x:c r="D1704" s="20">
        <x:v>0</x:v>
      </x:c>
      <x:c r="E1704" s="18" t="s">
        <x:v>227</x:v>
      </x:c>
      <x:c r="F1704" s="19" t="s">
        <x:v>11</x:v>
      </x:c>
      <x:c r="G1704" s="20">
        <x:v>0</x:v>
      </x:c>
      <x:c r="H1704" s="21"/>
      <x:c r="I1704" s="21"/>
      <x:c r="J1704" s="23">
        <x:v>6</x:v>
      </x:c>
      <x:c r="K1704" s="23">
        <x:v>106424.16</x:v>
      </x:c>
      <x:c r="L1704" s="23">
        <x:v>0</x:v>
      </x:c>
    </x:row>
    <x:row r="1705">
      <x:c r="A1705" s="18" t="s">
        <x:v>3698</x:v>
      </x:c>
      <x:c r="B1705" s="19" t="s">
        <x:v>3699</x:v>
      </x:c>
      <x:c r="C1705" s="20">
        <x:v>69072100</x:v>
      </x:c>
      <x:c r="D1705" s="20">
        <x:v>17737.36</x:v>
      </x:c>
      <x:c r="E1705" s="18" t="s">
        <x:v>227</x:v>
      </x:c>
      <x:c r="F1705" s="19" t="s">
        <x:v>11</x:v>
      </x:c>
      <x:c r="G1705" s="20">
        <x:v>0</x:v>
      </x:c>
      <x:c r="H1705" s="21"/>
      <x:c r="I1705" s="21"/>
      <x:c r="J1705" s="23">
        <x:v>10</x:v>
      </x:c>
      <x:c r="K1705" s="23">
        <x:v>177373.6</x:v>
      </x:c>
      <x:c r="L1705" s="23">
        <x:v>10</x:v>
      </x:c>
    </x:row>
    <x:row r="1706">
      <x:c r="A1706" s="18" t="s">
        <x:v>3700</x:v>
      </x:c>
      <x:c r="B1706" s="19" t="s">
        <x:v>3701</x:v>
      </x:c>
      <x:c r="C1706" s="20">
        <x:v>69072100</x:v>
      </x:c>
      <x:c r="D1706" s="20">
        <x:v>17737.36</x:v>
      </x:c>
      <x:c r="E1706" s="18" t="s">
        <x:v>227</x:v>
      </x:c>
      <x:c r="F1706" s="19" t="s">
        <x:v>11</x:v>
      </x:c>
      <x:c r="G1706" s="20">
        <x:v>0</x:v>
      </x:c>
      <x:c r="H1706" s="21"/>
      <x:c r="I1706" s="21"/>
      <x:c r="J1706" s="23">
        <x:v>1</x:v>
      </x:c>
      <x:c r="K1706" s="23">
        <x:v>17737.36</x:v>
      </x:c>
      <x:c r="L1706" s="23">
        <x:v>1</x:v>
      </x:c>
    </x:row>
    <x:row r="1707">
      <x:c r="A1707" s="18" t="s">
        <x:v>3702</x:v>
      </x:c>
      <x:c r="B1707" s="19" t="s">
        <x:v>3703</x:v>
      </x:c>
      <x:c r="C1707" s="20">
        <x:v>69072100</x:v>
      </x:c>
      <x:c r="D1707" s="20">
        <x:v>0</x:v>
      </x:c>
      <x:c r="E1707" s="18" t="s">
        <x:v>227</x:v>
      </x:c>
      <x:c r="F1707" s="19" t="s">
        <x:v>11</x:v>
      </x:c>
      <x:c r="G1707" s="20">
        <x:v>0</x:v>
      </x:c>
      <x:c r="H1707" s="21"/>
      <x:c r="I1707" s="21"/>
      <x:c r="J1707" s="23">
        <x:v>3</x:v>
      </x:c>
      <x:c r="K1707" s="23">
        <x:v>53212.08</x:v>
      </x:c>
      <x:c r="L1707" s="23">
        <x:v>0</x:v>
      </x:c>
    </x:row>
    <x:row r="1708">
      <x:c r="A1708" s="18" t="s">
        <x:v>3704</x:v>
      </x:c>
      <x:c r="B1708" s="19" t="s">
        <x:v>3705</x:v>
      </x:c>
      <x:c r="C1708" s="20">
        <x:v>69072100</x:v>
      </x:c>
      <x:c r="D1708" s="20">
        <x:v>0</x:v>
      </x:c>
      <x:c r="E1708" s="18" t="s">
        <x:v>227</x:v>
      </x:c>
      <x:c r="F1708" s="19" t="s">
        <x:v>11</x:v>
      </x:c>
      <x:c r="G1708" s="20">
        <x:v>0</x:v>
      </x:c>
      <x:c r="H1708" s="21"/>
      <x:c r="I1708" s="21"/>
      <x:c r="J1708" s="23">
        <x:v>2</x:v>
      </x:c>
      <x:c r="K1708" s="23">
        <x:v>35474.720000000001</x:v>
      </x:c>
      <x:c r="L1708" s="23">
        <x:v>0</x:v>
      </x:c>
    </x:row>
    <x:row r="1709">
      <x:c r="A1709" s="18" t="s">
        <x:v>3706</x:v>
      </x:c>
      <x:c r="B1709" s="19" t="s">
        <x:v>3707</x:v>
      </x:c>
      <x:c r="C1709" s="20">
        <x:v>69072100</x:v>
      </x:c>
      <x:c r="D1709" s="20">
        <x:v>17737.36</x:v>
      </x:c>
      <x:c r="E1709" s="18" t="s">
        <x:v>227</x:v>
      </x:c>
      <x:c r="F1709" s="19" t="s">
        <x:v>11</x:v>
      </x:c>
      <x:c r="G1709" s="20">
        <x:v>0</x:v>
      </x:c>
      <x:c r="H1709" s="21"/>
      <x:c r="I1709" s="21"/>
      <x:c r="J1709" s="23">
        <x:v>6</x:v>
      </x:c>
      <x:c r="K1709" s="23">
        <x:v>106424.16</x:v>
      </x:c>
      <x:c r="L1709" s="23">
        <x:v>1</x:v>
      </x:c>
    </x:row>
    <x:row r="1710">
      <x:c r="A1710" s="18" t="s">
        <x:v>3708</x:v>
      </x:c>
      <x:c r="B1710" s="19" t="s">
        <x:v>3709</x:v>
      </x:c>
      <x:c r="C1710" s="20">
        <x:v>69072100</x:v>
      </x:c>
      <x:c r="D1710" s="20">
        <x:v>0</x:v>
      </x:c>
      <x:c r="E1710" s="18" t="s">
        <x:v>227</x:v>
      </x:c>
      <x:c r="F1710" s="19" t="s">
        <x:v>11</x:v>
      </x:c>
      <x:c r="G1710" s="20">
        <x:v>0</x:v>
      </x:c>
      <x:c r="H1710" s="21"/>
      <x:c r="I1710" s="21"/>
      <x:c r="J1710" s="22">
        <x:v>0</x:v>
      </x:c>
      <x:c r="K1710" s="22">
        <x:v>0</x:v>
      </x:c>
      <x:c r="L1710" s="23">
        <x:v>0</x:v>
      </x:c>
    </x:row>
    <x:row r="1711">
      <x:c r="A1711" s="18" t="s">
        <x:v>3710</x:v>
      </x:c>
      <x:c r="B1711" s="19" t="s">
        <x:v>3711</x:v>
      </x:c>
      <x:c r="C1711" s="20">
        <x:v>69072100</x:v>
      </x:c>
      <x:c r="D1711" s="20">
        <x:v>15658.12</x:v>
      </x:c>
      <x:c r="E1711" s="18" t="s">
        <x:v>227</x:v>
      </x:c>
      <x:c r="F1711" s="19" t="s">
        <x:v>11</x:v>
      </x:c>
      <x:c r="G1711" s="20">
        <x:v>0</x:v>
      </x:c>
      <x:c r="H1711" s="21"/>
      <x:c r="I1711" s="21"/>
      <x:c r="J1711" s="23">
        <x:v>9</x:v>
      </x:c>
      <x:c r="K1711" s="23">
        <x:v>140923.1</x:v>
      </x:c>
      <x:c r="L1711" s="23">
        <x:v>9</x:v>
      </x:c>
    </x:row>
    <x:row r="1712">
      <x:c r="A1712" s="18" t="s">
        <x:v>3712</x:v>
      </x:c>
      <x:c r="B1712" s="19" t="s">
        <x:v>3713</x:v>
      </x:c>
      <x:c r="C1712" s="20">
        <x:v>69072100</x:v>
      </x:c>
      <x:c r="D1712" s="20">
        <x:v>8190.37</x:v>
      </x:c>
      <x:c r="E1712" s="18" t="s">
        <x:v>227</x:v>
      </x:c>
      <x:c r="F1712" s="19" t="s">
        <x:v>11</x:v>
      </x:c>
      <x:c r="G1712" s="20">
        <x:v>0</x:v>
      </x:c>
      <x:c r="H1712" s="21"/>
      <x:c r="I1712" s="21"/>
      <x:c r="J1712" s="23">
        <x:v>75</x:v>
      </x:c>
      <x:c r="K1712" s="23">
        <x:v>614277.80000000005</x:v>
      </x:c>
      <x:c r="L1712" s="23">
        <x:v>15</x:v>
      </x:c>
    </x:row>
    <x:row r="1713">
      <x:c r="A1713" s="18" t="s">
        <x:v>3714</x:v>
      </x:c>
      <x:c r="B1713" s="19" t="s">
        <x:v>3715</x:v>
      </x:c>
      <x:c r="C1713" s="20">
        <x:v>69072100</x:v>
      </x:c>
      <x:c r="D1713" s="20">
        <x:v>8437.94</x:v>
      </x:c>
      <x:c r="E1713" s="18" t="s">
        <x:v>227</x:v>
      </x:c>
      <x:c r="F1713" s="19" t="s">
        <x:v>11</x:v>
      </x:c>
      <x:c r="G1713" s="20">
        <x:v>0</x:v>
      </x:c>
      <x:c r="H1713" s="21"/>
      <x:c r="I1713" s="21"/>
      <x:c r="J1713" s="23">
        <x:v>16</x:v>
      </x:c>
      <x:c r="K1713" s="23">
        <x:v>135007.04000000001</x:v>
      </x:c>
      <x:c r="L1713" s="23">
        <x:v>16</x:v>
      </x:c>
    </x:row>
    <x:row r="1714">
      <x:c r="A1714" s="18" t="s">
        <x:v>3716</x:v>
      </x:c>
      <x:c r="B1714" s="19" t="s">
        <x:v>3717</x:v>
      </x:c>
      <x:c r="C1714" s="20">
        <x:v>69072100</x:v>
      </x:c>
      <x:c r="D1714" s="20">
        <x:v>8516.4</x:v>
      </x:c>
      <x:c r="E1714" s="18" t="s">
        <x:v>227</x:v>
      </x:c>
      <x:c r="F1714" s="19" t="s">
        <x:v>11</x:v>
      </x:c>
      <x:c r="G1714" s="20">
        <x:v>0</x:v>
      </x:c>
      <x:c r="H1714" s="21"/>
      <x:c r="I1714" s="21"/>
      <x:c r="J1714" s="23">
        <x:v>14</x:v>
      </x:c>
      <x:c r="K1714" s="23">
        <x:v>119229.6</x:v>
      </x:c>
      <x:c r="L1714" s="23">
        <x:v>14</x:v>
      </x:c>
    </x:row>
    <x:row r="1715">
      <x:c r="A1715" s="18" t="s">
        <x:v>3718</x:v>
      </x:c>
      <x:c r="B1715" s="19" t="s">
        <x:v>3719</x:v>
      </x:c>
      <x:c r="C1715" s="20">
        <x:v>69072100</x:v>
      </x:c>
      <x:c r="D1715" s="20">
        <x:v>17452.55</x:v>
      </x:c>
      <x:c r="E1715" s="18" t="s">
        <x:v>227</x:v>
      </x:c>
      <x:c r="F1715" s="19" t="s">
        <x:v>11</x:v>
      </x:c>
      <x:c r="G1715" s="20">
        <x:v>0</x:v>
      </x:c>
      <x:c r="H1715" s="21"/>
      <x:c r="I1715" s="21"/>
      <x:c r="J1715" s="23">
        <x:v>26</x:v>
      </x:c>
      <x:c r="K1715" s="23">
        <x:v>453766.37</x:v>
      </x:c>
      <x:c r="L1715" s="23">
        <x:v>19</x:v>
      </x:c>
    </x:row>
    <x:row r="1716">
      <x:c r="A1716" s="18" t="s">
        <x:v>3720</x:v>
      </x:c>
      <x:c r="B1716" s="19" t="s">
        <x:v>3721</x:v>
      </x:c>
      <x:c r="C1716" s="20">
        <x:v>69072100</x:v>
      </x:c>
      <x:c r="D1716" s="20">
        <x:v>17833.419999999998</x:v>
      </x:c>
      <x:c r="E1716" s="18" t="s">
        <x:v>227</x:v>
      </x:c>
      <x:c r="F1716" s="19" t="s">
        <x:v>11</x:v>
      </x:c>
      <x:c r="G1716" s="20">
        <x:v>0</x:v>
      </x:c>
      <x:c r="H1716" s="21"/>
      <x:c r="I1716" s="21"/>
      <x:c r="J1716" s="23">
        <x:v>6</x:v>
      </x:c>
      <x:c r="K1716" s="23">
        <x:v>107000.52</x:v>
      </x:c>
      <x:c r="L1716" s="23">
        <x:v>6</x:v>
      </x:c>
    </x:row>
    <x:row r="1717">
      <x:c r="A1717" s="18" t="s">
        <x:v>3722</x:v>
      </x:c>
      <x:c r="B1717" s="19" t="s">
        <x:v>3723</x:v>
      </x:c>
      <x:c r="C1717" s="20">
        <x:v>69072100</x:v>
      </x:c>
      <x:c r="D1717" s="20">
        <x:v>16639.91</x:v>
      </x:c>
      <x:c r="E1717" s="18" t="s">
        <x:v>227</x:v>
      </x:c>
      <x:c r="F1717" s="19" t="s">
        <x:v>11</x:v>
      </x:c>
      <x:c r="G1717" s="20">
        <x:v>0</x:v>
      </x:c>
      <x:c r="H1717" s="21"/>
      <x:c r="I1717" s="21"/>
      <x:c r="J1717" s="23">
        <x:v>11</x:v>
      </x:c>
      <x:c r="K1717" s="23">
        <x:v>183039.01</x:v>
      </x:c>
      <x:c r="L1717" s="23">
        <x:v>11</x:v>
      </x:c>
    </x:row>
    <x:row r="1718">
      <x:c r="A1718" s="18" t="s">
        <x:v>3724</x:v>
      </x:c>
      <x:c r="B1718" s="19" t="s">
        <x:v>3725</x:v>
      </x:c>
      <x:c r="C1718" s="20">
        <x:v>69072100</x:v>
      </x:c>
      <x:c r="D1718" s="20">
        <x:v>0</x:v>
      </x:c>
      <x:c r="E1718" s="18" t="s">
        <x:v>227</x:v>
      </x:c>
      <x:c r="F1718" s="19" t="s">
        <x:v>82</x:v>
      </x:c>
      <x:c r="G1718" s="20">
        <x:v>0</x:v>
      </x:c>
      <x:c r="H1718" s="21"/>
      <x:c r="I1718" s="21"/>
      <x:c r="J1718" s="22">
        <x:v>0</x:v>
      </x:c>
      <x:c r="K1718" s="22">
        <x:v>0</x:v>
      </x:c>
      <x:c r="L1718" s="23">
        <x:v>0</x:v>
      </x:c>
    </x:row>
    <x:row r="1719">
      <x:c r="A1719" s="18" t="s">
        <x:v>3726</x:v>
      </x:c>
      <x:c r="B1719" s="19" t="s">
        <x:v>3727</x:v>
      </x:c>
      <x:c r="C1719" s="20">
        <x:v>69072100</x:v>
      </x:c>
      <x:c r="D1719" s="20">
        <x:v>3441</x:v>
      </x:c>
      <x:c r="E1719" s="18" t="s">
        <x:v>227</x:v>
      </x:c>
      <x:c r="F1719" s="19" t="s">
        <x:v>11</x:v>
      </x:c>
      <x:c r="G1719" s="20">
        <x:v>0</x:v>
      </x:c>
      <x:c r="H1719" s="21"/>
      <x:c r="I1719" s="21"/>
      <x:c r="J1719" s="23">
        <x:v>33</x:v>
      </x:c>
      <x:c r="K1719" s="23">
        <x:v>113553</x:v>
      </x:c>
      <x:c r="L1719" s="23">
        <x:v>11</x:v>
      </x:c>
    </x:row>
    <x:row r="1720">
      <x:c r="A1720" s="18" t="s">
        <x:v>3728</x:v>
      </x:c>
      <x:c r="B1720" s="19" t="s">
        <x:v>3729</x:v>
      </x:c>
      <x:c r="C1720" s="20">
        <x:v>69072100</x:v>
      </x:c>
      <x:c r="D1720" s="20">
        <x:v>4375.97</x:v>
      </x:c>
      <x:c r="E1720" s="18" t="s">
        <x:v>227</x:v>
      </x:c>
      <x:c r="F1720" s="19" t="s">
        <x:v>11</x:v>
      </x:c>
      <x:c r="G1720" s="20">
        <x:v>4376</x:v>
      </x:c>
      <x:c r="H1720" s="21"/>
      <x:c r="I1720" s="26" t="s">
        <x:v>3331</x:v>
      </x:c>
      <x:c r="J1720" s="22">
        <x:v>0</x:v>
      </x:c>
      <x:c r="K1720" s="22">
        <x:v>0</x:v>
      </x:c>
      <x:c r="L1720" s="23">
        <x:v>30</x:v>
      </x:c>
    </x:row>
    <x:row r="1721">
      <x:c r="A1721" s="18" t="s">
        <x:v>3730</x:v>
      </x:c>
      <x:c r="B1721" s="19" t="s">
        <x:v>3731</x:v>
      </x:c>
      <x:c r="C1721" s="20">
        <x:v>69072100</x:v>
      </x:c>
      <x:c r="D1721" s="20">
        <x:v>4195.72</x:v>
      </x:c>
      <x:c r="E1721" s="18" t="s">
        <x:v>227</x:v>
      </x:c>
      <x:c r="F1721" s="19" t="s">
        <x:v>11</x:v>
      </x:c>
      <x:c r="G1721" s="20">
        <x:v>4195.7</x:v>
      </x:c>
      <x:c r="H1721" s="21"/>
      <x:c r="I1721" s="26" t="s">
        <x:v>3331</x:v>
      </x:c>
      <x:c r="J1721" s="23">
        <x:v>40</x:v>
      </x:c>
      <x:c r="K1721" s="23">
        <x:v>152565.06</x:v>
      </x:c>
      <x:c r="L1721" s="23">
        <x:v>27</x:v>
      </x:c>
    </x:row>
    <x:row r="1722">
      <x:c r="A1722" s="18" t="s">
        <x:v>3732</x:v>
      </x:c>
      <x:c r="B1722" s="19" t="s">
        <x:v>3733</x:v>
      </x:c>
      <x:c r="C1722" s="20">
        <x:v>69072100</x:v>
      </x:c>
      <x:c r="D1722" s="20">
        <x:v>3441</x:v>
      </x:c>
      <x:c r="E1722" s="18" t="s">
        <x:v>227</x:v>
      </x:c>
      <x:c r="F1722" s="19" t="s">
        <x:v>11</x:v>
      </x:c>
      <x:c r="G1722" s="20">
        <x:v>0</x:v>
      </x:c>
      <x:c r="H1722" s="21"/>
      <x:c r="I1722" s="21"/>
      <x:c r="J1722" s="23">
        <x:v>41</x:v>
      </x:c>
      <x:c r="K1722" s="23">
        <x:v>141081</x:v>
      </x:c>
      <x:c r="L1722" s="23">
        <x:v>39</x:v>
      </x:c>
    </x:row>
    <x:row r="1723">
      <x:c r="A1723" s="18" t="s">
        <x:v>3734</x:v>
      </x:c>
      <x:c r="B1723" s="19" t="s">
        <x:v>3735</x:v>
      </x:c>
      <x:c r="C1723" s="20">
        <x:v>69072100</x:v>
      </x:c>
      <x:c r="D1723" s="20">
        <x:v>0</x:v>
      </x:c>
      <x:c r="E1723" s="18" t="s">
        <x:v>227</x:v>
      </x:c>
      <x:c r="F1723" s="19" t="s">
        <x:v>11</x:v>
      </x:c>
      <x:c r="G1723" s="20">
        <x:v>0</x:v>
      </x:c>
      <x:c r="H1723" s="21"/>
      <x:c r="I1723" s="21"/>
      <x:c r="J1723" s="22">
        <x:v>0</x:v>
      </x:c>
      <x:c r="K1723" s="22">
        <x:v>0</x:v>
      </x:c>
      <x:c r="L1723" s="23">
        <x:v>0</x:v>
      </x:c>
    </x:row>
    <x:row r="1724">
      <x:c r="A1724" s="18" t="s">
        <x:v>3736</x:v>
      </x:c>
      <x:c r="B1724" s="19" t="s">
        <x:v>3737</x:v>
      </x:c>
      <x:c r="C1724" s="20">
        <x:v>69072100</x:v>
      </x:c>
      <x:c r="D1724" s="20">
        <x:v>3814.13</x:v>
      </x:c>
      <x:c r="E1724" s="18" t="s">
        <x:v>227</x:v>
      </x:c>
      <x:c r="F1724" s="19" t="s">
        <x:v>11</x:v>
      </x:c>
      <x:c r="G1724" s="20">
        <x:v>0</x:v>
      </x:c>
      <x:c r="H1724" s="21"/>
      <x:c r="I1724" s="21"/>
      <x:c r="J1724" s="23">
        <x:v>39</x:v>
      </x:c>
      <x:c r="K1724" s="23">
        <x:v>148750.93</x:v>
      </x:c>
      <x:c r="L1724" s="23">
        <x:v>39</x:v>
      </x:c>
    </x:row>
    <x:row r="1725">
      <x:c r="A1725" s="18" t="s">
        <x:v>3738</x:v>
      </x:c>
      <x:c r="B1725" s="19" t="s">
        <x:v>3739</x:v>
      </x:c>
      <x:c r="C1725" s="20">
        <x:v>69072100</x:v>
      </x:c>
      <x:c r="D1725" s="20">
        <x:v>3441</x:v>
      </x:c>
      <x:c r="E1725" s="18" t="s">
        <x:v>227</x:v>
      </x:c>
      <x:c r="F1725" s="19" t="s">
        <x:v>11</x:v>
      </x:c>
      <x:c r="G1725" s="20">
        <x:v>0</x:v>
      </x:c>
      <x:c r="H1725" s="21"/>
      <x:c r="I1725" s="21"/>
      <x:c r="J1725" s="23">
        <x:v>37</x:v>
      </x:c>
      <x:c r="K1725" s="23">
        <x:v>127317</x:v>
      </x:c>
      <x:c r="L1725" s="23">
        <x:v>34</x:v>
      </x:c>
    </x:row>
    <x:row r="1726">
      <x:c r="A1726" s="18" t="s">
        <x:v>3740</x:v>
      </x:c>
      <x:c r="B1726" s="19" t="s">
        <x:v>3741</x:v>
      </x:c>
      <x:c r="C1726" s="20">
        <x:v>69072100</x:v>
      </x:c>
      <x:c r="D1726" s="20">
        <x:v>4375.97</x:v>
      </x:c>
      <x:c r="E1726" s="18" t="s">
        <x:v>227</x:v>
      </x:c>
      <x:c r="F1726" s="19" t="s">
        <x:v>11</x:v>
      </x:c>
      <x:c r="G1726" s="20">
        <x:v>4376</x:v>
      </x:c>
      <x:c r="H1726" s="21"/>
      <x:c r="I1726" s="26" t="s">
        <x:v>3331</x:v>
      </x:c>
      <x:c r="J1726" s="22">
        <x:v>0</x:v>
      </x:c>
      <x:c r="K1726" s="22">
        <x:v>0</x:v>
      </x:c>
      <x:c r="L1726" s="23">
        <x:v>26</x:v>
      </x:c>
    </x:row>
    <x:row r="1727">
      <x:c r="A1727" s="18" t="s">
        <x:v>3742</x:v>
      </x:c>
      <x:c r="B1727" s="19" t="s">
        <x:v>3743</x:v>
      </x:c>
      <x:c r="C1727" s="20">
        <x:v>69072100</x:v>
      </x:c>
      <x:c r="D1727" s="20">
        <x:v>3814.13</x:v>
      </x:c>
      <x:c r="E1727" s="18" t="s">
        <x:v>227</x:v>
      </x:c>
      <x:c r="F1727" s="19" t="s">
        <x:v>11</x:v>
      </x:c>
      <x:c r="G1727" s="20">
        <x:v>0</x:v>
      </x:c>
      <x:c r="H1727" s="21"/>
      <x:c r="I1727" s="21"/>
      <x:c r="J1727" s="23">
        <x:v>40</x:v>
      </x:c>
      <x:c r="K1727" s="23">
        <x:v>153687.74</x:v>
      </x:c>
      <x:c r="L1727" s="23">
        <x:v>39</x:v>
      </x:c>
    </x:row>
    <x:row r="1728">
      <x:c r="A1728" s="18" t="s">
        <x:v>3744</x:v>
      </x:c>
      <x:c r="B1728" s="19" t="s">
        <x:v>3745</x:v>
      </x:c>
      <x:c r="C1728" s="20">
        <x:v>69072100</x:v>
      </x:c>
      <x:c r="D1728" s="20">
        <x:v>0</x:v>
      </x:c>
      <x:c r="E1728" s="18" t="s">
        <x:v>227</x:v>
      </x:c>
      <x:c r="F1728" s="19" t="s">
        <x:v>11</x:v>
      </x:c>
      <x:c r="G1728" s="20">
        <x:v>0</x:v>
      </x:c>
      <x:c r="H1728" s="21"/>
      <x:c r="I1728" s="21"/>
      <x:c r="J1728" s="22">
        <x:v>0</x:v>
      </x:c>
      <x:c r="K1728" s="22">
        <x:v>0</x:v>
      </x:c>
      <x:c r="L1728" s="23">
        <x:v>0</x:v>
      </x:c>
    </x:row>
    <x:row r="1729">
      <x:c r="A1729" s="18" t="s">
        <x:v>3746</x:v>
      </x:c>
      <x:c r="B1729" s="19" t="s">
        <x:v>3747</x:v>
      </x:c>
      <x:c r="C1729" s="20">
        <x:v>69072100</x:v>
      </x:c>
      <x:c r="D1729" s="20">
        <x:v>0</x:v>
      </x:c>
      <x:c r="E1729" s="18" t="s">
        <x:v>227</x:v>
      </x:c>
      <x:c r="F1729" s="19" t="s">
        <x:v>11</x:v>
      </x:c>
      <x:c r="G1729" s="20">
        <x:v>0</x:v>
      </x:c>
      <x:c r="H1729" s="21"/>
      <x:c r="I1729" s="21"/>
      <x:c r="J1729" s="22">
        <x:v>0</x:v>
      </x:c>
      <x:c r="K1729" s="22">
        <x:v>0</x:v>
      </x:c>
      <x:c r="L1729" s="23">
        <x:v>0</x:v>
      </x:c>
    </x:row>
    <x:row r="1730">
      <x:c r="A1730" s="18" t="s">
        <x:v>3748</x:v>
      </x:c>
      <x:c r="B1730" s="19" t="s">
        <x:v>3749</x:v>
      </x:c>
      <x:c r="C1730" s="20">
        <x:v>69072100</x:v>
      </x:c>
      <x:c r="D1730" s="20">
        <x:v>4014.87</x:v>
      </x:c>
      <x:c r="E1730" s="18" t="s">
        <x:v>227</x:v>
      </x:c>
      <x:c r="F1730" s="19" t="s">
        <x:v>11</x:v>
      </x:c>
      <x:c r="G1730" s="20">
        <x:v>4014.9</x:v>
      </x:c>
      <x:c r="H1730" s="21"/>
      <x:c r="I1730" s="26" t="s">
        <x:v>3331</x:v>
      </x:c>
      <x:c r="J1730" s="22">
        <x:v>0</x:v>
      </x:c>
      <x:c r="K1730" s="22">
        <x:v>0</x:v>
      </x:c>
      <x:c r="L1730" s="23">
        <x:v>10</x:v>
      </x:c>
    </x:row>
    <x:row r="1731">
      <x:c r="A1731" s="18" t="s">
        <x:v>3750</x:v>
      </x:c>
      <x:c r="B1731" s="19" t="s">
        <x:v>3751</x:v>
      </x:c>
      <x:c r="C1731" s="20">
        <x:v>69072100</x:v>
      </x:c>
      <x:c r="D1731" s="20">
        <x:v>3814.13</x:v>
      </x:c>
      <x:c r="E1731" s="18" t="s">
        <x:v>227</x:v>
      </x:c>
      <x:c r="F1731" s="19" t="s">
        <x:v>11</x:v>
      </x:c>
      <x:c r="G1731" s="20">
        <x:v>0</x:v>
      </x:c>
      <x:c r="H1731" s="21"/>
      <x:c r="I1731" s="21"/>
      <x:c r="J1731" s="23">
        <x:v>4</x:v>
      </x:c>
      <x:c r="K1731" s="23">
        <x:v>15256.51</x:v>
      </x:c>
      <x:c r="L1731" s="23">
        <x:v>1</x:v>
      </x:c>
    </x:row>
    <x:row r="1732">
      <x:c r="A1732" s="18" t="s">
        <x:v>3752</x:v>
      </x:c>
      <x:c r="B1732" s="19" t="s">
        <x:v>3753</x:v>
      </x:c>
      <x:c r="C1732" s="20">
        <x:v>69072100</x:v>
      </x:c>
      <x:c r="D1732" s="20">
        <x:v>3814.13</x:v>
      </x:c>
      <x:c r="E1732" s="18" t="s">
        <x:v>227</x:v>
      </x:c>
      <x:c r="F1732" s="19" t="s">
        <x:v>11</x:v>
      </x:c>
      <x:c r="G1732" s="20">
        <x:v>0</x:v>
      </x:c>
      <x:c r="H1732" s="21"/>
      <x:c r="I1732" s="21"/>
      <x:c r="J1732" s="23">
        <x:v>19</x:v>
      </x:c>
      <x:c r="K1732" s="23">
        <x:v>72468.399999999994</x:v>
      </x:c>
      <x:c r="L1732" s="23">
        <x:v>16</x:v>
      </x:c>
    </x:row>
    <x:row r="1733">
      <x:c r="A1733" s="18" t="s">
        <x:v>3754</x:v>
      </x:c>
      <x:c r="B1733" s="19" t="s">
        <x:v>3755</x:v>
      </x:c>
      <x:c r="C1733" s="20">
        <x:v>69072100</x:v>
      </x:c>
      <x:c r="D1733" s="20">
        <x:v>0</x:v>
      </x:c>
      <x:c r="E1733" s="18" t="s">
        <x:v>227</x:v>
      </x:c>
      <x:c r="F1733" s="19" t="s">
        <x:v>11</x:v>
      </x:c>
      <x:c r="G1733" s="20">
        <x:v>0</x:v>
      </x:c>
      <x:c r="H1733" s="21"/>
      <x:c r="I1733" s="21"/>
      <x:c r="J1733" s="23">
        <x:v>5</x:v>
      </x:c>
      <x:c r="K1733" s="23">
        <x:v>17205</x:v>
      </x:c>
      <x:c r="L1733" s="23">
        <x:v>0</x:v>
      </x:c>
    </x:row>
    <x:row r="1734">
      <x:c r="A1734" s="18" t="s">
        <x:v>3756</x:v>
      </x:c>
      <x:c r="B1734" s="19" t="s">
        <x:v>3757</x:v>
      </x:c>
      <x:c r="C1734" s="20">
        <x:v>69072100</x:v>
      </x:c>
      <x:c r="D1734" s="20">
        <x:v>4375.97</x:v>
      </x:c>
      <x:c r="E1734" s="18" t="s">
        <x:v>227</x:v>
      </x:c>
      <x:c r="F1734" s="19" t="s">
        <x:v>11</x:v>
      </x:c>
      <x:c r="G1734" s="20">
        <x:v>4376</x:v>
      </x:c>
      <x:c r="H1734" s="21"/>
      <x:c r="I1734" s="26" t="s">
        <x:v>3331</x:v>
      </x:c>
      <x:c r="J1734" s="22">
        <x:v>0</x:v>
      </x:c>
      <x:c r="K1734" s="22">
        <x:v>0</x:v>
      </x:c>
      <x:c r="L1734" s="23">
        <x:v>47</x:v>
      </x:c>
    </x:row>
    <x:row r="1735">
      <x:c r="A1735" s="18" t="s">
        <x:v>3758</x:v>
      </x:c>
      <x:c r="B1735" s="19" t="s">
        <x:v>3759</x:v>
      </x:c>
      <x:c r="C1735" s="20">
        <x:v>69072100</x:v>
      </x:c>
      <x:c r="D1735" s="20">
        <x:v>0</x:v>
      </x:c>
      <x:c r="E1735" s="18" t="s">
        <x:v>227</x:v>
      </x:c>
      <x:c r="F1735" s="19" t="s">
        <x:v>11</x:v>
      </x:c>
      <x:c r="G1735" s="20">
        <x:v>0</x:v>
      </x:c>
      <x:c r="H1735" s="21"/>
      <x:c r="I1735" s="21"/>
      <x:c r="J1735" s="23">
        <x:v>8</x:v>
      </x:c>
      <x:c r="K1735" s="23">
        <x:v>30513.02</x:v>
      </x:c>
      <x:c r="L1735" s="23">
        <x:v>0</x:v>
      </x:c>
    </x:row>
    <x:row r="1736">
      <x:c r="A1736" s="18" t="s">
        <x:v>3760</x:v>
      </x:c>
      <x:c r="B1736" s="19" t="s">
        <x:v>3761</x:v>
      </x:c>
      <x:c r="C1736" s="20">
        <x:v>69072100</x:v>
      </x:c>
      <x:c r="D1736" s="20">
        <x:v>4556.79</x:v>
      </x:c>
      <x:c r="E1736" s="18" t="s">
        <x:v>227</x:v>
      </x:c>
      <x:c r="F1736" s="19" t="s">
        <x:v>11</x:v>
      </x:c>
      <x:c r="G1736" s="20">
        <x:v>4556.8</x:v>
      </x:c>
      <x:c r="H1736" s="21"/>
      <x:c r="I1736" s="26" t="s">
        <x:v>3331</x:v>
      </x:c>
      <x:c r="J1736" s="22">
        <x:v>0</x:v>
      </x:c>
      <x:c r="K1736" s="22">
        <x:v>0</x:v>
      </x:c>
      <x:c r="L1736" s="23">
        <x:v>29</x:v>
      </x:c>
    </x:row>
    <x:row r="1737">
      <x:c r="A1737" s="18" t="s">
        <x:v>3762</x:v>
      </x:c>
      <x:c r="B1737" s="19" t="s">
        <x:v>3763</x:v>
      </x:c>
      <x:c r="C1737" s="20">
        <x:v>69072100</x:v>
      </x:c>
      <x:c r="D1737" s="20">
        <x:v>425</x:v>
      </x:c>
      <x:c r="E1737" s="18" t="s">
        <x:v>227</x:v>
      </x:c>
      <x:c r="F1737" s="19" t="s">
        <x:v>11</x:v>
      </x:c>
      <x:c r="G1737" s="20">
        <x:v>0</x:v>
      </x:c>
      <x:c r="H1737" s="21"/>
      <x:c r="I1737" s="21"/>
      <x:c r="J1737" s="23">
        <x:v>34</x:v>
      </x:c>
      <x:c r="K1737" s="23">
        <x:v>14450</x:v>
      </x:c>
      <x:c r="L1737" s="23">
        <x:v>153</x:v>
      </x:c>
    </x:row>
    <x:row r="1738">
      <x:c r="A1738" s="18" t="s">
        <x:v>3764</x:v>
      </x:c>
      <x:c r="B1738" s="19" t="s">
        <x:v>3765</x:v>
      </x:c>
      <x:c r="C1738" s="20">
        <x:v>69072100</x:v>
      </x:c>
      <x:c r="D1738" s="20">
        <x:v>472.75</x:v>
      </x:c>
      <x:c r="E1738" s="18" t="s">
        <x:v>227</x:v>
      </x:c>
      <x:c r="F1738" s="19" t="s">
        <x:v>11</x:v>
      </x:c>
      <x:c r="G1738" s="20">
        <x:v>0</x:v>
      </x:c>
      <x:c r="H1738" s="21"/>
      <x:c r="I1738" s="21"/>
      <x:c r="J1738" s="22">
        <x:v>0</x:v>
      </x:c>
      <x:c r="K1738" s="22">
        <x:v>0</x:v>
      </x:c>
      <x:c r="L1738" s="23">
        <x:v>4</x:v>
      </x:c>
    </x:row>
    <x:row r="1739">
      <x:c r="A1739" s="18" t="s">
        <x:v>3766</x:v>
      </x:c>
      <x:c r="B1739" s="19" t="s">
        <x:v>3767</x:v>
      </x:c>
      <x:c r="C1739" s="20">
        <x:v>69072100</x:v>
      </x:c>
      <x:c r="D1739" s="20">
        <x:v>0</x:v>
      </x:c>
      <x:c r="E1739" s="18" t="s">
        <x:v>227</x:v>
      </x:c>
      <x:c r="F1739" s="19" t="s">
        <x:v>11</x:v>
      </x:c>
      <x:c r="G1739" s="20">
        <x:v>472.75</x:v>
      </x:c>
      <x:c r="H1739" s="21"/>
      <x:c r="I1739" s="26" t="s">
        <x:v>3331</x:v>
      </x:c>
      <x:c r="J1739" s="22">
        <x:v>0</x:v>
      </x:c>
      <x:c r="K1739" s="22">
        <x:v>0</x:v>
      </x:c>
      <x:c r="L1739" s="23">
        <x:v>0</x:v>
      </x:c>
    </x:row>
    <x:row r="1740">
      <x:c r="A1740" s="18" t="s">
        <x:v>3768</x:v>
      </x:c>
      <x:c r="B1740" s="19" t="s">
        <x:v>3769</x:v>
      </x:c>
      <x:c r="C1740" s="20">
        <x:v>69072100</x:v>
      </x:c>
      <x:c r="D1740" s="20">
        <x:v>0</x:v>
      </x:c>
      <x:c r="E1740" s="18" t="s">
        <x:v>227</x:v>
      </x:c>
      <x:c r="F1740" s="19" t="s">
        <x:v>87</x:v>
      </x:c>
      <x:c r="G1740" s="20">
        <x:v>0</x:v>
      </x:c>
      <x:c r="H1740" s="21"/>
      <x:c r="I1740" s="21"/>
      <x:c r="J1740" s="22">
        <x:v>0</x:v>
      </x:c>
      <x:c r="K1740" s="22">
        <x:v>0</x:v>
      </x:c>
      <x:c r="L1740" s="23">
        <x:v>0</x:v>
      </x:c>
    </x:row>
    <x:row r="1741">
      <x:c r="A1741" s="18" t="s">
        <x:v>3770</x:v>
      </x:c>
      <x:c r="B1741" s="19" t="s">
        <x:v>3771</x:v>
      </x:c>
      <x:c r="C1741" s="20">
        <x:v>69072100</x:v>
      </x:c>
      <x:c r="D1741" s="20">
        <x:v>356.5</x:v>
      </x:c>
      <x:c r="E1741" s="18" t="s">
        <x:v>227</x:v>
      </x:c>
      <x:c r="F1741" s="19" t="s">
        <x:v>11</x:v>
      </x:c>
      <x:c r="G1741" s="20">
        <x:v>356.5</x:v>
      </x:c>
      <x:c r="H1741" s="21"/>
      <x:c r="I1741" s="26" t="s">
        <x:v>3394</x:v>
      </x:c>
      <x:c r="J1741" s="23">
        <x:v>78</x:v>
      </x:c>
      <x:c r="K1741" s="23">
        <x:v>22958.75</x:v>
      </x:c>
      <x:c r="L1741" s="23">
        <x:v>150</x:v>
      </x:c>
    </x:row>
    <x:row r="1742">
      <x:c r="A1742" s="18" t="s">
        <x:v>3772</x:v>
      </x:c>
      <x:c r="B1742" s="19" t="s">
        <x:v>3773</x:v>
      </x:c>
      <x:c r="C1742" s="20">
        <x:v>69072100</x:v>
      </x:c>
      <x:c r="D1742" s="20">
        <x:v>294.5</x:v>
      </x:c>
      <x:c r="E1742" s="18" t="s">
        <x:v>227</x:v>
      </x:c>
      <x:c r="F1742" s="19" t="s">
        <x:v>11</x:v>
      </x:c>
      <x:c r="G1742" s="20">
        <x:v>0</x:v>
      </x:c>
      <x:c r="H1742" s="21"/>
      <x:c r="I1742" s="21"/>
      <x:c r="J1742" s="23">
        <x:v>193</x:v>
      </x:c>
      <x:c r="K1742" s="23">
        <x:v>56838.5</x:v>
      </x:c>
      <x:c r="L1742" s="23">
        <x:v>56</x:v>
      </x:c>
    </x:row>
    <x:row r="1743">
      <x:c r="A1743" s="18" t="s">
        <x:v>3774</x:v>
      </x:c>
      <x:c r="B1743" s="19" t="s">
        <x:v>3775</x:v>
      </x:c>
      <x:c r="C1743" s="20">
        <x:v>69072100</x:v>
      </x:c>
      <x:c r="D1743" s="20">
        <x:v>294.5</x:v>
      </x:c>
      <x:c r="E1743" s="18" t="s">
        <x:v>227</x:v>
      </x:c>
      <x:c r="F1743" s="19" t="s">
        <x:v>11</x:v>
      </x:c>
      <x:c r="G1743" s="20">
        <x:v>0</x:v>
      </x:c>
      <x:c r="H1743" s="21"/>
      <x:c r="I1743" s="21"/>
      <x:c r="J1743" s="23">
        <x:v>151</x:v>
      </x:c>
      <x:c r="K1743" s="23">
        <x:v>44469.5</x:v>
      </x:c>
      <x:c r="L1743" s="23">
        <x:v>137</x:v>
      </x:c>
    </x:row>
    <x:row r="1744">
      <x:c r="A1744" s="18" t="s">
        <x:v>3776</x:v>
      </x:c>
      <x:c r="B1744" s="19" t="s">
        <x:v>3777</x:v>
      </x:c>
      <x:c r="C1744" s="20">
        <x:v>69072100</x:v>
      </x:c>
      <x:c r="D1744" s="20">
        <x:v>294.5</x:v>
      </x:c>
      <x:c r="E1744" s="18" t="s">
        <x:v>227</x:v>
      </x:c>
      <x:c r="F1744" s="19" t="s">
        <x:v>11</x:v>
      </x:c>
      <x:c r="G1744" s="20">
        <x:v>0</x:v>
      </x:c>
      <x:c r="H1744" s="21"/>
      <x:c r="I1744" s="21"/>
      <x:c r="J1744" s="23">
        <x:v>187</x:v>
      </x:c>
      <x:c r="K1744" s="23">
        <x:v>55071.5</x:v>
      </x:c>
      <x:c r="L1744" s="23">
        <x:v>176</x:v>
      </x:c>
    </x:row>
    <x:row r="1745">
      <x:c r="A1745" s="18" t="s">
        <x:v>3778</x:v>
      </x:c>
      <x:c r="B1745" s="19" t="s">
        <x:v>3779</x:v>
      </x:c>
      <x:c r="C1745" s="20">
        <x:v>69072100</x:v>
      </x:c>
      <x:c r="D1745" s="20">
        <x:v>294.5</x:v>
      </x:c>
      <x:c r="E1745" s="18" t="s">
        <x:v>227</x:v>
      </x:c>
      <x:c r="F1745" s="19" t="s">
        <x:v>11</x:v>
      </x:c>
      <x:c r="G1745" s="20">
        <x:v>0</x:v>
      </x:c>
      <x:c r="H1745" s="21"/>
      <x:c r="I1745" s="21"/>
      <x:c r="J1745" s="23">
        <x:v>185</x:v>
      </x:c>
      <x:c r="K1745" s="23">
        <x:v>54482.5</x:v>
      </x:c>
      <x:c r="L1745" s="23">
        <x:v>176</x:v>
      </x:c>
    </x:row>
    <x:row r="1746">
      <x:c r="A1746" s="18" t="s">
        <x:v>3780</x:v>
      </x:c>
      <x:c r="B1746" s="19" t="s">
        <x:v>3781</x:v>
      </x:c>
      <x:c r="C1746" s="20">
        <x:v>69072100</x:v>
      </x:c>
      <x:c r="D1746" s="20">
        <x:v>4006.87</x:v>
      </x:c>
      <x:c r="E1746" s="18" t="s">
        <x:v>227</x:v>
      </x:c>
      <x:c r="F1746" s="19" t="s">
        <x:v>11</x:v>
      </x:c>
      <x:c r="G1746" s="20">
        <x:v>0</x:v>
      </x:c>
      <x:c r="H1746" s="21"/>
      <x:c r="I1746" s="21"/>
      <x:c r="J1746" s="23">
        <x:v>46</x:v>
      </x:c>
      <x:c r="K1746" s="23">
        <x:v>184316.02</x:v>
      </x:c>
      <x:c r="L1746" s="23">
        <x:v>46</x:v>
      </x:c>
    </x:row>
    <x:row r="1747">
      <x:c r="A1747" s="18" t="s">
        <x:v>3782</x:v>
      </x:c>
      <x:c r="B1747" s="19" t="s">
        <x:v>3783</x:v>
      </x:c>
      <x:c r="C1747" s="20">
        <x:v>69072100</x:v>
      </x:c>
      <x:c r="D1747" s="20">
        <x:v>0</x:v>
      </x:c>
      <x:c r="E1747" s="18" t="s">
        <x:v>227</x:v>
      </x:c>
      <x:c r="F1747" s="19" t="s">
        <x:v>11</x:v>
      </x:c>
      <x:c r="G1747" s="20">
        <x:v>0</x:v>
      </x:c>
      <x:c r="H1747" s="21"/>
      <x:c r="I1747" s="21"/>
      <x:c r="J1747" s="22">
        <x:v>0</x:v>
      </x:c>
      <x:c r="K1747" s="22">
        <x:v>0</x:v>
      </x:c>
      <x:c r="L1747" s="23">
        <x:v>0</x:v>
      </x:c>
    </x:row>
    <x:row r="1748">
      <x:c r="A1748" s="18" t="s">
        <x:v>3784</x:v>
      </x:c>
      <x:c r="B1748" s="19" t="s">
        <x:v>3785</x:v>
      </x:c>
      <x:c r="C1748" s="20">
        <x:v>69072100</x:v>
      </x:c>
      <x:c r="D1748" s="20">
        <x:v>7200.11</x:v>
      </x:c>
      <x:c r="E1748" s="18" t="s">
        <x:v>227</x:v>
      </x:c>
      <x:c r="F1748" s="19" t="s">
        <x:v>11</x:v>
      </x:c>
      <x:c r="G1748" s="20">
        <x:v>0</x:v>
      </x:c>
      <x:c r="H1748" s="21"/>
      <x:c r="I1748" s="21"/>
      <x:c r="J1748" s="23">
        <x:v>35</x:v>
      </x:c>
      <x:c r="K1748" s="23">
        <x:v>252003.85</x:v>
      </x:c>
      <x:c r="L1748" s="23">
        <x:v>35</x:v>
      </x:c>
    </x:row>
    <x:row r="1749">
      <x:c r="A1749" s="18" t="s">
        <x:v>3786</x:v>
      </x:c>
      <x:c r="B1749" s="19" t="s">
        <x:v>3787</x:v>
      </x:c>
      <x:c r="C1749" s="20">
        <x:v>69072100</x:v>
      </x:c>
      <x:c r="D1749" s="20">
        <x:v>0</x:v>
      </x:c>
      <x:c r="E1749" s="18" t="s">
        <x:v>227</x:v>
      </x:c>
      <x:c r="F1749" s="19" t="s">
        <x:v>11</x:v>
      </x:c>
      <x:c r="G1749" s="20">
        <x:v>0</x:v>
      </x:c>
      <x:c r="H1749" s="21"/>
      <x:c r="I1749" s="21"/>
      <x:c r="J1749" s="23">
        <x:v>12</x:v>
      </x:c>
      <x:c r="K1749" s="23">
        <x:v>69348.12</x:v>
      </x:c>
      <x:c r="L1749" s="23">
        <x:v>0</x:v>
      </x:c>
    </x:row>
    <x:row r="1750">
      <x:c r="A1750" s="18" t="s">
        <x:v>3788</x:v>
      </x:c>
      <x:c r="B1750" s="19" t="s">
        <x:v>3789</x:v>
      </x:c>
      <x:c r="C1750" s="20">
        <x:v>69072100</x:v>
      </x:c>
      <x:c r="D1750" s="20">
        <x:v>7106.65</x:v>
      </x:c>
      <x:c r="E1750" s="18" t="s">
        <x:v>227</x:v>
      </x:c>
      <x:c r="F1750" s="19" t="s">
        <x:v>11</x:v>
      </x:c>
      <x:c r="G1750" s="20">
        <x:v>0</x:v>
      </x:c>
      <x:c r="H1750" s="21"/>
      <x:c r="I1750" s="21"/>
      <x:c r="J1750" s="23">
        <x:v>16</x:v>
      </x:c>
      <x:c r="K1750" s="23">
        <x:v>113706.4</x:v>
      </x:c>
      <x:c r="L1750" s="23">
        <x:v>16</x:v>
      </x:c>
    </x:row>
    <x:row r="1751">
      <x:c r="A1751" s="18" t="s">
        <x:v>3790</x:v>
      </x:c>
      <x:c r="B1751" s="19" t="s">
        <x:v>3791</x:v>
      </x:c>
      <x:c r="C1751" s="20">
        <x:v>69072100</x:v>
      </x:c>
      <x:c r="D1751" s="20">
        <x:v>6709.16</x:v>
      </x:c>
      <x:c r="E1751" s="18" t="s">
        <x:v>227</x:v>
      </x:c>
      <x:c r="F1751" s="19" t="s">
        <x:v>11</x:v>
      </x:c>
      <x:c r="G1751" s="20">
        <x:v>0</x:v>
      </x:c>
      <x:c r="H1751" s="21"/>
      <x:c r="I1751" s="21"/>
      <x:c r="J1751" s="23">
        <x:v>1</x:v>
      </x:c>
      <x:c r="K1751" s="23">
        <x:v>6709.16</x:v>
      </x:c>
      <x:c r="L1751" s="23">
        <x:v>1</x:v>
      </x:c>
    </x:row>
    <x:row r="1752">
      <x:c r="A1752" s="18" t="s">
        <x:v>3792</x:v>
      </x:c>
      <x:c r="B1752" s="19" t="s">
        <x:v>3793</x:v>
      </x:c>
      <x:c r="C1752" s="20">
        <x:v>69072100</x:v>
      </x:c>
      <x:c r="D1752" s="20">
        <x:v>5539.13</x:v>
      </x:c>
      <x:c r="E1752" s="18" t="s">
        <x:v>227</x:v>
      </x:c>
      <x:c r="F1752" s="19" t="s">
        <x:v>11</x:v>
      </x:c>
      <x:c r="G1752" s="20">
        <x:v>0</x:v>
      </x:c>
      <x:c r="H1752" s="21"/>
      <x:c r="I1752" s="21"/>
      <x:c r="J1752" s="23">
        <x:v>1</x:v>
      </x:c>
      <x:c r="K1752" s="23">
        <x:v>5539.13</x:v>
      </x:c>
      <x:c r="L1752" s="23">
        <x:v>1</x:v>
      </x:c>
    </x:row>
    <x:row r="1753">
      <x:c r="A1753" s="18" t="s">
        <x:v>3794</x:v>
      </x:c>
      <x:c r="B1753" s="19" t="s">
        <x:v>3795</x:v>
      </x:c>
      <x:c r="C1753" s="20">
        <x:v>69072100</x:v>
      </x:c>
      <x:c r="D1753" s="20">
        <x:v>7133.78</x:v>
      </x:c>
      <x:c r="E1753" s="18" t="s">
        <x:v>227</x:v>
      </x:c>
      <x:c r="F1753" s="19" t="s">
        <x:v>11</x:v>
      </x:c>
      <x:c r="G1753" s="20">
        <x:v>0</x:v>
      </x:c>
      <x:c r="H1753" s="21"/>
      <x:c r="I1753" s="21"/>
      <x:c r="J1753" s="23">
        <x:v>38</x:v>
      </x:c>
      <x:c r="K1753" s="23">
        <x:v>271060.84000000003</x:v>
      </x:c>
      <x:c r="L1753" s="23">
        <x:v>38</x:v>
      </x:c>
    </x:row>
    <x:row r="1754">
      <x:c r="A1754" s="18" t="s">
        <x:v>3796</x:v>
      </x:c>
      <x:c r="B1754" s="19" t="s">
        <x:v>3797</x:v>
      </x:c>
      <x:c r="C1754" s="20">
        <x:v>69072100</x:v>
      </x:c>
      <x:c r="D1754" s="20">
        <x:v>7204.28</x:v>
      </x:c>
      <x:c r="E1754" s="18" t="s">
        <x:v>227</x:v>
      </x:c>
      <x:c r="F1754" s="19" t="s">
        <x:v>11</x:v>
      </x:c>
      <x:c r="G1754" s="20">
        <x:v>0</x:v>
      </x:c>
      <x:c r="H1754" s="21"/>
      <x:c r="I1754" s="21"/>
      <x:c r="J1754" s="23">
        <x:v>27</x:v>
      </x:c>
      <x:c r="K1754" s="23">
        <x:v>194510.16</x:v>
      </x:c>
      <x:c r="L1754" s="23">
        <x:v>27</x:v>
      </x:c>
    </x:row>
    <x:row r="1755">
      <x:c r="A1755" s="18" t="s">
        <x:v>3798</x:v>
      </x:c>
      <x:c r="B1755" s="19" t="s">
        <x:v>3799</x:v>
      </x:c>
      <x:c r="C1755" s="20">
        <x:v>69072100</x:v>
      </x:c>
      <x:c r="D1755" s="20">
        <x:v>0</x:v>
      </x:c>
      <x:c r="E1755" s="18" t="s">
        <x:v>227</x:v>
      </x:c>
      <x:c r="F1755" s="19" t="s">
        <x:v>11</x:v>
      </x:c>
      <x:c r="G1755" s="20">
        <x:v>4597.5</x:v>
      </x:c>
      <x:c r="H1755" s="21"/>
      <x:c r="I1755" s="26" t="s">
        <x:v>3133</x:v>
      </x:c>
      <x:c r="J1755" s="22">
        <x:v>0</x:v>
      </x:c>
      <x:c r="K1755" s="22">
        <x:v>0</x:v>
      </x:c>
      <x:c r="L1755" s="23">
        <x:v>0</x:v>
      </x:c>
    </x:row>
    <x:row r="1756">
      <x:c r="A1756" s="18" t="s">
        <x:v>3800</x:v>
      </x:c>
      <x:c r="B1756" s="19" t="s">
        <x:v>3801</x:v>
      </x:c>
      <x:c r="C1756" s="20">
        <x:v>46029000</x:v>
      </x:c>
      <x:c r="D1756" s="20">
        <x:v>9840</x:v>
      </x:c>
      <x:c r="E1756" s="18" t="s">
        <x:v>227</x:v>
      </x:c>
      <x:c r="F1756" s="19" t="s">
        <x:v>11</x:v>
      </x:c>
      <x:c r="G1756" s="20">
        <x:v>16400</x:v>
      </x:c>
      <x:c r="H1756" s="21"/>
      <x:c r="I1756" s="26" t="s">
        <x:v>275</x:v>
      </x:c>
      <x:c r="J1756" s="23">
        <x:v>1</x:v>
      </x:c>
      <x:c r="K1756" s="23">
        <x:v>9840</x:v>
      </x:c>
      <x:c r="L1756" s="23">
        <x:v>1</x:v>
      </x:c>
    </x:row>
    <x:row r="1757">
      <x:c r="A1757" s="18" t="s">
        <x:v>3802</x:v>
      </x:c>
      <x:c r="B1757" s="19" t="s">
        <x:v>3803</x:v>
      </x:c>
      <x:c r="C1757" s="20">
        <x:v>46029000</x:v>
      </x:c>
      <x:c r="D1757" s="20">
        <x:v>5500</x:v>
      </x:c>
      <x:c r="E1757" s="18" t="s">
        <x:v>227</x:v>
      </x:c>
      <x:c r="F1757" s="19" t="s">
        <x:v>11</x:v>
      </x:c>
      <x:c r="G1757" s="20">
        <x:v>0</x:v>
      </x:c>
      <x:c r="H1757" s="21"/>
      <x:c r="I1757" s="21"/>
      <x:c r="J1757" s="23">
        <x:v>1</x:v>
      </x:c>
      <x:c r="K1757" s="23">
        <x:v>5500</x:v>
      </x:c>
      <x:c r="L1757" s="23">
        <x:v>1</x:v>
      </x:c>
    </x:row>
    <x:row r="1758">
      <x:c r="A1758" s="18" t="s">
        <x:v>3804</x:v>
      </x:c>
      <x:c r="B1758" s="19" t="s">
        <x:v>3805</x:v>
      </x:c>
      <x:c r="C1758" s="20">
        <x:v>46029000</x:v>
      </x:c>
      <x:c r="D1758" s="20">
        <x:v>31500</x:v>
      </x:c>
      <x:c r="E1758" s="18" t="s">
        <x:v>227</x:v>
      </x:c>
      <x:c r="F1758" s="19" t="s">
        <x:v>11</x:v>
      </x:c>
      <x:c r="G1758" s="20">
        <x:v>0</x:v>
      </x:c>
      <x:c r="H1758" s="21"/>
      <x:c r="I1758" s="21"/>
      <x:c r="J1758" s="23">
        <x:v>4</x:v>
      </x:c>
      <x:c r="K1758" s="23">
        <x:v>111825</x:v>
      </x:c>
      <x:c r="L1758" s="23">
        <x:v>2</x:v>
      </x:c>
    </x:row>
    <x:row r="1759">
      <x:c r="A1759" s="18" t="s">
        <x:v>3806</x:v>
      </x:c>
      <x:c r="B1759" s="19" t="s">
        <x:v>3807</x:v>
      </x:c>
      <x:c r="C1759" s="20">
        <x:v>46029000</x:v>
      </x:c>
      <x:c r="D1759" s="20">
        <x:v>26460</x:v>
      </x:c>
      <x:c r="E1759" s="18" t="s">
        <x:v>227</x:v>
      </x:c>
      <x:c r="F1759" s="19" t="s">
        <x:v>11</x:v>
      </x:c>
      <x:c r="G1759" s="20">
        <x:v>0</x:v>
      </x:c>
      <x:c r="H1759" s="21"/>
      <x:c r="I1759" s="21"/>
      <x:c r="J1759" s="23">
        <x:v>6</x:v>
      </x:c>
      <x:c r="K1759" s="23">
        <x:v>91720.960000000006</x:v>
      </x:c>
      <x:c r="L1759" s="23">
        <x:v>4</x:v>
      </x:c>
    </x:row>
    <x:row r="1760">
      <x:c r="A1760" s="18" t="s">
        <x:v>3808</x:v>
      </x:c>
      <x:c r="B1760" s="19" t="s">
        <x:v>3809</x:v>
      </x:c>
      <x:c r="C1760" s="22">
        <x:v>0</x:v>
      </x:c>
      <x:c r="D1760" s="20">
        <x:v>0</x:v>
      </x:c>
      <x:c r="E1760" s="18" t="s">
        <x:v>227</x:v>
      </x:c>
      <x:c r="F1760" s="19" t="s">
        <x:v>236</x:v>
      </x:c>
      <x:c r="G1760" s="20">
        <x:v>0</x:v>
      </x:c>
      <x:c r="H1760" s="21"/>
      <x:c r="I1760" s="21"/>
      <x:c r="J1760" s="22">
        <x:v>0</x:v>
      </x:c>
      <x:c r="K1760" s="22">
        <x:v>0</x:v>
      </x:c>
      <x:c r="L1760" s="23">
        <x:v>0</x:v>
      </x:c>
    </x:row>
    <x:row r="1761">
      <x:c r="A1761" s="18" t="s">
        <x:v>3810</x:v>
      </x:c>
      <x:c r="B1761" s="19" t="s">
        <x:v>3811</x:v>
      </x:c>
      <x:c r="C1761" s="20">
        <x:v>39201012</x:v>
      </x:c>
      <x:c r="D1761" s="20">
        <x:v>185</x:v>
      </x:c>
      <x:c r="E1761" s="18" t="s">
        <x:v>227</x:v>
      </x:c>
      <x:c r="F1761" s="19" t="s">
        <x:v>236</x:v>
      </x:c>
      <x:c r="G1761" s="20">
        <x:v>0</x:v>
      </x:c>
      <x:c r="H1761" s="21"/>
      <x:c r="I1761" s="21"/>
      <x:c r="J1761" s="23">
        <x:v>625.29999999999995</x:v>
      </x:c>
      <x:c r="K1761" s="23">
        <x:v>118174.5</x:v>
      </x:c>
      <x:c r="L1761" s="23">
        <x:v>625.29999999999995</x:v>
      </x:c>
    </x:row>
    <x:row r="1762">
      <x:c r="A1762" s="18" t="s">
        <x:v>3812</x:v>
      </x:c>
      <x:c r="B1762" s="19" t="s">
        <x:v>3813</x:v>
      </x:c>
      <x:c r="C1762" s="22">
        <x:v>0</x:v>
      </x:c>
      <x:c r="D1762" s="20">
        <x:v>0</x:v>
      </x:c>
      <x:c r="E1762" s="18" t="s">
        <x:v>227</x:v>
      </x:c>
      <x:c r="F1762" s="19" t="s">
        <x:v>11</x:v>
      </x:c>
      <x:c r="G1762" s="20">
        <x:v>0</x:v>
      </x:c>
      <x:c r="H1762" s="21"/>
      <x:c r="I1762" s="21"/>
      <x:c r="J1762" s="22">
        <x:v>0</x:v>
      </x:c>
      <x:c r="K1762" s="22">
        <x:v>0</x:v>
      </x:c>
      <x:c r="L1762" s="23">
        <x:v>0</x:v>
      </x:c>
    </x:row>
    <x:row r="1763">
      <x:c r="A1763" s="18" t="s">
        <x:v>3814</x:v>
      </x:c>
      <x:c r="B1763" s="19" t="s">
        <x:v>3815</x:v>
      </x:c>
      <x:c r="C1763" s="20">
        <x:v>83024900</x:v>
      </x:c>
      <x:c r="D1763" s="20">
        <x:v>26928</x:v>
      </x:c>
      <x:c r="E1763" s="18" t="s">
        <x:v>227</x:v>
      </x:c>
      <x:c r="F1763" s="19" t="s">
        <x:v>11</x:v>
      </x:c>
      <x:c r="G1763" s="20">
        <x:v>0</x:v>
      </x:c>
      <x:c r="H1763" s="21"/>
      <x:c r="I1763" s="21"/>
      <x:c r="J1763" s="23">
        <x:v>5</x:v>
      </x:c>
      <x:c r="K1763" s="23">
        <x:v>155442.94</x:v>
      </x:c>
      <x:c r="L1763" s="23">
        <x:v>5</x:v>
      </x:c>
    </x:row>
    <x:row r="1764">
      <x:c r="A1764" s="18" t="s">
        <x:v>3816</x:v>
      </x:c>
      <x:c r="B1764" s="19" t="s">
        <x:v>3817</x:v>
      </x:c>
      <x:c r="C1764" s="20">
        <x:v>73239990</x:v>
      </x:c>
      <x:c r="D1764" s="20">
        <x:v>0</x:v>
      </x:c>
      <x:c r="E1764" s="18" t="s">
        <x:v>227</x:v>
      </x:c>
      <x:c r="F1764" s="19" t="s">
        <x:v>82</x:v>
      </x:c>
      <x:c r="G1764" s="20">
        <x:v>0</x:v>
      </x:c>
      <x:c r="H1764" s="21"/>
      <x:c r="I1764" s="21"/>
      <x:c r="J1764" s="22">
        <x:v>0</x:v>
      </x:c>
      <x:c r="K1764" s="22">
        <x:v>0</x:v>
      </x:c>
      <x:c r="L1764" s="23">
        <x:v>0</x:v>
      </x:c>
    </x:row>
    <x:row r="1765">
      <x:c r="A1765" s="18" t="s">
        <x:v>3818</x:v>
      </x:c>
      <x:c r="B1765" s="19" t="s">
        <x:v>3819</x:v>
      </x:c>
      <x:c r="C1765" s="20">
        <x:v>73239990</x:v>
      </x:c>
      <x:c r="D1765" s="20">
        <x:v>11996.39</x:v>
      </x:c>
      <x:c r="E1765" s="18" t="s">
        <x:v>227</x:v>
      </x:c>
      <x:c r="F1765" s="19" t="s">
        <x:v>82</x:v>
      </x:c>
      <x:c r="G1765" s="20">
        <x:v>11668</x:v>
      </x:c>
      <x:c r="H1765" s="21"/>
      <x:c r="I1765" s="26" t="s">
        <x:v>2214</x:v>
      </x:c>
      <x:c r="J1765" s="23">
        <x:v>1</x:v>
      </x:c>
      <x:c r="K1765" s="23">
        <x:v>12374.63</x:v>
      </x:c>
      <x:c r="L1765" s="23">
        <x:v>43</x:v>
      </x:c>
    </x:row>
    <x:row r="1766">
      <x:c r="A1766" s="18" t="s">
        <x:v>3820</x:v>
      </x:c>
      <x:c r="B1766" s="19" t="s">
        <x:v>3821</x:v>
      </x:c>
      <x:c r="C1766" s="20">
        <x:v>73239990</x:v>
      </x:c>
      <x:c r="D1766" s="20">
        <x:v>6496.92</x:v>
      </x:c>
      <x:c r="E1766" s="18" t="s">
        <x:v>227</x:v>
      </x:c>
      <x:c r="F1766" s="19" t="s">
        <x:v>82</x:v>
      </x:c>
      <x:c r="G1766" s="20">
        <x:v>21544</x:v>
      </x:c>
      <x:c r="H1766" s="21"/>
      <x:c r="I1766" s="26" t="s">
        <x:v>2214</x:v>
      </x:c>
      <x:c r="J1766" s="22">
        <x:v>0</x:v>
      </x:c>
      <x:c r="K1766" s="22">
        <x:v>0</x:v>
      </x:c>
      <x:c r="L1766" s="23">
        <x:v>42</x:v>
      </x:c>
    </x:row>
    <x:row r="1767">
      <x:c r="A1767" s="18" t="s">
        <x:v>3822</x:v>
      </x:c>
      <x:c r="B1767" s="19" t="s">
        <x:v>3823</x:v>
      </x:c>
      <x:c r="C1767" s="20">
        <x:v>73239990</x:v>
      </x:c>
      <x:c r="D1767" s="20">
        <x:v>0</x:v>
      </x:c>
      <x:c r="E1767" s="18" t="s">
        <x:v>227</x:v>
      </x:c>
      <x:c r="F1767" s="19" t="s">
        <x:v>82</x:v>
      </x:c>
      <x:c r="G1767" s="20">
        <x:v>0</x:v>
      </x:c>
      <x:c r="H1767" s="21"/>
      <x:c r="I1767" s="21"/>
      <x:c r="J1767" s="22">
        <x:v>0</x:v>
      </x:c>
      <x:c r="K1767" s="22">
        <x:v>0</x:v>
      </x:c>
      <x:c r="L1767" s="23">
        <x:v>0</x:v>
      </x:c>
    </x:row>
    <x:row r="1768">
      <x:c r="A1768" s="18" t="s">
        <x:v>3824</x:v>
      </x:c>
      <x:c r="B1768" s="19" t="s">
        <x:v>3825</x:v>
      </x:c>
      <x:c r="C1768" s="20">
        <x:v>73239990</x:v>
      </x:c>
      <x:c r="D1768" s="20">
        <x:v>0</x:v>
      </x:c>
      <x:c r="E1768" s="18" t="s">
        <x:v>227</x:v>
      </x:c>
      <x:c r="F1768" s="19" t="s">
        <x:v>82</x:v>
      </x:c>
      <x:c r="G1768" s="20">
        <x:v>0</x:v>
      </x:c>
      <x:c r="H1768" s="21"/>
      <x:c r="I1768" s="21"/>
      <x:c r="J1768" s="23">
        <x:v>2</x:v>
      </x:c>
      <x:c r="K1768" s="23">
        <x:v>27000</x:v>
      </x:c>
      <x:c r="L1768" s="23">
        <x:v>0</x:v>
      </x:c>
    </x:row>
    <x:row r="1769">
      <x:c r="A1769" s="18" t="s">
        <x:v>3826</x:v>
      </x:c>
      <x:c r="B1769" s="19" t="s">
        <x:v>3827</x:v>
      </x:c>
      <x:c r="C1769" s="20">
        <x:v>73239990</x:v>
      </x:c>
      <x:c r="D1769" s="20">
        <x:v>0</x:v>
      </x:c>
      <x:c r="E1769" s="18" t="s">
        <x:v>227</x:v>
      </x:c>
      <x:c r="F1769" s="19" t="s">
        <x:v>11</x:v>
      </x:c>
      <x:c r="G1769" s="20">
        <x:v>15120</x:v>
      </x:c>
      <x:c r="H1769" s="21"/>
      <x:c r="I1769" s="26" t="s">
        <x:v>847</x:v>
      </x:c>
      <x:c r="J1769" s="23">
        <x:v>1</x:v>
      </x:c>
      <x:c r="K1769" s="23">
        <x:v>15840</x:v>
      </x:c>
      <x:c r="L1769" s="23">
        <x:v>0</x:v>
      </x:c>
    </x:row>
    <x:row r="1770">
      <x:c r="A1770" s="18" t="s">
        <x:v>3828</x:v>
      </x:c>
      <x:c r="B1770" s="19" t="s">
        <x:v>3829</x:v>
      </x:c>
      <x:c r="C1770" s="20">
        <x:v>73239990</x:v>
      </x:c>
      <x:c r="D1770" s="20">
        <x:v>19278</x:v>
      </x:c>
      <x:c r="E1770" s="18" t="s">
        <x:v>227</x:v>
      </x:c>
      <x:c r="F1770" s="19" t="s">
        <x:v>82</x:v>
      </x:c>
      <x:c r="G1770" s="20">
        <x:v>21687</x:v>
      </x:c>
      <x:c r="H1770" s="21"/>
      <x:c r="I1770" s="26" t="s">
        <x:v>847</x:v>
      </x:c>
      <x:c r="J1770" s="22">
        <x:v>0</x:v>
      </x:c>
      <x:c r="K1770" s="22">
        <x:v>0</x:v>
      </x:c>
      <x:c r="L1770" s="23">
        <x:v>2</x:v>
      </x:c>
    </x:row>
    <x:row r="1771">
      <x:c r="A1771" s="18" t="s">
        <x:v>3830</x:v>
      </x:c>
      <x:c r="B1771" s="19" t="s">
        <x:v>3831</x:v>
      </x:c>
      <x:c r="C1771" s="20">
        <x:v>39191000</x:v>
      </x:c>
      <x:c r="D1771" s="20">
        <x:v>320</x:v>
      </x:c>
      <x:c r="E1771" s="18" t="s">
        <x:v>227</x:v>
      </x:c>
      <x:c r="F1771" s="19" t="s">
        <x:v>11</x:v>
      </x:c>
      <x:c r="G1771" s="20">
        <x:v>320</x:v>
      </x:c>
      <x:c r="H1771" s="21"/>
      <x:c r="I1771" s="26" t="s">
        <x:v>1974</x:v>
      </x:c>
      <x:c r="J1771" s="23">
        <x:v>70</x:v>
      </x:c>
      <x:c r="K1771" s="23">
        <x:v>22400</x:v>
      </x:c>
      <x:c r="L1771" s="23">
        <x:v>184</x:v>
      </x:c>
    </x:row>
    <x:row r="1772">
      <x:c r="A1772" s="18" t="s">
        <x:v>3832</x:v>
      </x:c>
      <x:c r="B1772" s="19" t="s">
        <x:v>3833</x:v>
      </x:c>
      <x:c r="C1772" s="20">
        <x:v>39191000</x:v>
      </x:c>
      <x:c r="D1772" s="20">
        <x:v>95</x:v>
      </x:c>
      <x:c r="E1772" s="18" t="s">
        <x:v>227</x:v>
      </x:c>
      <x:c r="F1772" s="19" t="s">
        <x:v>11</x:v>
      </x:c>
      <x:c r="G1772" s="20">
        <x:v>112</x:v>
      </x:c>
      <x:c r="H1772" s="21"/>
      <x:c r="I1772" s="26" t="s">
        <x:v>3834</x:v>
      </x:c>
      <x:c r="J1772" s="23">
        <x:v>146</x:v>
      </x:c>
      <x:c r="K1772" s="23">
        <x:v>26229.29</x:v>
      </x:c>
      <x:c r="L1772" s="23">
        <x:v>552</x:v>
      </x:c>
    </x:row>
    <x:row r="1773">
      <x:c r="A1773" s="18" t="s">
        <x:v>3835</x:v>
      </x:c>
      <x:c r="B1773" s="19" t="s">
        <x:v>3836</x:v>
      </x:c>
      <x:c r="C1773" s="20">
        <x:v>39191000</x:v>
      </x:c>
      <x:c r="D1773" s="20">
        <x:v>480</x:v>
      </x:c>
      <x:c r="E1773" s="18" t="s">
        <x:v>227</x:v>
      </x:c>
      <x:c r="F1773" s="19" t="s">
        <x:v>11</x:v>
      </x:c>
      <x:c r="G1773" s="20">
        <x:v>480</x:v>
      </x:c>
      <x:c r="H1773" s="21"/>
      <x:c r="I1773" s="26" t="s">
        <x:v>1974</x:v>
      </x:c>
      <x:c r="J1773" s="23">
        <x:v>91</x:v>
      </x:c>
      <x:c r="K1773" s="23">
        <x:v>43680</x:v>
      </x:c>
      <x:c r="L1773" s="23">
        <x:v>68</x:v>
      </x:c>
    </x:row>
    <x:row r="1774">
      <x:c r="A1774" s="18" t="s">
        <x:v>3837</x:v>
      </x:c>
      <x:c r="B1774" s="19" t="s">
        <x:v>3838</x:v>
      </x:c>
      <x:c r="C1774" s="20">
        <x:v>39191000</x:v>
      </x:c>
      <x:c r="D1774" s="20">
        <x:v>36</x:v>
      </x:c>
      <x:c r="E1774" s="18" t="s">
        <x:v>227</x:v>
      </x:c>
      <x:c r="F1774" s="19" t="s">
        <x:v>11</x:v>
      </x:c>
      <x:c r="G1774" s="20">
        <x:v>0</x:v>
      </x:c>
      <x:c r="H1774" s="21"/>
      <x:c r="I1774" s="21"/>
      <x:c r="J1774" s="23">
        <x:v>149</x:v>
      </x:c>
      <x:c r="K1774" s="23">
        <x:v>4470</x:v>
      </x:c>
      <x:c r="L1774" s="23">
        <x:v>107</x:v>
      </x:c>
    </x:row>
    <x:row r="1775">
      <x:c r="A1775" s="18" t="s">
        <x:v>3839</x:v>
      </x:c>
      <x:c r="B1775" s="19" t="s">
        <x:v>3840</x:v>
      </x:c>
      <x:c r="C1775" s="20">
        <x:v>39191000</x:v>
      </x:c>
      <x:c r="D1775" s="20">
        <x:v>36</x:v>
      </x:c>
      <x:c r="E1775" s="18" t="s">
        <x:v>227</x:v>
      </x:c>
      <x:c r="F1775" s="19" t="s">
        <x:v>11</x:v>
      </x:c>
      <x:c r="G1775" s="20">
        <x:v>0</x:v>
      </x:c>
      <x:c r="H1775" s="21"/>
      <x:c r="I1775" s="21"/>
      <x:c r="J1775" s="23">
        <x:v>196</x:v>
      </x:c>
      <x:c r="K1775" s="23">
        <x:v>5880</x:v>
      </x:c>
      <x:c r="L1775" s="23">
        <x:v>88</x:v>
      </x:c>
    </x:row>
    <x:row r="1776">
      <x:c r="A1776" s="18" t="s">
        <x:v>3841</x:v>
      </x:c>
      <x:c r="B1776" s="19" t="s">
        <x:v>3842</x:v>
      </x:c>
      <x:c r="C1776" s="20">
        <x:v>39191000</x:v>
      </x:c>
      <x:c r="D1776" s="20">
        <x:v>36</x:v>
      </x:c>
      <x:c r="E1776" s="18" t="s">
        <x:v>227</x:v>
      </x:c>
      <x:c r="F1776" s="19" t="s">
        <x:v>11</x:v>
      </x:c>
      <x:c r="G1776" s="20">
        <x:v>0</x:v>
      </x:c>
      <x:c r="H1776" s="21"/>
      <x:c r="I1776" s="21"/>
      <x:c r="J1776" s="23">
        <x:v>156</x:v>
      </x:c>
      <x:c r="K1776" s="23">
        <x:v>4680</x:v>
      </x:c>
      <x:c r="L1776" s="23">
        <x:v>94</x:v>
      </x:c>
    </x:row>
    <x:row r="1777">
      <x:c r="A1777" s="18" t="s">
        <x:v>3843</x:v>
      </x:c>
      <x:c r="B1777" s="19" t="s">
        <x:v>3844</x:v>
      </x:c>
      <x:c r="C1777" s="20">
        <x:v>39191000</x:v>
      </x:c>
      <x:c r="D1777" s="20">
        <x:v>110</x:v>
      </x:c>
      <x:c r="E1777" s="18" t="s">
        <x:v>227</x:v>
      </x:c>
      <x:c r="F1777" s="19" t="s">
        <x:v>11</x:v>
      </x:c>
      <x:c r="G1777" s="20">
        <x:v>0</x:v>
      </x:c>
      <x:c r="H1777" s="21"/>
      <x:c r="I1777" s="21"/>
      <x:c r="J1777" s="23">
        <x:v>80</x:v>
      </x:c>
      <x:c r="K1777" s="23">
        <x:v>8800</x:v>
      </x:c>
      <x:c r="L1777" s="23">
        <x:v>79</x:v>
      </x:c>
    </x:row>
    <x:row r="1778">
      <x:c r="A1778" s="18" t="s">
        <x:v>3845</x:v>
      </x:c>
      <x:c r="B1778" s="19" t="s">
        <x:v>3846</x:v>
      </x:c>
      <x:c r="C1778" s="20">
        <x:v>39191000</x:v>
      </x:c>
      <x:c r="D1778" s="20">
        <x:v>110</x:v>
      </x:c>
      <x:c r="E1778" s="18" t="s">
        <x:v>227</x:v>
      </x:c>
      <x:c r="F1778" s="19" t="s">
        <x:v>11</x:v>
      </x:c>
      <x:c r="G1778" s="20">
        <x:v>0</x:v>
      </x:c>
      <x:c r="H1778" s="21"/>
      <x:c r="I1778" s="21"/>
      <x:c r="J1778" s="23">
        <x:v>90</x:v>
      </x:c>
      <x:c r="K1778" s="23">
        <x:v>9900</x:v>
      </x:c>
      <x:c r="L1778" s="23">
        <x:v>87</x:v>
      </x:c>
    </x:row>
    <x:row r="1779">
      <x:c r="A1779" s="18" t="s">
        <x:v>3847</x:v>
      </x:c>
      <x:c r="B1779" s="19" t="s">
        <x:v>3848</x:v>
      </x:c>
      <x:c r="C1779" s="20">
        <x:v>39191000</x:v>
      </x:c>
      <x:c r="D1779" s="20">
        <x:v>510</x:v>
      </x:c>
      <x:c r="E1779" s="18" t="s">
        <x:v>227</x:v>
      </x:c>
      <x:c r="F1779" s="19" t="s">
        <x:v>11</x:v>
      </x:c>
      <x:c r="G1779" s="20">
        <x:v>0</x:v>
      </x:c>
      <x:c r="H1779" s="21"/>
      <x:c r="I1779" s="21"/>
      <x:c r="J1779" s="23">
        <x:v>7</x:v>
      </x:c>
      <x:c r="K1779" s="23">
        <x:v>3570</x:v>
      </x:c>
      <x:c r="L1779" s="23">
        <x:v>6</x:v>
      </x:c>
    </x:row>
    <x:row r="1780">
      <x:c r="A1780" s="18" t="s">
        <x:v>3849</x:v>
      </x:c>
      <x:c r="B1780" s="19" t="s">
        <x:v>3850</x:v>
      </x:c>
      <x:c r="C1780" s="20">
        <x:v>39191000</x:v>
      </x:c>
      <x:c r="D1780" s="20">
        <x:v>0</x:v>
      </x:c>
      <x:c r="E1780" s="18" t="s">
        <x:v>227</x:v>
      </x:c>
      <x:c r="F1780" s="19" t="s">
        <x:v>11</x:v>
      </x:c>
      <x:c r="G1780" s="20">
        <x:v>0</x:v>
      </x:c>
      <x:c r="H1780" s="21"/>
      <x:c r="I1780" s="21"/>
      <x:c r="J1780" s="22">
        <x:v>0</x:v>
      </x:c>
      <x:c r="K1780" s="22">
        <x:v>0</x:v>
      </x:c>
      <x:c r="L1780" s="23">
        <x:v>0</x:v>
      </x:c>
    </x:row>
    <x:row r="1781">
      <x:c r="A1781" s="18" t="s">
        <x:v>3851</x:v>
      </x:c>
      <x:c r="B1781" s="19" t="s">
        <x:v>3852</x:v>
      </x:c>
      <x:c r="C1781" s="20">
        <x:v>39269099</x:v>
      </x:c>
      <x:c r="D1781" s="20">
        <x:v>1325</x:v>
      </x:c>
      <x:c r="E1781" s="18" t="s">
        <x:v>227</x:v>
      </x:c>
      <x:c r="F1781" s="19" t="s">
        <x:v>41</x:v>
      </x:c>
      <x:c r="G1781" s="20">
        <x:v>1325</x:v>
      </x:c>
      <x:c r="H1781" s="21"/>
      <x:c r="I1781" s="26" t="s">
        <x:v>255</x:v>
      </x:c>
      <x:c r="J1781" s="23">
        <x:v>30</x:v>
      </x:c>
      <x:c r="K1781" s="23">
        <x:v>37500</x:v>
      </x:c>
      <x:c r="L1781" s="23">
        <x:v>33</x:v>
      </x:c>
    </x:row>
    <x:row r="1782">
      <x:c r="A1782" s="18" t="s">
        <x:v>3853</x:v>
      </x:c>
      <x:c r="B1782" s="19" t="s">
        <x:v>3854</x:v>
      </x:c>
      <x:c r="C1782" s="20">
        <x:v>39269099</x:v>
      </x:c>
      <x:c r="D1782" s="20">
        <x:v>1400</x:v>
      </x:c>
      <x:c r="E1782" s="18" t="s">
        <x:v>227</x:v>
      </x:c>
      <x:c r="F1782" s="19" t="s">
        <x:v>41</x:v>
      </x:c>
      <x:c r="G1782" s="20">
        <x:v>1316.7</x:v>
      </x:c>
      <x:c r="H1782" s="21"/>
      <x:c r="I1782" s="26" t="s">
        <x:v>255</x:v>
      </x:c>
      <x:c r="J1782" s="22">
        <x:v>0</x:v>
      </x:c>
      <x:c r="K1782" s="22">
        <x:v>0</x:v>
      </x:c>
      <x:c r="L1782" s="23">
        <x:v>30</x:v>
      </x:c>
    </x:row>
    <x:row r="1783">
      <x:c r="A1783" s="18" t="s">
        <x:v>3855</x:v>
      </x:c>
      <x:c r="B1783" s="19" t="s">
        <x:v>3856</x:v>
      </x:c>
      <x:c r="C1783" s="20">
        <x:v>39269099</x:v>
      </x:c>
      <x:c r="D1783" s="20">
        <x:v>1325</x:v>
      </x:c>
      <x:c r="E1783" s="18" t="s">
        <x:v>227</x:v>
      </x:c>
      <x:c r="F1783" s="19" t="s">
        <x:v>41</x:v>
      </x:c>
      <x:c r="G1783" s="20">
        <x:v>1045</x:v>
      </x:c>
      <x:c r="H1783" s="21"/>
      <x:c r="I1783" s="26" t="s">
        <x:v>255</x:v>
      </x:c>
      <x:c r="J1783" s="23">
        <x:v>21</x:v>
      </x:c>
      <x:c r="K1783" s="23">
        <x:v>20650</x:v>
      </x:c>
      <x:c r="L1783" s="23">
        <x:v>6</x:v>
      </x:c>
    </x:row>
    <x:row r="1784">
      <x:c r="A1784" s="18" t="s">
        <x:v>3857</x:v>
      </x:c>
      <x:c r="B1784" s="19" t="s">
        <x:v>3858</x:v>
      </x:c>
      <x:c r="C1784" s="20">
        <x:v>39269099</x:v>
      </x:c>
      <x:c r="D1784" s="20">
        <x:v>1256.67</x:v>
      </x:c>
      <x:c r="E1784" s="18" t="s">
        <x:v>227</x:v>
      </x:c>
      <x:c r="F1784" s="19" t="s">
        <x:v>41</x:v>
      </x:c>
      <x:c r="G1784" s="20">
        <x:v>1256.7</x:v>
      </x:c>
      <x:c r="H1784" s="21"/>
      <x:c r="I1784" s="26" t="s">
        <x:v>255</x:v>
      </x:c>
      <x:c r="J1784" s="22">
        <x:v>0</x:v>
      </x:c>
      <x:c r="K1784" s="22">
        <x:v>0</x:v>
      </x:c>
      <x:c r="L1784" s="23">
        <x:v>18</x:v>
      </x:c>
    </x:row>
    <x:row r="1785">
      <x:c r="A1785" s="18" t="s">
        <x:v>3859</x:v>
      </x:c>
      <x:c r="B1785" s="19" t="s">
        <x:v>3860</x:v>
      </x:c>
      <x:c r="C1785" s="20">
        <x:v>39269099</x:v>
      </x:c>
      <x:c r="D1785" s="20">
        <x:v>1400</x:v>
      </x:c>
      <x:c r="E1785" s="18" t="s">
        <x:v>227</x:v>
      </x:c>
      <x:c r="F1785" s="19" t="s">
        <x:v>41</x:v>
      </x:c>
      <x:c r="G1785" s="20">
        <x:v>1316.7</x:v>
      </x:c>
      <x:c r="H1785" s="21"/>
      <x:c r="I1785" s="26" t="s">
        <x:v>255</x:v>
      </x:c>
      <x:c r="J1785" s="22">
        <x:v>0</x:v>
      </x:c>
      <x:c r="K1785" s="22">
        <x:v>0</x:v>
      </x:c>
      <x:c r="L1785" s="23">
        <x:v>42</x:v>
      </x:c>
    </x:row>
    <x:row r="1786">
      <x:c r="A1786" s="18" t="s">
        <x:v>3861</x:v>
      </x:c>
      <x:c r="B1786" s="19" t="s">
        <x:v>3862</x:v>
      </x:c>
      <x:c r="C1786" s="20">
        <x:v>39269099</x:v>
      </x:c>
      <x:c r="D1786" s="20">
        <x:v>3648.01</x:v>
      </x:c>
      <x:c r="E1786" s="18" t="s">
        <x:v>227</x:v>
      </x:c>
      <x:c r="F1786" s="19" t="s">
        <x:v>41</x:v>
      </x:c>
      <x:c r="G1786" s="20">
        <x:v>0</x:v>
      </x:c>
      <x:c r="H1786" s="21"/>
      <x:c r="I1786" s="21"/>
      <x:c r="J1786" s="23">
        <x:v>23</x:v>
      </x:c>
      <x:c r="K1786" s="23">
        <x:v>83904.23</x:v>
      </x:c>
      <x:c r="L1786" s="23">
        <x:v>20</x:v>
      </x:c>
    </x:row>
    <x:row r="1787">
      <x:c r="A1787" s="18" t="s">
        <x:v>3863</x:v>
      </x:c>
      <x:c r="B1787" s="19" t="s">
        <x:v>3864</x:v>
      </x:c>
      <x:c r="C1787" s="20">
        <x:v>39269099</x:v>
      </x:c>
      <x:c r="D1787" s="20">
        <x:v>221.67</x:v>
      </x:c>
      <x:c r="E1787" s="18" t="s">
        <x:v>227</x:v>
      </x:c>
      <x:c r="F1787" s="19" t="s">
        <x:v>41</x:v>
      </x:c>
      <x:c r="G1787" s="20">
        <x:v>208.33</x:v>
      </x:c>
      <x:c r="H1787" s="21"/>
      <x:c r="I1787" s="26" t="s">
        <x:v>255</x:v>
      </x:c>
      <x:c r="J1787" s="23">
        <x:v>24</x:v>
      </x:c>
      <x:c r="K1787" s="23">
        <x:v>4999.92</x:v>
      </x:c>
      <x:c r="L1787" s="23">
        <x:v>18</x:v>
      </x:c>
    </x:row>
    <x:row r="1788">
      <x:c r="A1788" s="18" t="s">
        <x:v>3865</x:v>
      </x:c>
      <x:c r="B1788" s="19" t="s">
        <x:v>3866</x:v>
      </x:c>
      <x:c r="C1788" s="20">
        <x:v>83024200</x:v>
      </x:c>
      <x:c r="D1788" s="20">
        <x:v>240.02</x:v>
      </x:c>
      <x:c r="E1788" s="18" t="s">
        <x:v>227</x:v>
      </x:c>
      <x:c r="F1788" s="19" t="s">
        <x:v>82</x:v>
      </x:c>
      <x:c r="G1788" s="20">
        <x:v>240.02</x:v>
      </x:c>
      <x:c r="H1788" s="21"/>
      <x:c r="I1788" s="26" t="s">
        <x:v>272</x:v>
      </x:c>
      <x:c r="J1788" s="22">
        <x:v>0</x:v>
      </x:c>
      <x:c r="K1788" s="22">
        <x:v>0</x:v>
      </x:c>
      <x:c r="L1788" s="23">
        <x:v>2</x:v>
      </x:c>
    </x:row>
    <x:row r="1789">
      <x:c r="A1789" s="18" t="s">
        <x:v>3867</x:v>
      </x:c>
      <x:c r="B1789" s="19" t="s">
        <x:v>3868</x:v>
      </x:c>
      <x:c r="C1789" s="20">
        <x:v>83024200</x:v>
      </x:c>
      <x:c r="D1789" s="20">
        <x:v>249</x:v>
      </x:c>
      <x:c r="E1789" s="18" t="s">
        <x:v>227</x:v>
      </x:c>
      <x:c r="F1789" s="19" t="s">
        <x:v>82</x:v>
      </x:c>
      <x:c r="G1789" s="20">
        <x:v>249</x:v>
      </x:c>
      <x:c r="H1789" s="21"/>
      <x:c r="I1789" s="26" t="s">
        <x:v>272</x:v>
      </x:c>
      <x:c r="J1789" s="22">
        <x:v>0</x:v>
      </x:c>
      <x:c r="K1789" s="22">
        <x:v>0</x:v>
      </x:c>
      <x:c r="L1789" s="23">
        <x:v>2</x:v>
      </x:c>
    </x:row>
    <x:row r="1790">
      <x:c r="A1790" s="18" t="s">
        <x:v>3869</x:v>
      </x:c>
      <x:c r="B1790" s="19" t="s">
        <x:v>3870</x:v>
      </x:c>
      <x:c r="C1790" s="20">
        <x:v>83024200</x:v>
      </x:c>
      <x:c r="D1790" s="20">
        <x:v>958.1</x:v>
      </x:c>
      <x:c r="E1790" s="18" t="s">
        <x:v>227</x:v>
      </x:c>
      <x:c r="F1790" s="19" t="s">
        <x:v>82</x:v>
      </x:c>
      <x:c r="G1790" s="20">
        <x:v>0</x:v>
      </x:c>
      <x:c r="H1790" s="21"/>
      <x:c r="I1790" s="21"/>
      <x:c r="J1790" s="23">
        <x:v>4</x:v>
      </x:c>
      <x:c r="K1790" s="23">
        <x:v>3832.4</x:v>
      </x:c>
      <x:c r="L1790" s="23">
        <x:v>4</x:v>
      </x:c>
    </x:row>
    <x:row r="1791">
      <x:c r="A1791" s="18" t="s">
        <x:v>3871</x:v>
      </x:c>
      <x:c r="B1791" s="19" t="s">
        <x:v>166</x:v>
      </x:c>
      <x:c r="C1791" s="20">
        <x:v>83024200</x:v>
      </x:c>
      <x:c r="D1791" s="20">
        <x:v>0</x:v>
      </x:c>
      <x:c r="E1791" s="18" t="s">
        <x:v>227</x:v>
      </x:c>
      <x:c r="F1791" s="19" t="s">
        <x:v>82</x:v>
      </x:c>
      <x:c r="G1791" s="20">
        <x:v>0</x:v>
      </x:c>
      <x:c r="H1791" s="21"/>
      <x:c r="I1791" s="21"/>
      <x:c r="J1791" s="23">
        <x:v>1</x:v>
      </x:c>
      <x:c r="K1791" s="23">
        <x:v>490</x:v>
      </x:c>
      <x:c r="L1791" s="23">
        <x:v>0</x:v>
      </x:c>
    </x:row>
    <x:row r="1792">
      <x:c r="A1792" s="18" t="s">
        <x:v>3872</x:v>
      </x:c>
      <x:c r="B1792" s="19" t="s">
        <x:v>3873</x:v>
      </x:c>
      <x:c r="C1792" s="20">
        <x:v>83024200</x:v>
      </x:c>
      <x:c r="D1792" s="20">
        <x:v>457.9</x:v>
      </x:c>
      <x:c r="E1792" s="18" t="s">
        <x:v>227</x:v>
      </x:c>
      <x:c r="F1792" s="19" t="s">
        <x:v>82</x:v>
      </x:c>
      <x:c r="G1792" s="20">
        <x:v>0</x:v>
      </x:c>
      <x:c r="H1792" s="21"/>
      <x:c r="I1792" s="21"/>
      <x:c r="J1792" s="23">
        <x:v>5</x:v>
      </x:c>
      <x:c r="K1792" s="23">
        <x:v>2289.5</x:v>
      </x:c>
      <x:c r="L1792" s="23">
        <x:v>2</x:v>
      </x:c>
    </x:row>
    <x:row r="1793">
      <x:c r="A1793" s="18" t="s">
        <x:v>3874</x:v>
      </x:c>
      <x:c r="B1793" s="19" t="s">
        <x:v>3875</x:v>
      </x:c>
      <x:c r="C1793" s="20">
        <x:v>83024200</x:v>
      </x:c>
      <x:c r="D1793" s="20">
        <x:v>1250</x:v>
      </x:c>
      <x:c r="E1793" s="18" t="s">
        <x:v>227</x:v>
      </x:c>
      <x:c r="F1793" s="19" t="s">
        <x:v>82</x:v>
      </x:c>
      <x:c r="G1793" s="20">
        <x:v>0</x:v>
      </x:c>
      <x:c r="H1793" s="21"/>
      <x:c r="I1793" s="21"/>
      <x:c r="J1793" s="23">
        <x:v>2</x:v>
      </x:c>
      <x:c r="K1793" s="23">
        <x:v>2500</x:v>
      </x:c>
      <x:c r="L1793" s="23">
        <x:v>2</x:v>
      </x:c>
    </x:row>
    <x:row r="1794">
      <x:c r="A1794" s="18" t="s">
        <x:v>3876</x:v>
      </x:c>
      <x:c r="B1794" s="19" t="s">
        <x:v>3877</x:v>
      </x:c>
      <x:c r="C1794" s="20">
        <x:v>83024200</x:v>
      </x:c>
      <x:c r="D1794" s="20">
        <x:v>1100</x:v>
      </x:c>
      <x:c r="E1794" s="18" t="s">
        <x:v>227</x:v>
      </x:c>
      <x:c r="F1794" s="19" t="s">
        <x:v>82</x:v>
      </x:c>
      <x:c r="G1794" s="20">
        <x:v>0</x:v>
      </x:c>
      <x:c r="H1794" s="21"/>
      <x:c r="I1794" s="21"/>
      <x:c r="J1794" s="23">
        <x:v>5</x:v>
      </x:c>
      <x:c r="K1794" s="23">
        <x:v>5500</x:v>
      </x:c>
      <x:c r="L1794" s="23">
        <x:v>5</x:v>
      </x:c>
    </x:row>
    <x:row r="1795">
      <x:c r="A1795" s="18" t="s">
        <x:v>3878</x:v>
      </x:c>
      <x:c r="B1795" s="19" t="s">
        <x:v>3879</x:v>
      </x:c>
      <x:c r="C1795" s="20">
        <x:v>83024200</x:v>
      </x:c>
      <x:c r="D1795" s="20">
        <x:v>1056</x:v>
      </x:c>
      <x:c r="E1795" s="18" t="s">
        <x:v>227</x:v>
      </x:c>
      <x:c r="F1795" s="19" t="s">
        <x:v>82</x:v>
      </x:c>
      <x:c r="G1795" s="20">
        <x:v>0</x:v>
      </x:c>
      <x:c r="H1795" s="21"/>
      <x:c r="I1795" s="21"/>
      <x:c r="J1795" s="23">
        <x:v>25</x:v>
      </x:c>
      <x:c r="K1795" s="23">
        <x:v>26400</x:v>
      </x:c>
      <x:c r="L1795" s="23">
        <x:v>25</x:v>
      </x:c>
    </x:row>
    <x:row r="1796">
      <x:c r="A1796" s="18" t="s">
        <x:v>3880</x:v>
      </x:c>
      <x:c r="B1796" s="19" t="s">
        <x:v>3881</x:v>
      </x:c>
      <x:c r="C1796" s="20">
        <x:v>39219010</x:v>
      </x:c>
      <x:c r="D1796" s="20">
        <x:v>33</x:v>
      </x:c>
      <x:c r="E1796" s="18" t="s">
        <x:v>227</x:v>
      </x:c>
      <x:c r="F1796" s="19" t="s">
        <x:v>11</x:v>
      </x:c>
      <x:c r="G1796" s="20">
        <x:v>33</x:v>
      </x:c>
      <x:c r="H1796" s="21"/>
      <x:c r="I1796" s="26" t="s">
        <x:v>1215</x:v>
      </x:c>
      <x:c r="J1796" s="23">
        <x:v>532</x:v>
      </x:c>
      <x:c r="K1796" s="23">
        <x:v>17556</x:v>
      </x:c>
      <x:c r="L1796" s="23">
        <x:v>360</x:v>
      </x:c>
    </x:row>
    <x:row r="1797">
      <x:c r="A1797" s="18" t="s">
        <x:v>3882</x:v>
      </x:c>
      <x:c r="B1797" s="19" t="s">
        <x:v>3883</x:v>
      </x:c>
      <x:c r="C1797" s="20">
        <x:v>38140010</x:v>
      </x:c>
      <x:c r="D1797" s="20">
        <x:v>65</x:v>
      </x:c>
      <x:c r="E1797" s="18" t="s">
        <x:v>227</x:v>
      </x:c>
      <x:c r="F1797" s="19" t="s">
        <x:v>2551</x:v>
      </x:c>
      <x:c r="G1797" s="20">
        <x:v>65</x:v>
      </x:c>
      <x:c r="H1797" s="21"/>
      <x:c r="I1797" s="26" t="s">
        <x:v>3884</x:v>
      </x:c>
      <x:c r="J1797" s="23">
        <x:v>155</x:v>
      </x:c>
      <x:c r="K1797" s="23">
        <x:v>8370</x:v>
      </x:c>
      <x:c r="L1797" s="23">
        <x:v>118</x:v>
      </x:c>
    </x:row>
    <x:row r="1798">
      <x:c r="A1798" s="18" t="s">
        <x:v>3885</x:v>
      </x:c>
      <x:c r="B1798" s="19" t="s">
        <x:v>3886</x:v>
      </x:c>
      <x:c r="C1798" s="20">
        <x:v>73262090</x:v>
      </x:c>
      <x:c r="D1798" s="20">
        <x:v>0</x:v>
      </x:c>
      <x:c r="E1798" s="18" t="s">
        <x:v>227</x:v>
      </x:c>
      <x:c r="F1798" s="19" t="s">
        <x:v>11</x:v>
      </x:c>
      <x:c r="G1798" s="20">
        <x:v>6496.1</x:v>
      </x:c>
      <x:c r="H1798" s="21"/>
      <x:c r="I1798" s="26" t="s">
        <x:v>2217</x:v>
      </x:c>
      <x:c r="J1798" s="23">
        <x:v>1</x:v>
      </x:c>
      <x:c r="K1798" s="23">
        <x:v>2165.35</x:v>
      </x:c>
      <x:c r="L1798" s="23">
        <x:v>0</x:v>
      </x:c>
    </x:row>
    <x:row r="1799">
      <x:c r="A1799" s="18" t="s">
        <x:v>3887</x:v>
      </x:c>
      <x:c r="B1799" s="19" t="s">
        <x:v>3888</x:v>
      </x:c>
      <x:c r="C1799" s="20">
        <x:v>71171100</x:v>
      </x:c>
      <x:c r="D1799" s="20">
        <x:v>3787.5</x:v>
      </x:c>
      <x:c r="E1799" s="18" t="s">
        <x:v>227</x:v>
      </x:c>
      <x:c r="F1799" s="19" t="s">
        <x:v>11</x:v>
      </x:c>
      <x:c r="G1799" s="20">
        <x:v>3787.5</x:v>
      </x:c>
      <x:c r="H1799" s="21"/>
      <x:c r="I1799" s="26" t="s">
        <x:v>272</x:v>
      </x:c>
      <x:c r="J1799" s="22">
        <x:v>0</x:v>
      </x:c>
      <x:c r="K1799" s="22">
        <x:v>0</x:v>
      </x:c>
      <x:c r="L1799" s="23">
        <x:v>1</x:v>
      </x:c>
    </x:row>
    <x:row r="1800">
      <x:c r="A1800" s="18" t="s">
        <x:v>3889</x:v>
      </x:c>
      <x:c r="B1800" s="19" t="s">
        <x:v>3890</x:v>
      </x:c>
      <x:c r="C1800" s="20">
        <x:v>73262090</x:v>
      </x:c>
      <x:c r="D1800" s="20">
        <x:v>3480</x:v>
      </x:c>
      <x:c r="E1800" s="18" t="s">
        <x:v>227</x:v>
      </x:c>
      <x:c r="F1800" s="19" t="s">
        <x:v>11</x:v>
      </x:c>
      <x:c r="G1800" s="20">
        <x:v>0</x:v>
      </x:c>
      <x:c r="H1800" s="21"/>
      <x:c r="I1800" s="21"/>
      <x:c r="J1800" s="23">
        <x:v>4</x:v>
      </x:c>
      <x:c r="K1800" s="23">
        <x:v>12035</x:v>
      </x:c>
      <x:c r="L1800" s="23">
        <x:v>1</x:v>
      </x:c>
    </x:row>
    <x:row r="1801">
      <x:c r="A1801" s="18" t="s">
        <x:v>3891</x:v>
      </x:c>
      <x:c r="B1801" s="19" t="s">
        <x:v>3892</x:v>
      </x:c>
      <x:c r="C1801" s="20">
        <x:v>83024200</x:v>
      </x:c>
      <x:c r="D1801" s="20">
        <x:v>1634.99</x:v>
      </x:c>
      <x:c r="E1801" s="18" t="s">
        <x:v>227</x:v>
      </x:c>
      <x:c r="F1801" s="19" t="s">
        <x:v>82</x:v>
      </x:c>
      <x:c r="G1801" s="20">
        <x:v>0</x:v>
      </x:c>
      <x:c r="H1801" s="21"/>
      <x:c r="I1801" s="21"/>
      <x:c r="J1801" s="23">
        <x:v>13</x:v>
      </x:c>
      <x:c r="K1801" s="23">
        <x:v>21254.880000000001</x:v>
      </x:c>
      <x:c r="L1801" s="23">
        <x:v>10</x:v>
      </x:c>
    </x:row>
    <x:row r="1802">
      <x:c r="A1802" s="18" t="s">
        <x:v>3893</x:v>
      </x:c>
      <x:c r="B1802" s="19" t="s">
        <x:v>3894</x:v>
      </x:c>
      <x:c r="C1802" s="20">
        <x:v>83024200</x:v>
      </x:c>
      <x:c r="D1802" s="20">
        <x:v>346.79</x:v>
      </x:c>
      <x:c r="E1802" s="18" t="s">
        <x:v>227</x:v>
      </x:c>
      <x:c r="F1802" s="19" t="s">
        <x:v>82</x:v>
      </x:c>
      <x:c r="G1802" s="20">
        <x:v>0</x:v>
      </x:c>
      <x:c r="H1802" s="21"/>
      <x:c r="I1802" s="21"/>
      <x:c r="J1802" s="23">
        <x:v>10</x:v>
      </x:c>
      <x:c r="K1802" s="23">
        <x:v>3467.91</x:v>
      </x:c>
      <x:c r="L1802" s="23">
        <x:v>7</x:v>
      </x:c>
    </x:row>
    <x:row r="1803">
      <x:c r="A1803" s="18" t="s">
        <x:v>3895</x:v>
      </x:c>
      <x:c r="B1803" s="19" t="s">
        <x:v>3896</x:v>
      </x:c>
      <x:c r="C1803" s="20">
        <x:v>83024200</x:v>
      </x:c>
      <x:c r="D1803" s="20">
        <x:v>340.9</x:v>
      </x:c>
      <x:c r="E1803" s="18" t="s">
        <x:v>227</x:v>
      </x:c>
      <x:c r="F1803" s="19" t="s">
        <x:v>11</x:v>
      </x:c>
      <x:c r="G1803" s="20">
        <x:v>340.94</x:v>
      </x:c>
      <x:c r="H1803" s="21"/>
      <x:c r="I1803" s="26" t="s">
        <x:v>1036</x:v>
      </x:c>
      <x:c r="J1803" s="23">
        <x:v>91</x:v>
      </x:c>
      <x:c r="K1803" s="23">
        <x:v>31025.54</x:v>
      </x:c>
      <x:c r="L1803" s="23">
        <x:v>66</x:v>
      </x:c>
    </x:row>
    <x:row r="1804">
      <x:c r="A1804" s="18" t="s">
        <x:v>3897</x:v>
      </x:c>
      <x:c r="B1804" s="19" t="s">
        <x:v>3898</x:v>
      </x:c>
      <x:c r="C1804" s="20">
        <x:v>83024200</x:v>
      </x:c>
      <x:c r="D1804" s="20">
        <x:v>60.81</x:v>
      </x:c>
      <x:c r="E1804" s="18" t="s">
        <x:v>227</x:v>
      </x:c>
      <x:c r="F1804" s="19" t="s">
        <x:v>82</x:v>
      </x:c>
      <x:c r="G1804" s="20">
        <x:v>60.76</x:v>
      </x:c>
      <x:c r="H1804" s="21"/>
      <x:c r="I1804" s="26" t="s">
        <x:v>1036</x:v>
      </x:c>
      <x:c r="J1804" s="23">
        <x:v>95</x:v>
      </x:c>
      <x:c r="K1804" s="23">
        <x:v>5776</x:v>
      </x:c>
      <x:c r="L1804" s="23">
        <x:v>66</x:v>
      </x:c>
    </x:row>
    <x:row r="1805">
      <x:c r="A1805" s="18" t="s">
        <x:v>3899</x:v>
      </x:c>
      <x:c r="B1805" s="19" t="s">
        <x:v>3900</x:v>
      </x:c>
      <x:c r="C1805" s="20">
        <x:v>73239990</x:v>
      </x:c>
      <x:c r="D1805" s="20">
        <x:v>200</x:v>
      </x:c>
      <x:c r="E1805" s="18" t="s">
        <x:v>227</x:v>
      </x:c>
      <x:c r="F1805" s="19" t="s">
        <x:v>11</x:v>
      </x:c>
      <x:c r="G1805" s="20">
        <x:v>200</x:v>
      </x:c>
      <x:c r="H1805" s="21"/>
      <x:c r="I1805" s="26" t="s">
        <x:v>888</x:v>
      </x:c>
      <x:c r="J1805" s="23">
        <x:v>37</x:v>
      </x:c>
      <x:c r="K1805" s="23">
        <x:v>10113.120000000001</x:v>
      </x:c>
      <x:c r="L1805" s="23">
        <x:v>128</x:v>
      </x:c>
    </x:row>
    <x:row r="1806">
      <x:c r="A1806" s="18" t="s">
        <x:v>3901</x:v>
      </x:c>
      <x:c r="B1806" s="19" t="s">
        <x:v>3902</x:v>
      </x:c>
      <x:c r="C1806" s="20">
        <x:v>73239990</x:v>
      </x:c>
      <x:c r="D1806" s="20">
        <x:v>0</x:v>
      </x:c>
      <x:c r="E1806" s="18" t="s">
        <x:v>227</x:v>
      </x:c>
      <x:c r="F1806" s="19" t="s">
        <x:v>11</x:v>
      </x:c>
      <x:c r="G1806" s="20">
        <x:v>0</x:v>
      </x:c>
      <x:c r="H1806" s="21"/>
      <x:c r="I1806" s="21"/>
      <x:c r="J1806" s="22">
        <x:v>0</x:v>
      </x:c>
      <x:c r="K1806" s="22">
        <x:v>0</x:v>
      </x:c>
      <x:c r="L1806" s="23">
        <x:v>0</x:v>
      </x:c>
    </x:row>
    <x:row r="1807">
      <x:c r="A1807" s="18" t="s">
        <x:v>3903</x:v>
      </x:c>
      <x:c r="B1807" s="19" t="s">
        <x:v>3904</x:v>
      </x:c>
      <x:c r="C1807" s="20">
        <x:v>62111100</x:v>
      </x:c>
      <x:c r="D1807" s="20">
        <x:v>0</x:v>
      </x:c>
      <x:c r="E1807" s="18" t="s">
        <x:v>227</x:v>
      </x:c>
      <x:c r="F1807" s="19" t="s">
        <x:v>82</x:v>
      </x:c>
      <x:c r="G1807" s="20">
        <x:v>0</x:v>
      </x:c>
      <x:c r="H1807" s="21"/>
      <x:c r="I1807" s="21"/>
      <x:c r="J1807" s="22">
        <x:v>0</x:v>
      </x:c>
      <x:c r="K1807" s="22">
        <x:v>0</x:v>
      </x:c>
      <x:c r="L1807" s="23">
        <x:v>0</x:v>
      </x:c>
    </x:row>
    <x:row r="1808">
      <x:c r="A1808" s="18" t="s">
        <x:v>3905</x:v>
      </x:c>
      <x:c r="B1808" s="19" t="s">
        <x:v>3906</x:v>
      </x:c>
      <x:c r="C1808" s="20">
        <x:v>83024200</x:v>
      </x:c>
      <x:c r="D1808" s="20">
        <x:v>0</x:v>
      </x:c>
      <x:c r="E1808" s="18" t="s">
        <x:v>227</x:v>
      </x:c>
      <x:c r="F1808" s="19" t="s">
        <x:v>82</x:v>
      </x:c>
      <x:c r="G1808" s="20">
        <x:v>5201.3999999999996</x:v>
      </x:c>
      <x:c r="H1808" s="21"/>
      <x:c r="I1808" s="26" t="s">
        <x:v>858</x:v>
      </x:c>
      <x:c r="J1808" s="22">
        <x:v>0</x:v>
      </x:c>
      <x:c r="K1808" s="22">
        <x:v>0</x:v>
      </x:c>
      <x:c r="L1808" s="23">
        <x:v>0</x:v>
      </x:c>
    </x:row>
    <x:row r="1809">
      <x:c r="A1809" s="18" t="s">
        <x:v>3907</x:v>
      </x:c>
      <x:c r="B1809" s="19" t="s">
        <x:v>3908</x:v>
      </x:c>
      <x:c r="C1809" s="20">
        <x:v>83024200</x:v>
      </x:c>
      <x:c r="D1809" s="20">
        <x:v>3371.65</x:v>
      </x:c>
      <x:c r="E1809" s="18" t="s">
        <x:v>227</x:v>
      </x:c>
      <x:c r="F1809" s="19" t="s">
        <x:v>11</x:v>
      </x:c>
      <x:c r="G1809" s="20">
        <x:v>0</x:v>
      </x:c>
      <x:c r="H1809" s="21"/>
      <x:c r="I1809" s="21"/>
      <x:c r="J1809" s="23">
        <x:v>2</x:v>
      </x:c>
      <x:c r="K1809" s="23">
        <x:v>6743.3</x:v>
      </x:c>
      <x:c r="L1809" s="23">
        <x:v>2</x:v>
      </x:c>
    </x:row>
    <x:row r="1810">
      <x:c r="A1810" s="18" t="s">
        <x:v>3909</x:v>
      </x:c>
      <x:c r="B1810" s="19" t="s">
        <x:v>3910</x:v>
      </x:c>
      <x:c r="C1810" s="20">
        <x:v>83024200</x:v>
      </x:c>
      <x:c r="D1810" s="20">
        <x:v>31500</x:v>
      </x:c>
      <x:c r="E1810" s="18" t="s">
        <x:v>227</x:v>
      </x:c>
      <x:c r="F1810" s="19" t="s">
        <x:v>11</x:v>
      </x:c>
      <x:c r="G1810" s="20">
        <x:v>0</x:v>
      </x:c>
      <x:c r="H1810" s="21"/>
      <x:c r="I1810" s="21"/>
      <x:c r="J1810" s="23">
        <x:v>7</x:v>
      </x:c>
      <x:c r="K1810" s="23">
        <x:v>220500</x:v>
      </x:c>
      <x:c r="L1810" s="23">
        <x:v>2</x:v>
      </x:c>
    </x:row>
    <x:row r="1811">
      <x:c r="A1811" s="18" t="s">
        <x:v>3911</x:v>
      </x:c>
      <x:c r="B1811" s="19" t="s">
        <x:v>3912</x:v>
      </x:c>
      <x:c r="C1811" s="20">
        <x:v>83024200</x:v>
      </x:c>
      <x:c r="D1811" s="20">
        <x:v>0</x:v>
      </x:c>
      <x:c r="E1811" s="18" t="s">
        <x:v>227</x:v>
      </x:c>
      <x:c r="F1811" s="19" t="s">
        <x:v>82</x:v>
      </x:c>
      <x:c r="G1811" s="20">
        <x:v>0</x:v>
      </x:c>
      <x:c r="H1811" s="21"/>
      <x:c r="I1811" s="21"/>
      <x:c r="J1811" s="23">
        <x:v>1</x:v>
      </x:c>
      <x:c r="K1811" s="23">
        <x:v>6024</x:v>
      </x:c>
      <x:c r="L1811" s="23">
        <x:v>0</x:v>
      </x:c>
    </x:row>
    <x:row r="1812">
      <x:c r="A1812" s="18" t="s">
        <x:v>3913</x:v>
      </x:c>
      <x:c r="B1812" s="19" t="s">
        <x:v>3914</x:v>
      </x:c>
      <x:c r="C1812" s="20">
        <x:v>83024200</x:v>
      </x:c>
      <x:c r="D1812" s="20">
        <x:v>19653.09</x:v>
      </x:c>
      <x:c r="E1812" s="18" t="s">
        <x:v>227</x:v>
      </x:c>
      <x:c r="F1812" s="19" t="s">
        <x:v>11</x:v>
      </x:c>
      <x:c r="G1812" s="20">
        <x:v>0</x:v>
      </x:c>
      <x:c r="H1812" s="21"/>
      <x:c r="I1812" s="21"/>
      <x:c r="J1812" s="23">
        <x:v>3</x:v>
      </x:c>
      <x:c r="K1812" s="23">
        <x:v>58959.28</x:v>
      </x:c>
      <x:c r="L1812" s="23">
        <x:v>3</x:v>
      </x:c>
    </x:row>
    <x:row r="1813">
      <x:c r="A1813" s="18" t="s">
        <x:v>3915</x:v>
      </x:c>
      <x:c r="B1813" s="19" t="s">
        <x:v>3916</x:v>
      </x:c>
      <x:c r="C1813" s="20">
        <x:v>83024900</x:v>
      </x:c>
      <x:c r="D1813" s="20">
        <x:v>0</x:v>
      </x:c>
      <x:c r="E1813" s="18" t="s">
        <x:v>227</x:v>
      </x:c>
      <x:c r="F1813" s="19" t="s">
        <x:v>11</x:v>
      </x:c>
      <x:c r="G1813" s="20">
        <x:v>0</x:v>
      </x:c>
      <x:c r="H1813" s="21"/>
      <x:c r="I1813" s="21"/>
      <x:c r="J1813" s="22">
        <x:v>0</x:v>
      </x:c>
      <x:c r="K1813" s="22">
        <x:v>0</x:v>
      </x:c>
      <x:c r="L1813" s="23">
        <x:v>0</x:v>
      </x:c>
    </x:row>
    <x:row r="1814">
      <x:c r="A1814" s="18" t="s">
        <x:v>3917</x:v>
      </x:c>
      <x:c r="B1814" s="19" t="s">
        <x:v>3918</x:v>
      </x:c>
      <x:c r="C1814" s="20">
        <x:v>76169990</x:v>
      </x:c>
      <x:c r="D1814" s="20">
        <x:v>120.02</x:v>
      </x:c>
      <x:c r="E1814" s="18" t="s">
        <x:v>227</x:v>
      </x:c>
      <x:c r="F1814" s="19" t="s">
        <x:v>11</x:v>
      </x:c>
      <x:c r="G1814" s="20">
        <x:v>117.07</x:v>
      </x:c>
      <x:c r="H1814" s="21"/>
      <x:c r="I1814" s="26" t="s">
        <x:v>252</x:v>
      </x:c>
      <x:c r="J1814" s="23">
        <x:v>310</x:v>
      </x:c>
      <x:c r="K1814" s="23">
        <x:v>32100.5</x:v>
      </x:c>
      <x:c r="L1814" s="23">
        <x:v>144</x:v>
      </x:c>
    </x:row>
    <x:row r="1815">
      <x:c r="A1815" s="18" t="s">
        <x:v>3919</x:v>
      </x:c>
      <x:c r="B1815" s="19" t="s">
        <x:v>3920</x:v>
      </x:c>
      <x:c r="C1815" s="20">
        <x:v>76169990</x:v>
      </x:c>
      <x:c r="D1815" s="20">
        <x:v>0</x:v>
      </x:c>
      <x:c r="E1815" s="18" t="s">
        <x:v>227</x:v>
      </x:c>
      <x:c r="F1815" s="19" t="s">
        <x:v>11</x:v>
      </x:c>
      <x:c r="G1815" s="20">
        <x:v>0</x:v>
      </x:c>
      <x:c r="H1815" s="21"/>
      <x:c r="I1815" s="21"/>
      <x:c r="J1815" s="22">
        <x:v>0</x:v>
      </x:c>
      <x:c r="K1815" s="22">
        <x:v>0</x:v>
      </x:c>
      <x:c r="L1815" s="23">
        <x:v>0</x:v>
      </x:c>
    </x:row>
    <x:row r="1816">
      <x:c r="A1816" s="18" t="s">
        <x:v>3921</x:v>
      </x:c>
      <x:c r="B1816" s="19" t="s">
        <x:v>3922</x:v>
      </x:c>
      <x:c r="C1816" s="20">
        <x:v>84198120</x:v>
      </x:c>
      <x:c r="D1816" s="20">
        <x:v>0</x:v>
      </x:c>
      <x:c r="E1816" s="18" t="s">
        <x:v>227</x:v>
      </x:c>
      <x:c r="F1816" s="19" t="s">
        <x:v>11</x:v>
      </x:c>
      <x:c r="G1816" s="20">
        <x:v>12455</x:v>
      </x:c>
      <x:c r="H1816" s="21"/>
      <x:c r="I1816" s="26" t="s">
        <x:v>866</x:v>
      </x:c>
      <x:c r="J1816" s="22">
        <x:v>0</x:v>
      </x:c>
      <x:c r="K1816" s="22">
        <x:v>0</x:v>
      </x:c>
      <x:c r="L1816" s="23">
        <x:v>0</x:v>
      </x:c>
    </x:row>
    <x:row r="1817">
      <x:c r="A1817" s="18" t="s">
        <x:v>3923</x:v>
      </x:c>
      <x:c r="B1817" s="19" t="s">
        <x:v>3924</x:v>
      </x:c>
      <x:c r="C1817" s="20">
        <x:v>84198120</x:v>
      </x:c>
      <x:c r="D1817" s="20">
        <x:v>0</x:v>
      </x:c>
      <x:c r="E1817" s="18" t="s">
        <x:v>227</x:v>
      </x:c>
      <x:c r="F1817" s="19" t="s">
        <x:v>11</x:v>
      </x:c>
      <x:c r="G1817" s="20">
        <x:v>46792</x:v>
      </x:c>
      <x:c r="H1817" s="21"/>
      <x:c r="I1817" s="26" t="s">
        <x:v>2224</x:v>
      </x:c>
      <x:c r="J1817" s="22">
        <x:v>0</x:v>
      </x:c>
      <x:c r="K1817" s="22">
        <x:v>0</x:v>
      </x:c>
      <x:c r="L1817" s="23">
        <x:v>0</x:v>
      </x:c>
    </x:row>
    <x:row r="1818">
      <x:c r="A1818" s="18" t="s">
        <x:v>3925</x:v>
      </x:c>
      <x:c r="B1818" s="19" t="s">
        <x:v>3926</x:v>
      </x:c>
      <x:c r="C1818" s="20">
        <x:v>73269099</x:v>
      </x:c>
      <x:c r="D1818" s="20">
        <x:v>4924.1899999999996</x:v>
      </x:c>
      <x:c r="E1818" s="18" t="s">
        <x:v>227</x:v>
      </x:c>
      <x:c r="F1818" s="19" t="s">
        <x:v>11</x:v>
      </x:c>
      <x:c r="G1818" s="20">
        <x:v>5183.3</x:v>
      </x:c>
      <x:c r="H1818" s="21"/>
      <x:c r="I1818" s="26" t="s">
        <x:v>252</x:v>
      </x:c>
      <x:c r="J1818" s="23">
        <x:v>16</x:v>
      </x:c>
      <x:c r="K1818" s="23">
        <x:v>73823.3</x:v>
      </x:c>
      <x:c r="L1818" s="23">
        <x:v>23</x:v>
      </x:c>
    </x:row>
    <x:row r="1819">
      <x:c r="A1819" s="18" t="s">
        <x:v>3927</x:v>
      </x:c>
      <x:c r="B1819" s="19" t="s">
        <x:v>3928</x:v>
      </x:c>
      <x:c r="C1819" s="20">
        <x:v>73269099</x:v>
      </x:c>
      <x:c r="D1819" s="20">
        <x:v>3350</x:v>
      </x:c>
      <x:c r="E1819" s="18" t="s">
        <x:v>227</x:v>
      </x:c>
      <x:c r="F1819" s="19" t="s">
        <x:v>11</x:v>
      </x:c>
      <x:c r="G1819" s="20">
        <x:v>3150</x:v>
      </x:c>
      <x:c r="H1819" s="21"/>
      <x:c r="I1819" s="26" t="s">
        <x:v>3929</x:v>
      </x:c>
      <x:c r="J1819" s="23">
        <x:v>22</x:v>
      </x:c>
      <x:c r="K1819" s="23">
        <x:v>69300</x:v>
      </x:c>
      <x:c r="L1819" s="23">
        <x:v>26</x:v>
      </x:c>
    </x:row>
    <x:row r="1820">
      <x:c r="A1820" s="18" t="s">
        <x:v>3930</x:v>
      </x:c>
      <x:c r="B1820" s="19" t="s">
        <x:v>3931</x:v>
      </x:c>
      <x:c r="C1820" s="20">
        <x:v>73269099</x:v>
      </x:c>
      <x:c r="D1820" s="20">
        <x:v>0</x:v>
      </x:c>
      <x:c r="E1820" s="18" t="s">
        <x:v>227</x:v>
      </x:c>
      <x:c r="F1820" s="19" t="s">
        <x:v>11</x:v>
      </x:c>
      <x:c r="G1820" s="20">
        <x:v>0</x:v>
      </x:c>
      <x:c r="H1820" s="21"/>
      <x:c r="I1820" s="21"/>
      <x:c r="J1820" s="22">
        <x:v>0</x:v>
      </x:c>
      <x:c r="K1820" s="22">
        <x:v>0</x:v>
      </x:c>
      <x:c r="L1820" s="23">
        <x:v>0</x:v>
      </x:c>
    </x:row>
    <x:row r="1821">
      <x:c r="A1821" s="18" t="s">
        <x:v>3932</x:v>
      </x:c>
      <x:c r="B1821" s="19" t="s">
        <x:v>157</x:v>
      </x:c>
      <x:c r="C1821" s="20">
        <x:v>73269099</x:v>
      </x:c>
      <x:c r="D1821" s="20">
        <x:v>2342.4</x:v>
      </x:c>
      <x:c r="E1821" s="18" t="s">
        <x:v>227</x:v>
      </x:c>
      <x:c r="F1821" s="19" t="s">
        <x:v>11</x:v>
      </x:c>
      <x:c r="G1821" s="20">
        <x:v>2204.4</x:v>
      </x:c>
      <x:c r="H1821" s="21"/>
      <x:c r="I1821" s="26" t="s">
        <x:v>858</x:v>
      </x:c>
      <x:c r="J1821" s="23">
        <x:v>8</x:v>
      </x:c>
      <x:c r="K1821" s="23">
        <x:v>12426</x:v>
      </x:c>
      <x:c r="L1821" s="23">
        <x:v>1</x:v>
      </x:c>
    </x:row>
    <x:row r="1822">
      <x:c r="A1822" s="18" t="s">
        <x:v>3933</x:v>
      </x:c>
      <x:c r="B1822" s="19" t="s">
        <x:v>3934</x:v>
      </x:c>
      <x:c r="C1822" s="20">
        <x:v>73269099</x:v>
      </x:c>
      <x:c r="D1822" s="20">
        <x:v>1588.8</x:v>
      </x:c>
      <x:c r="E1822" s="18" t="s">
        <x:v>227</x:v>
      </x:c>
      <x:c r="F1822" s="19" t="s">
        <x:v>11</x:v>
      </x:c>
      <x:c r="G1822" s="20">
        <x:v>1495.2</x:v>
      </x:c>
      <x:c r="H1822" s="21"/>
      <x:c r="I1822" s="26" t="s">
        <x:v>858</x:v>
      </x:c>
      <x:c r="J1822" s="23">
        <x:v>1</x:v>
      </x:c>
      <x:c r="K1822" s="23">
        <x:v>1030.75</x:v>
      </x:c>
      <x:c r="L1822" s="23">
        <x:v>4</x:v>
      </x:c>
    </x:row>
    <x:row r="1823">
      <x:c r="A1823" s="18" t="s">
        <x:v>3935</x:v>
      </x:c>
      <x:c r="B1823" s="19" t="s">
        <x:v>3936</x:v>
      </x:c>
      <x:c r="C1823" s="20">
        <x:v>73269099</x:v>
      </x:c>
      <x:c r="D1823" s="20">
        <x:v>1507.8</x:v>
      </x:c>
      <x:c r="E1823" s="18" t="s">
        <x:v>227</x:v>
      </x:c>
      <x:c r="F1823" s="19" t="s">
        <x:v>11</x:v>
      </x:c>
      <x:c r="G1823" s="20">
        <x:v>1419</x:v>
      </x:c>
      <x:c r="H1823" s="21"/>
      <x:c r="I1823" s="26" t="s">
        <x:v>858</x:v>
      </x:c>
      <x:c r="J1823" s="22">
        <x:v>0</x:v>
      </x:c>
      <x:c r="K1823" s="22">
        <x:v>0</x:v>
      </x:c>
      <x:c r="L1823" s="23">
        <x:v>3</x:v>
      </x:c>
    </x:row>
    <x:row r="1824">
      <x:c r="A1824" s="18" t="s">
        <x:v>3937</x:v>
      </x:c>
      <x:c r="B1824" s="19" t="s">
        <x:v>3938</x:v>
      </x:c>
      <x:c r="C1824" s="20">
        <x:v>73269099</x:v>
      </x:c>
      <x:c r="D1824" s="20">
        <x:v>0</x:v>
      </x:c>
      <x:c r="E1824" s="18" t="s">
        <x:v>227</x:v>
      </x:c>
      <x:c r="F1824" s="19" t="s">
        <x:v>11</x:v>
      </x:c>
      <x:c r="G1824" s="20">
        <x:v>0</x:v>
      </x:c>
      <x:c r="H1824" s="21"/>
      <x:c r="I1824" s="21"/>
      <x:c r="J1824" s="22">
        <x:v>0</x:v>
      </x:c>
      <x:c r="K1824" s="22">
        <x:v>0</x:v>
      </x:c>
      <x:c r="L1824" s="23">
        <x:v>0</x:v>
      </x:c>
    </x:row>
    <x:row r="1825">
      <x:c r="A1825" s="18" t="s">
        <x:v>3939</x:v>
      </x:c>
      <x:c r="B1825" s="19" t="s">
        <x:v>3940</x:v>
      </x:c>
      <x:c r="C1825" s="20">
        <x:v>73269099</x:v>
      </x:c>
      <x:c r="D1825" s="20">
        <x:v>0</x:v>
      </x:c>
      <x:c r="E1825" s="18" t="s">
        <x:v>227</x:v>
      </x:c>
      <x:c r="F1825" s="19" t="s">
        <x:v>11</x:v>
      </x:c>
      <x:c r="G1825" s="20">
        <x:v>0</x:v>
      </x:c>
      <x:c r="H1825" s="21"/>
      <x:c r="I1825" s="21"/>
      <x:c r="J1825" s="22">
        <x:v>0</x:v>
      </x:c>
      <x:c r="K1825" s="22">
        <x:v>0</x:v>
      </x:c>
      <x:c r="L1825" s="23">
        <x:v>0</x:v>
      </x:c>
    </x:row>
    <x:row r="1826">
      <x:c r="A1826" s="18" t="s">
        <x:v>3941</x:v>
      </x:c>
      <x:c r="B1826" s="19" t="s">
        <x:v>3942</x:v>
      </x:c>
      <x:c r="C1826" s="20">
        <x:v>39231020</x:v>
      </x:c>
      <x:c r="D1826" s="20">
        <x:v>3787.5</x:v>
      </x:c>
      <x:c r="E1826" s="18" t="s">
        <x:v>227</x:v>
      </x:c>
      <x:c r="F1826" s="19" t="s">
        <x:v>11</x:v>
      </x:c>
      <x:c r="G1826" s="20">
        <x:v>3787.5</x:v>
      </x:c>
      <x:c r="H1826" s="21"/>
      <x:c r="I1826" s="26" t="s">
        <x:v>272</x:v>
      </x:c>
      <x:c r="J1826" s="22">
        <x:v>0</x:v>
      </x:c>
      <x:c r="K1826" s="22">
        <x:v>0</x:v>
      </x:c>
      <x:c r="L1826" s="23">
        <x:v>1</x:v>
      </x:c>
    </x:row>
    <x:row r="1827">
      <x:c r="A1827" s="18" t="s">
        <x:v>3943</x:v>
      </x:c>
      <x:c r="B1827" s="19" t="s">
        <x:v>3944</x:v>
      </x:c>
      <x:c r="C1827" s="20">
        <x:v>46029000</x:v>
      </x:c>
      <x:c r="D1827" s="20">
        <x:v>13390</x:v>
      </x:c>
      <x:c r="E1827" s="18" t="s">
        <x:v>227</x:v>
      </x:c>
      <x:c r="F1827" s="19" t="s">
        <x:v>82</x:v>
      </x:c>
      <x:c r="G1827" s="20">
        <x:v>13390</x:v>
      </x:c>
      <x:c r="H1827" s="21"/>
      <x:c r="I1827" s="26" t="s">
        <x:v>837</x:v>
      </x:c>
      <x:c r="J1827" s="23">
        <x:v>2</x:v>
      </x:c>
      <x:c r="K1827" s="23">
        <x:v>13041.6</x:v>
      </x:c>
      <x:c r="L1827" s="23">
        <x:v>2</x:v>
      </x:c>
    </x:row>
    <x:row r="1828">
      <x:c r="A1828" s="18" t="s">
        <x:v>3945</x:v>
      </x:c>
      <x:c r="B1828" s="19" t="s">
        <x:v>3946</x:v>
      </x:c>
      <x:c r="C1828" s="20">
        <x:v>46029000</x:v>
      </x:c>
      <x:c r="D1828" s="20">
        <x:v>7390.2</x:v>
      </x:c>
      <x:c r="E1828" s="18" t="s">
        <x:v>227</x:v>
      </x:c>
      <x:c r="F1828" s="19" t="s">
        <x:v>11</x:v>
      </x:c>
      <x:c r="G1828" s="20">
        <x:v>0</x:v>
      </x:c>
      <x:c r="H1828" s="21"/>
      <x:c r="I1828" s="21"/>
      <x:c r="J1828" s="23">
        <x:v>16</x:v>
      </x:c>
      <x:c r="K1828" s="23">
        <x:v>118243.2</x:v>
      </x:c>
      <x:c r="L1828" s="23">
        <x:v>4</x:v>
      </x:c>
    </x:row>
    <x:row r="1829">
      <x:c r="A1829" s="18" t="s">
        <x:v>3947</x:v>
      </x:c>
      <x:c r="B1829" s="19" t="s">
        <x:v>3948</x:v>
      </x:c>
      <x:c r="C1829" s="20">
        <x:v>39269099</x:v>
      </x:c>
      <x:c r="D1829" s="20">
        <x:v>2.02</x:v>
      </x:c>
      <x:c r="E1829" s="18" t="s">
        <x:v>227</x:v>
      </x:c>
      <x:c r="F1829" s="19" t="s">
        <x:v>11</x:v>
      </x:c>
      <x:c r="G1829" s="20">
        <x:v>0</x:v>
      </x:c>
      <x:c r="H1829" s="21"/>
      <x:c r="I1829" s="21"/>
      <x:c r="J1829" s="23">
        <x:v>2024</x:v>
      </x:c>
      <x:c r="K1829" s="23">
        <x:v>4084.48</x:v>
      </x:c>
      <x:c r="L1829" s="23">
        <x:v>403</x:v>
      </x:c>
    </x:row>
    <x:row r="1830">
      <x:c r="A1830" s="18" t="s">
        <x:v>3949</x:v>
      </x:c>
      <x:c r="B1830" s="19" t="s">
        <x:v>3950</x:v>
      </x:c>
      <x:c r="C1830" s="20">
        <x:v>44191900</x:v>
      </x:c>
      <x:c r="D1830" s="20">
        <x:v>180</x:v>
      </x:c>
      <x:c r="E1830" s="18" t="s">
        <x:v>227</x:v>
      </x:c>
      <x:c r="F1830" s="19" t="s">
        <x:v>11</x:v>
      </x:c>
      <x:c r="G1830" s="20">
        <x:v>0</x:v>
      </x:c>
      <x:c r="H1830" s="21"/>
      <x:c r="I1830" s="21"/>
      <x:c r="J1830" s="23">
        <x:v>1</x:v>
      </x:c>
      <x:c r="K1830" s="23">
        <x:v>160</x:v>
      </x:c>
      <x:c r="L1830" s="23">
        <x:v>22</x:v>
      </x:c>
    </x:row>
    <x:row r="1831">
      <x:c r="A1831" s="18" t="s">
        <x:v>3951</x:v>
      </x:c>
      <x:c r="B1831" s="19" t="s">
        <x:v>3952</x:v>
      </x:c>
      <x:c r="C1831" s="20">
        <x:v>44199090</x:v>
      </x:c>
      <x:c r="D1831" s="20">
        <x:v>2200</x:v>
      </x:c>
      <x:c r="E1831" s="18" t="s">
        <x:v>227</x:v>
      </x:c>
      <x:c r="F1831" s="19" t="s">
        <x:v>82</x:v>
      </x:c>
      <x:c r="G1831" s="20">
        <x:v>0</x:v>
      </x:c>
      <x:c r="H1831" s="21"/>
      <x:c r="I1831" s="21"/>
      <x:c r="J1831" s="23">
        <x:v>2</x:v>
      </x:c>
      <x:c r="K1831" s="23">
        <x:v>5079.83</x:v>
      </x:c>
      <x:c r="L1831" s="23">
        <x:v>2</x:v>
      </x:c>
    </x:row>
    <x:row r="1832">
      <x:c r="A1832" s="18" t="s">
        <x:v>3953</x:v>
      </x:c>
      <x:c r="B1832" s="19" t="s">
        <x:v>3954</x:v>
      </x:c>
      <x:c r="C1832" s="20">
        <x:v>44199090</x:v>
      </x:c>
      <x:c r="D1832" s="20">
        <x:v>3174.9</x:v>
      </x:c>
      <x:c r="E1832" s="18" t="s">
        <x:v>227</x:v>
      </x:c>
      <x:c r="F1832" s="19" t="s">
        <x:v>11</x:v>
      </x:c>
      <x:c r="G1832" s="20">
        <x:v>0</x:v>
      </x:c>
      <x:c r="H1832" s="21"/>
      <x:c r="I1832" s="21"/>
      <x:c r="J1832" s="23">
        <x:v>7</x:v>
      </x:c>
      <x:c r="K1832" s="23">
        <x:v>22224.28</x:v>
      </x:c>
      <x:c r="L1832" s="23">
        <x:v>7</x:v>
      </x:c>
    </x:row>
    <x:row r="1833">
      <x:c r="A1833" s="18" t="s">
        <x:v>3955</x:v>
      </x:c>
      <x:c r="B1833" s="19" t="s">
        <x:v>3956</x:v>
      </x:c>
      <x:c r="C1833" s="20">
        <x:v>44199090</x:v>
      </x:c>
      <x:c r="D1833" s="20">
        <x:v>0.32</x:v>
      </x:c>
      <x:c r="E1833" s="18" t="s">
        <x:v>227</x:v>
      </x:c>
      <x:c r="F1833" s="19" t="s">
        <x:v>11</x:v>
      </x:c>
      <x:c r="G1833" s="20">
        <x:v>0</x:v>
      </x:c>
      <x:c r="H1833" s="21"/>
      <x:c r="I1833" s="21"/>
      <x:c r="J1833" s="23">
        <x:v>3856</x:v>
      </x:c>
      <x:c r="K1833" s="23">
        <x:v>1245.49</x:v>
      </x:c>
      <x:c r="L1833" s="23">
        <x:v>3836</x:v>
      </x:c>
    </x:row>
    <x:row r="1834">
      <x:c r="A1834" s="18" t="s">
        <x:v>3957</x:v>
      </x:c>
      <x:c r="B1834" s="19" t="s">
        <x:v>3958</x:v>
      </x:c>
      <x:c r="C1834" s="20">
        <x:v>44199090</x:v>
      </x:c>
      <x:c r="D1834" s="20">
        <x:v>0.3</x:v>
      </x:c>
      <x:c r="E1834" s="18" t="s">
        <x:v>227</x:v>
      </x:c>
      <x:c r="F1834" s="19" t="s">
        <x:v>11</x:v>
      </x:c>
      <x:c r="G1834" s="20">
        <x:v>0.3</x:v>
      </x:c>
      <x:c r="H1834" s="21"/>
      <x:c r="I1834" s="26" t="s">
        <x:v>233</x:v>
      </x:c>
      <x:c r="J1834" s="23">
        <x:v>71202</x:v>
      </x:c>
      <x:c r="K1834" s="23">
        <x:v>21900.28</x:v>
      </x:c>
      <x:c r="L1834" s="23">
        <x:v>24657</x:v>
      </x:c>
    </x:row>
    <x:row r="1835">
      <x:c r="A1835" s="18" t="s">
        <x:v>3959</x:v>
      </x:c>
      <x:c r="B1835" s="19" t="s">
        <x:v>3960</x:v>
      </x:c>
      <x:c r="C1835" s="20">
        <x:v>83024200</x:v>
      </x:c>
      <x:c r="D1835" s="20">
        <x:v>12619.75</x:v>
      </x:c>
      <x:c r="E1835" s="18" t="s">
        <x:v>227</x:v>
      </x:c>
      <x:c r="F1835" s="19" t="s">
        <x:v>11</x:v>
      </x:c>
      <x:c r="G1835" s="20">
        <x:v>0</x:v>
      </x:c>
      <x:c r="H1835" s="21"/>
      <x:c r="I1835" s="21"/>
      <x:c r="J1835" s="23">
        <x:v>2</x:v>
      </x:c>
      <x:c r="K1835" s="23">
        <x:v>25239.5</x:v>
      </x:c>
      <x:c r="L1835" s="23">
        <x:v>1</x:v>
      </x:c>
    </x:row>
    <x:row r="1836">
      <x:c r="A1836" s="18" t="s">
        <x:v>3959</x:v>
      </x:c>
      <x:c r="B1836" s="41" t="s">
        <x:v>3961</x:v>
      </x:c>
      <x:c r="C1836" s="42" t="e">
        <x:v>#N/A</x:v>
      </x:c>
      <x:c r="D1836" s="20">
        <x:v>986.97</x:v>
      </x:c>
      <x:c r="E1836" s="18" t="s">
        <x:v>227</x:v>
      </x:c>
      <x:c r="F1836" s="19" t="s">
        <x:v>11</x:v>
      </x:c>
      <x:c r="G1836" s="20">
        <x:v>986.97</x:v>
      </x:c>
      <x:c r="H1836" s="21"/>
      <x:c r="I1836" s="21"/>
      <x:c r="J1836" s="43" t="e">
        <x:v>#N/A</x:v>
      </x:c>
      <x:c r="K1836" s="43" t="e">
        <x:v>#N/A</x:v>
      </x:c>
      <x:c r="L1836" s="43" t="e">
        <x:v>#N/A</x:v>
      </x:c>
    </x:row>
    <x:row r="1837">
      <x:c r="A1837" s="18" t="s">
        <x:v>3959</x:v>
      </x:c>
      <x:c r="B1837" s="41" t="s">
        <x:v>3962</x:v>
      </x:c>
      <x:c r="C1837" s="42" t="e">
        <x:v>#N/A</x:v>
      </x:c>
      <x:c r="D1837" s="20">
        <x:v>1356.65</x:v>
      </x:c>
      <x:c r="E1837" s="18" t="s">
        <x:v>227</x:v>
      </x:c>
      <x:c r="F1837" s="19" t="s">
        <x:v>82</x:v>
      </x:c>
      <x:c r="G1837" s="20">
        <x:v>1356.7</x:v>
      </x:c>
      <x:c r="H1837" s="21"/>
      <x:c r="I1837" s="21"/>
      <x:c r="J1837" s="43" t="e">
        <x:v>#N/A</x:v>
      </x:c>
      <x:c r="K1837" s="43" t="e">
        <x:v>#N/A</x:v>
      </x:c>
      <x:c r="L1837" s="43" t="e">
        <x:v>#N/A</x:v>
      </x:c>
    </x:row>
    <x:row r="1838">
      <x:c r="A1838" s="18" t="s">
        <x:v>3959</x:v>
      </x:c>
      <x:c r="B1838" s="41" t="s">
        <x:v>3963</x:v>
      </x:c>
      <x:c r="C1838" s="42" t="e">
        <x:v>#N/A</x:v>
      </x:c>
      <x:c r="D1838" s="20">
        <x:v>4544.6899999999996</x:v>
      </x:c>
      <x:c r="E1838" s="18" t="s">
        <x:v>227</x:v>
      </x:c>
      <x:c r="F1838" s="19" t="s">
        <x:v>11</x:v>
      </x:c>
      <x:c r="G1838" s="20">
        <x:v>4544.7</x:v>
      </x:c>
      <x:c r="H1838" s="21"/>
      <x:c r="I1838" s="21"/>
      <x:c r="J1838" s="43" t="e">
        <x:v>#N/A</x:v>
      </x:c>
      <x:c r="K1838" s="43" t="e">
        <x:v>#N/A</x:v>
      </x:c>
      <x:c r="L1838" s="43" t="e">
        <x:v>#N/A</x:v>
      </x:c>
    </x:row>
    <x:row r="1839">
      <x:c r="A1839" s="18" t="s">
        <x:v>3959</x:v>
      </x:c>
      <x:c r="B1839" s="41" t="s">
        <x:v>3964</x:v>
      </x:c>
      <x:c r="C1839" s="42" t="e">
        <x:v>#N/A</x:v>
      </x:c>
      <x:c r="D1839" s="20">
        <x:v>18.100000000000001</x:v>
      </x:c>
      <x:c r="E1839" s="18" t="s">
        <x:v>227</x:v>
      </x:c>
      <x:c r="F1839" s="19" t="s">
        <x:v>11</x:v>
      </x:c>
      <x:c r="G1839" s="20">
        <x:v>18.100000000000001</x:v>
      </x:c>
      <x:c r="H1839" s="21"/>
      <x:c r="I1839" s="21"/>
      <x:c r="J1839" s="43" t="e">
        <x:v>#N/A</x:v>
      </x:c>
      <x:c r="K1839" s="43" t="e">
        <x:v>#N/A</x:v>
      </x:c>
      <x:c r="L1839" s="43" t="e">
        <x:v>#N/A</x:v>
      </x:c>
    </x:row>
    <x:row r="1840">
      <x:c r="A1840" s="18" t="s">
        <x:v>3959</x:v>
      </x:c>
      <x:c r="B1840" s="41" t="s">
        <x:v>3965</x:v>
      </x:c>
      <x:c r="C1840" s="42" t="e">
        <x:v>#N/A</x:v>
      </x:c>
      <x:c r="D1840" s="20">
        <x:v>18.100000000000001</x:v>
      </x:c>
      <x:c r="E1840" s="18" t="s">
        <x:v>227</x:v>
      </x:c>
      <x:c r="F1840" s="19" t="s">
        <x:v>11</x:v>
      </x:c>
      <x:c r="G1840" s="20">
        <x:v>18.100000000000001</x:v>
      </x:c>
      <x:c r="H1840" s="21"/>
      <x:c r="I1840" s="21"/>
      <x:c r="J1840" s="43" t="e">
        <x:v>#N/A</x:v>
      </x:c>
      <x:c r="K1840" s="43" t="e">
        <x:v>#N/A</x:v>
      </x:c>
      <x:c r="L1840" s="43" t="e">
        <x:v>#N/A</x:v>
      </x:c>
    </x:row>
    <x:row r="1841">
      <x:c r="A1841" s="18" t="s">
        <x:v>3959</x:v>
      </x:c>
      <x:c r="B1841" s="41" t="s">
        <x:v>3966</x:v>
      </x:c>
      <x:c r="C1841" s="42" t="e">
        <x:v>#N/A</x:v>
      </x:c>
      <x:c r="D1841" s="20">
        <x:v>1470.8</x:v>
      </x:c>
      <x:c r="E1841" s="18" t="s">
        <x:v>227</x:v>
      </x:c>
      <x:c r="F1841" s="19" t="s">
        <x:v>11</x:v>
      </x:c>
      <x:c r="G1841" s="20">
        <x:v>1470.8</x:v>
      </x:c>
      <x:c r="H1841" s="21"/>
      <x:c r="I1841" s="21"/>
      <x:c r="J1841" s="43" t="e">
        <x:v>#N/A</x:v>
      </x:c>
      <x:c r="K1841" s="43" t="e">
        <x:v>#N/A</x:v>
      </x:c>
      <x:c r="L1841" s="43" t="e">
        <x:v>#N/A</x:v>
      </x:c>
    </x:row>
    <x:row r="1842">
      <x:c r="A1842" s="18" t="s">
        <x:v>3959</x:v>
      </x:c>
      <x:c r="B1842" s="41" t="s">
        <x:v>3967</x:v>
      </x:c>
      <x:c r="C1842" s="42" t="e">
        <x:v>#N/A</x:v>
      </x:c>
      <x:c r="D1842" s="20">
        <x:v>1479.58</x:v>
      </x:c>
      <x:c r="E1842" s="18" t="s">
        <x:v>227</x:v>
      </x:c>
      <x:c r="F1842" s="19" t="s">
        <x:v>11</x:v>
      </x:c>
      <x:c r="G1842" s="20">
        <x:v>1479.6</x:v>
      </x:c>
      <x:c r="H1842" s="21"/>
      <x:c r="I1842" s="21"/>
      <x:c r="J1842" s="43" t="e">
        <x:v>#N/A</x:v>
      </x:c>
      <x:c r="K1842" s="43" t="e">
        <x:v>#N/A</x:v>
      </x:c>
      <x:c r="L1842" s="43" t="e">
        <x:v>#N/A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4.3984375" defaultRowHeight="15"/>
  <x:cols>
    <x:col min="1" max="1" width="8" customWidth="1"/>
    <x:col min="2" max="2" width="27" customWidth="1"/>
    <x:col min="3" max="3" width="54" customWidth="1"/>
    <x:col min="4" max="4" width="6.19921875" customWidth="1"/>
    <x:col min="5" max="5" width="5.796875" customWidth="1"/>
    <x:col min="6" max="26" width="8" customWidth="1"/>
  </x:cols>
  <x:sheetData>
    <x:row r="1" ht="12.75" customHeight="1">
      <x:c r="C1" s="3" t="s">
        <x:v>3968</x:v>
      </x:c>
      <x:c r="D1" s="3">
        <x:v>873</x:v>
      </x:c>
      <x:c r="F1" s="3">
        <x:v>1</x:v>
      </x:c>
      <x:c r="G1" s="3" t="n">
        <x:f t="shared" ref="G1:G4" si="0">D1*F1</x:f>
        <x:v>873</x:v>
      </x:c>
    </x:row>
    <x:row r="2" ht="12.75" customHeight="1">
      <x:c r="A2" s="9">
        <x:v>1</x:v>
      </x:c>
      <x:c r="B2" s="10" t="s">
        <x:v>22</x:v>
      </x:c>
      <x:c r="C2" s="12" t="s">
        <x:v>3969</x:v>
      </x:c>
      <x:c r="D2" s="15">
        <x:v>2084</x:v>
      </x:c>
      <x:c r="E2" s="14" t="s">
        <x:v>11</x:v>
      </x:c>
      <x:c r="F2" s="3">
        <x:v>1</x:v>
      </x:c>
      <x:c r="G2" s="3">
        <x:f t="shared" si="0"/>
        <x:v>2084</x:v>
      </x:c>
      <x:c r="I2" s="3" t="n">
        <x:f>1152/32</x:f>
        <x:v>36</x:v>
      </x:c>
    </x:row>
    <x:row r="3" ht="12.75" customHeight="1">
      <x:c r="A3" s="9" t="n">
        <x:f t="shared" ref="A3:A4" si="1">A2+1</x:f>
        <x:v>2</x:v>
      </x:c>
      <x:c r="B3" s="10" t="s">
        <x:v>22</x:v>
      </x:c>
      <x:c r="C3" s="12" t="s">
        <x:v>3970</x:v>
      </x:c>
      <x:c r="D3" s="15">
        <x:v>441</x:v>
      </x:c>
      <x:c r="E3" s="14" t="s">
        <x:v>11</x:v>
      </x:c>
      <x:c r="F3" s="3">
        <x:v>2</x:v>
      </x:c>
      <x:c r="G3" s="3">
        <x:f t="shared" si="0"/>
        <x:v>882</x:v>
      </x:c>
    </x:row>
    <x:row r="4" ht="12.75" customHeight="1">
      <x:c r="A4" s="9">
        <x:f t="shared" si="1"/>
        <x:v>3</x:v>
      </x:c>
      <x:c r="B4" s="10" t="s">
        <x:v>9</x:v>
      </x:c>
      <x:c r="C4" s="12" t="s">
        <x:v>1970</x:v>
      </x:c>
      <x:c r="D4" s="15">
        <x:v>130</x:v>
      </x:c>
      <x:c r="E4" s="14" t="s">
        <x:v>236</x:v>
      </x:c>
      <x:c r="F4" s="3" t="n">
        <x:f>F2</x:f>
        <x:v>1</x:v>
      </x:c>
      <x:c r="G4" s="3">
        <x:f t="shared" si="0"/>
        <x:v>130</x:v>
      </x:c>
      <x:c r="H4" s="3" t="n">
        <x:f>1/32</x:f>
        <x:v>0.03125</x:v>
      </x:c>
    </x:row>
    <x:row r="5" ht="12.75" customHeight="1">
      <x:c r="G5" s="3" t="n">
        <x:f>SUM(G2:G4)</x:f>
        <x:v>3096</x:v>
      </x:c>
      <x:c r="H5" s="3" t="n">
        <x:f>G5/32</x:f>
        <x:v>96.75</x:v>
      </x:c>
      <x:c r="I5" s="3">
        <x:v>36</x:v>
      </x:c>
      <x:c r="J5" s="3" t="n">
        <x:f>H5+I5</x:f>
        <x:v>132.75</x:v>
      </x:c>
    </x:row>
    <x:row r="6" ht="12.75" customHeight="1"/>
    <x:row r="7" ht="12.75" customHeight="1">
      <x:c r="C7" s="3" t="s">
        <x:v>3971</x:v>
      </x:c>
      <x:c r="G7" s="3">
        <x:v>1120</x:v>
      </x:c>
    </x:row>
    <x:row r="8" ht="12.75" customHeight="1">
      <x:c r="C8" s="3" t="s">
        <x:v>3972</x:v>
      </x:c>
      <x:c r="D8" s="27">
        <x:v>2323</x:v>
      </x:c>
      <x:c r="F8" s="3">
        <x:v>1</x:v>
      </x:c>
      <x:c r="G8" s="3" t="n">
        <x:f t="shared" ref="G8:G11" si="2">D8*F8</x:f>
        <x:v>2323</x:v>
      </x:c>
    </x:row>
    <x:row r="9" ht="12.75" customHeight="1">
      <x:c r="A9" s="9">
        <x:v>1</x:v>
      </x:c>
      <x:c r="B9" s="10" t="s">
        <x:v>3973</x:v>
      </x:c>
      <x:c r="C9" s="12" t="s">
        <x:v>2636</x:v>
      </x:c>
      <x:c r="D9" s="15">
        <x:v>2516</x:v>
      </x:c>
      <x:c r="E9" s="14" t="s">
        <x:v>11</x:v>
      </x:c>
      <x:c r="F9" s="3">
        <x:v>1</x:v>
      </x:c>
      <x:c r="G9" s="3">
        <x:f t="shared" si="2"/>
        <x:v>2516</x:v>
      </x:c>
    </x:row>
    <x:row r="10" ht="12.75" customHeight="1">
      <x:c r="A10" s="9" t="n">
        <x:f t="shared" ref="A10:A11" si="3">A9+1</x:f>
        <x:v>2</x:v>
      </x:c>
      <x:c r="B10" s="10" t="s">
        <x:v>3973</x:v>
      </x:c>
      <x:c r="C10" s="12" t="s">
        <x:v>3970</x:v>
      </x:c>
      <x:c r="D10" s="15">
        <x:v>441</x:v>
      </x:c>
      <x:c r="E10" s="14" t="s">
        <x:v>11</x:v>
      </x:c>
      <x:c r="F10" s="3">
        <x:v>2</x:v>
      </x:c>
      <x:c r="G10" s="3">
        <x:f t="shared" si="2"/>
        <x:v>882</x:v>
      </x:c>
    </x:row>
    <x:row r="11" ht="12.75" customHeight="1">
      <x:c r="A11" s="9">
        <x:f t="shared" si="3"/>
        <x:v>3</x:v>
      </x:c>
      <x:c r="B11" s="10" t="s">
        <x:v>3973</x:v>
      </x:c>
      <x:c r="C11" s="12" t="s">
        <x:v>1970</x:v>
      </x:c>
      <x:c r="D11" s="15">
        <x:v>130</x:v>
      </x:c>
      <x:c r="E11" s="14" t="s">
        <x:v>236</x:v>
      </x:c>
      <x:c r="F11" s="3" t="n">
        <x:f>F9</x:f>
        <x:v>1</x:v>
      </x:c>
      <x:c r="G11" s="3">
        <x:f t="shared" si="2"/>
        <x:v>130</x:v>
      </x:c>
      <x:c r="H11" s="3" t="n">
        <x:f>1/32</x:f>
        <x:v>0.03125</x:v>
      </x:c>
    </x:row>
    <x:row r="12" ht="12.75" customHeight="1">
      <x:c r="G12" s="3" t="n">
        <x:f>SUM(G9:G11)</x:f>
        <x:v>3528</x:v>
      </x:c>
      <x:c r="H12" s="3" t="n">
        <x:f>G12/32</x:f>
        <x:v>110.25</x:v>
      </x:c>
    </x:row>
    <x:row r="13" ht="12.75" customHeight="1"/>
    <x:row r="14" ht="12.75" customHeight="1">
      <x:c r="A14" s="9">
        <x:v>1</x:v>
      </x:c>
      <x:c r="B14" s="10" t="s">
        <x:v>27</x:v>
      </x:c>
      <x:c r="C14" s="12" t="s">
        <x:v>3974</x:v>
      </x:c>
      <x:c r="D14" s="15">
        <x:v>768</x:v>
      </x:c>
      <x:c r="E14" s="14" t="s">
        <x:v>11</x:v>
      </x:c>
      <x:c r="F14" s="3">
        <x:v>1</x:v>
      </x:c>
      <x:c r="G14" s="3" t="n">
        <x:f t="shared" ref="G14:G16" si="4">D14*F14</x:f>
        <x:v>768</x:v>
      </x:c>
    </x:row>
    <x:row r="15" ht="12.75" customHeight="1">
      <x:c r="A15" s="9" t="n">
        <x:f t="shared" ref="A15:A16" si="5">A14+1</x:f>
        <x:v>2</x:v>
      </x:c>
      <x:c r="B15" s="10" t="s">
        <x:v>27</x:v>
      </x:c>
      <x:c r="C15" s="12" t="s">
        <x:v>3970</x:v>
      </x:c>
      <x:c r="D15" s="15">
        <x:v>441</x:v>
      </x:c>
      <x:c r="E15" s="14" t="s">
        <x:v>11</x:v>
      </x:c>
      <x:c r="F15" s="3">
        <x:v>2</x:v>
      </x:c>
      <x:c r="G15" s="3">
        <x:f t="shared" si="4"/>
        <x:v>882</x:v>
      </x:c>
    </x:row>
    <x:row r="16" ht="12.75" customHeight="1">
      <x:c r="A16" s="9">
        <x:f t="shared" si="5"/>
        <x:v>3</x:v>
      </x:c>
      <x:c r="B16" s="10" t="s">
        <x:v>27</x:v>
      </x:c>
      <x:c r="C16" s="12" t="s">
        <x:v>1970</x:v>
      </x:c>
      <x:c r="D16" s="15">
        <x:v>130</x:v>
      </x:c>
      <x:c r="E16" s="14" t="s">
        <x:v>236</x:v>
      </x:c>
      <x:c r="F16" s="3" t="n">
        <x:f>F14</x:f>
        <x:v>1</x:v>
      </x:c>
      <x:c r="G16" s="3">
        <x:f t="shared" si="4"/>
        <x:v>130</x:v>
      </x:c>
      <x:c r="H16" s="3" t="n">
        <x:f>1/32</x:f>
        <x:v>0.03125</x:v>
      </x:c>
    </x:row>
    <x:row r="17" ht="12.75" customHeight="1">
      <x:c r="G17" s="3" t="n">
        <x:f>SUM(G14:G16)</x:f>
        <x:v>1780</x:v>
      </x:c>
      <x:c r="H17" s="3" t="n">
        <x:f>G17/32</x:f>
        <x:v>55.625</x:v>
      </x:c>
    </x:row>
    <x:row r="18" ht="12.75" customHeight="1"/>
    <x:row r="19" ht="12.75" customHeight="1">
      <x:c r="A19" s="9">
        <x:v>1</x:v>
      </x:c>
      <x:c r="B19" s="10" t="s">
        <x:v>31</x:v>
      </x:c>
      <x:c r="C19" s="12" t="s">
        <x:v>3975</x:v>
      </x:c>
      <x:c r="D19" s="15">
        <x:v>1328</x:v>
      </x:c>
      <x:c r="E19" s="14" t="s">
        <x:v>11</x:v>
      </x:c>
      <x:c r="F19" s="3">
        <x:v>1</x:v>
      </x:c>
      <x:c r="G19" s="3" t="n">
        <x:f t="shared" ref="G19:G21" si="6">D19*F19</x:f>
        <x:v>1328</x:v>
      </x:c>
    </x:row>
    <x:row r="20" ht="12.75" customHeight="1">
      <x:c r="A20" s="9" t="n">
        <x:f t="shared" ref="A20:A21" si="7">A19+1</x:f>
        <x:v>2</x:v>
      </x:c>
      <x:c r="B20" s="10" t="s">
        <x:v>31</x:v>
      </x:c>
      <x:c r="C20" s="12" t="s">
        <x:v>3970</x:v>
      </x:c>
      <x:c r="D20" s="15">
        <x:v>441</x:v>
      </x:c>
      <x:c r="E20" s="14" t="s">
        <x:v>11</x:v>
      </x:c>
      <x:c r="F20" s="3">
        <x:v>2</x:v>
      </x:c>
      <x:c r="G20" s="3">
        <x:f t="shared" si="6"/>
        <x:v>882</x:v>
      </x:c>
    </x:row>
    <x:row r="21" ht="12.75" customHeight="1">
      <x:c r="A21" s="9">
        <x:f t="shared" si="7"/>
        <x:v>3</x:v>
      </x:c>
      <x:c r="B21" s="10" t="s">
        <x:v>31</x:v>
      </x:c>
      <x:c r="C21" s="12" t="s">
        <x:v>1970</x:v>
      </x:c>
      <x:c r="D21" s="15">
        <x:v>130</x:v>
      </x:c>
      <x:c r="E21" s="14" t="s">
        <x:v>236</x:v>
      </x:c>
      <x:c r="F21" s="3" t="n">
        <x:f>F19</x:f>
        <x:v>1</x:v>
      </x:c>
      <x:c r="G21" s="3">
        <x:f t="shared" si="6"/>
        <x:v>130</x:v>
      </x:c>
      <x:c r="H21" s="3" t="n">
        <x:f>1/32</x:f>
        <x:v>0.03125</x:v>
      </x:c>
    </x:row>
    <x:row r="22" ht="12.75" customHeight="1">
      <x:c r="G22" s="3" t="n">
        <x:f>SUM(G19:G21)</x:f>
        <x:v>2340</x:v>
      </x:c>
    </x:row>
    <x:row r="23" ht="12.75" customHeight="1"/>
    <x:row r="24" ht="12.75" customHeight="1"/>
    <x:row r="25" ht="12.75" customHeight="1">
      <x:c r="A25" s="9">
        <x:v>1</x:v>
      </x:c>
      <x:c r="B25" s="10" t="s">
        <x:v>27</x:v>
      </x:c>
      <x:c r="C25" s="12" t="s">
        <x:v>3976</x:v>
      </x:c>
      <x:c r="D25" s="15">
        <x:v>512</x:v>
      </x:c>
      <x:c r="E25" s="14" t="s">
        <x:v>11</x:v>
      </x:c>
      <x:c r="F25" s="3">
        <x:v>1</x:v>
      </x:c>
      <x:c r="G25" s="3" t="n">
        <x:f t="shared" ref="G25:G27" si="8">D25*F25</x:f>
        <x:v>512</x:v>
      </x:c>
    </x:row>
    <x:row r="26" ht="12.75" customHeight="1">
      <x:c r="A26" s="9" t="n">
        <x:f t="shared" ref="A26:A27" si="9">A25+1</x:f>
        <x:v>2</x:v>
      </x:c>
      <x:c r="B26" s="10" t="s">
        <x:v>27</x:v>
      </x:c>
      <x:c r="C26" s="12" t="s">
        <x:v>3970</x:v>
      </x:c>
      <x:c r="D26" s="15">
        <x:v>441</x:v>
      </x:c>
      <x:c r="E26" s="14" t="s">
        <x:v>11</x:v>
      </x:c>
      <x:c r="F26" s="3">
        <x:v>2</x:v>
      </x:c>
      <x:c r="G26" s="3">
        <x:f t="shared" si="8"/>
        <x:v>882</x:v>
      </x:c>
    </x:row>
    <x:row r="27" ht="12.75" customHeight="1">
      <x:c r="A27" s="9">
        <x:f t="shared" si="9"/>
        <x:v>3</x:v>
      </x:c>
      <x:c r="B27" s="10" t="s">
        <x:v>27</x:v>
      </x:c>
      <x:c r="C27" s="12" t="s">
        <x:v>1970</x:v>
      </x:c>
      <x:c r="D27" s="15">
        <x:v>130</x:v>
      </x:c>
      <x:c r="E27" s="14" t="s">
        <x:v>236</x:v>
      </x:c>
      <x:c r="F27" s="3" t="n">
        <x:f>F25</x:f>
        <x:v>1</x:v>
      </x:c>
      <x:c r="G27" s="3">
        <x:f t="shared" si="8"/>
        <x:v>130</x:v>
      </x:c>
      <x:c r="H27" s="3" t="n">
        <x:f>1/32</x:f>
        <x:v>0.03125</x:v>
      </x:c>
    </x:row>
    <x:row r="28" ht="12.75" customHeight="1">
      <x:c r="G28" s="3" t="n">
        <x:f>SUM(G25:G27)</x:f>
        <x:v>1524</x:v>
      </x:c>
      <x:c r="H28" s="3" t="n">
        <x:f>G28/32</x:f>
        <x:v>47.625</x:v>
      </x:c>
    </x:row>
    <x:row r="29" ht="12.75" customHeight="1"/>
    <x:row r="30" ht="12.75" customHeight="1">
      <x:c r="A30" s="9">
        <x:v>1</x:v>
      </x:c>
      <x:c r="B30" s="10" t="s">
        <x:v>31</x:v>
      </x:c>
      <x:c r="C30" s="12" t="s">
        <x:v>3975</x:v>
      </x:c>
      <x:c r="D30" s="15">
        <x:v>1328</x:v>
      </x:c>
      <x:c r="E30" s="14" t="s">
        <x:v>11</x:v>
      </x:c>
      <x:c r="F30" s="3">
        <x:v>1</x:v>
      </x:c>
      <x:c r="G30" s="3" t="n">
        <x:f t="shared" ref="G30:G32" si="10">D30*F30</x:f>
        <x:v>1328</x:v>
      </x:c>
    </x:row>
    <x:row r="31" ht="12.75" customHeight="1">
      <x:c r="A31" s="9" t="n">
        <x:f t="shared" ref="A31:A32" si="11">A30+1</x:f>
        <x:v>2</x:v>
      </x:c>
      <x:c r="B31" s="10" t="s">
        <x:v>31</x:v>
      </x:c>
      <x:c r="C31" s="12" t="s">
        <x:v>3970</x:v>
      </x:c>
      <x:c r="D31" s="15">
        <x:v>441</x:v>
      </x:c>
      <x:c r="E31" s="14" t="s">
        <x:v>11</x:v>
      </x:c>
      <x:c r="F31" s="3">
        <x:v>2</x:v>
      </x:c>
      <x:c r="G31" s="3">
        <x:f t="shared" si="10"/>
        <x:v>882</x:v>
      </x:c>
    </x:row>
    <x:row r="32" ht="12.75" customHeight="1">
      <x:c r="A32" s="9">
        <x:f t="shared" si="11"/>
        <x:v>3</x:v>
      </x:c>
      <x:c r="B32" s="10" t="s">
        <x:v>31</x:v>
      </x:c>
      <x:c r="C32" s="12" t="s">
        <x:v>1970</x:v>
      </x:c>
      <x:c r="D32" s="15">
        <x:v>130</x:v>
      </x:c>
      <x:c r="E32" s="14" t="s">
        <x:v>236</x:v>
      </x:c>
      <x:c r="F32" s="3" t="n">
        <x:f>F30</x:f>
        <x:v>1</x:v>
      </x:c>
      <x:c r="G32" s="3">
        <x:f t="shared" si="10"/>
        <x:v>130</x:v>
      </x:c>
    </x:row>
    <x:row r="33" ht="12.75" customHeight="1">
      <x:c r="G33" s="3" t="n">
        <x:f>SUM(G30:G32)</x:f>
        <x:v>2340</x:v>
      </x:c>
    </x:row>
    <x:row r="34" ht="12.75" customHeight="1"/>
    <x:row r="35" ht="12.75" customHeight="1"/>
    <x:row r="36" ht="12.75" customHeight="1"/>
    <x:row r="37" ht="12.75" customHeight="1"/>
    <x:row r="38" ht="12.75" customHeight="1"/>
    <x:row r="39" ht="12.75" customHeight="1"/>
    <x:row r="40" ht="12.75" customHeight="1"/>
    <x:row r="41" ht="12.75" customHeight="1"/>
    <x:row r="42" ht="12.75" customHeight="1"/>
    <x:row r="43" ht="12.75" customHeight="1"/>
    <x:row r="44" ht="12.75" customHeight="1"/>
    <x:row r="45" ht="12.75" customHeight="1"/>
    <x:row r="46" ht="12.75" customHeight="1"/>
    <x:row r="47" ht="12.75" customHeight="1"/>
    <x:row r="48" ht="12.75" customHeight="1"/>
    <x:row r="49" ht="12.75" customHeight="1"/>
    <x:row r="50" ht="12.75" customHeight="1"/>
    <x:row r="51" ht="12.75" customHeight="1"/>
    <x:row r="52" ht="12.75" customHeight="1"/>
    <x:row r="53" ht="12.75" customHeight="1"/>
    <x:row r="54" ht="12.75" customHeight="1"/>
    <x:row r="55" ht="12.75" customHeight="1"/>
    <x:row r="56" ht="12.75" customHeight="1"/>
    <x:row r="57" ht="12.75" customHeight="1"/>
    <x:row r="58" ht="12.75" customHeight="1"/>
    <x:row r="59" ht="12.75" customHeight="1"/>
    <x:row r="60" ht="12.75" customHeight="1"/>
    <x:row r="61" ht="12.75" customHeight="1"/>
    <x:row r="62" ht="12.75" customHeight="1"/>
    <x:row r="63" ht="12.75" customHeight="1"/>
    <x:row r="64" ht="12.75" customHeight="1"/>
    <x:row r="65" ht="12.75" customHeight="1"/>
    <x:row r="66" ht="12.75" customHeight="1"/>
    <x:row r="67" ht="12.75" customHeight="1"/>
    <x:row r="68" ht="12.75" customHeight="1"/>
    <x:row r="69" ht="12.75" customHeight="1"/>
    <x:row r="70" ht="12.75" customHeight="1"/>
    <x:row r="71" ht="12.75" customHeight="1"/>
    <x:row r="72" ht="12.75" customHeight="1"/>
    <x:row r="73" ht="12.75" customHeight="1"/>
    <x:row r="74" ht="12.75" customHeight="1"/>
    <x:row r="75" ht="12.75" customHeight="1"/>
    <x:row r="76" ht="12.75" customHeight="1"/>
    <x:row r="77" ht="12.75" customHeight="1"/>
    <x:row r="78" ht="12.75" customHeight="1"/>
    <x:row r="79" ht="12.75" customHeight="1"/>
    <x:row r="80" ht="12.75" customHeight="1"/>
    <x:row r="81" ht="12.75" customHeight="1"/>
    <x:row r="82" ht="12.75" customHeight="1"/>
    <x:row r="83" ht="12.75" customHeight="1"/>
    <x:row r="84" ht="12.75" customHeight="1"/>
    <x:row r="85" ht="12.75" customHeight="1"/>
    <x:row r="86" ht="12.75" customHeight="1"/>
    <x:row r="87" ht="12.75" customHeight="1"/>
    <x:row r="88" ht="12.75" customHeight="1"/>
    <x:row r="89" ht="12.75" customHeight="1"/>
    <x:row r="90" ht="12.75" customHeight="1"/>
    <x:row r="91" ht="12.75" customHeight="1"/>
    <x:row r="92" ht="12.75" customHeight="1"/>
    <x:row r="93" ht="12.75" customHeight="1"/>
    <x:row r="94" ht="12.75" customHeight="1"/>
    <x:row r="95" ht="12.75" customHeight="1"/>
    <x:row r="96" ht="12.75" customHeight="1"/>
    <x:row r="97" ht="12.75" customHeight="1"/>
    <x:row r="98" ht="12.75" customHeight="1"/>
    <x:row r="99" ht="12.75" customHeight="1"/>
    <x:row r="100" ht="12.75" customHeight="1"/>
    <x:row r="101" ht="12.75" customHeight="1"/>
    <x:row r="102" ht="12.75" customHeight="1"/>
    <x:row r="103" ht="12.75" customHeight="1"/>
    <x:row r="104" ht="12.75" customHeight="1"/>
    <x:row r="105" ht="12.75" customHeight="1"/>
    <x:row r="106" ht="12.75" customHeight="1"/>
    <x:row r="107" ht="12.75" customHeight="1"/>
    <x:row r="108" ht="12.75" customHeight="1"/>
    <x:row r="109" ht="12.75" customHeight="1"/>
    <x:row r="110" ht="12.75" customHeight="1"/>
    <x:row r="111" ht="12.75" customHeight="1"/>
    <x:row r="112" ht="12.75" customHeight="1"/>
    <x:row r="113" ht="12.75" customHeight="1"/>
    <x:row r="114" ht="12.75" customHeight="1"/>
    <x:row r="115" ht="12.75" customHeight="1"/>
    <x:row r="116" ht="12.75" customHeight="1"/>
    <x:row r="117" ht="12.75" customHeight="1"/>
    <x:row r="118" ht="12.75" customHeight="1"/>
    <x:row r="119" ht="12.75" customHeight="1"/>
    <x:row r="120" ht="12.75" customHeight="1"/>
    <x:row r="121" ht="12.75" customHeight="1"/>
    <x:row r="122" ht="12.75" customHeight="1"/>
    <x:row r="123" ht="12.75" customHeight="1"/>
    <x:row r="124" ht="12.75" customHeight="1"/>
    <x:row r="125" ht="12.75" customHeight="1"/>
    <x:row r="126" ht="12.75" customHeight="1"/>
    <x:row r="127" ht="12.75" customHeight="1"/>
    <x:row r="128" ht="12.75" customHeight="1"/>
    <x:row r="129" ht="12.75" customHeight="1"/>
    <x:row r="130" ht="12.75" customHeight="1"/>
    <x:row r="131" ht="12.75" customHeight="1"/>
    <x:row r="132" ht="12.75" customHeight="1"/>
    <x:row r="133" ht="12.75" customHeight="1"/>
    <x:row r="134" ht="12.75" customHeight="1"/>
    <x:row r="135" ht="12.75" customHeight="1"/>
    <x:row r="136" ht="12.75" customHeight="1"/>
    <x:row r="137" ht="12.75" customHeight="1"/>
    <x:row r="138" ht="12.75" customHeight="1"/>
    <x:row r="139" ht="12.75" customHeight="1"/>
    <x:row r="140" ht="12.75" customHeight="1"/>
    <x:row r="141" ht="12.75" customHeight="1"/>
    <x:row r="142" ht="12.75" customHeight="1"/>
    <x:row r="143" ht="12.75" customHeight="1"/>
    <x:row r="144" ht="12.75" customHeight="1"/>
    <x:row r="145" ht="12.75" customHeight="1"/>
    <x:row r="146" ht="12.75" customHeight="1"/>
    <x:row r="147" ht="12.75" customHeight="1"/>
    <x:row r="148" ht="12.75" customHeight="1"/>
    <x:row r="149" ht="12.75" customHeight="1"/>
    <x:row r="150" ht="12.75" customHeight="1"/>
    <x:row r="151" ht="12.75" customHeight="1"/>
    <x:row r="152" ht="12.75" customHeight="1"/>
    <x:row r="153" ht="12.75" customHeight="1"/>
    <x:row r="154" ht="12.75" customHeight="1"/>
    <x:row r="155" ht="12.75" customHeight="1"/>
    <x:row r="156" ht="12.75" customHeight="1"/>
    <x:row r="157" ht="12.75" customHeight="1"/>
    <x:row r="158" ht="12.75" customHeight="1"/>
    <x:row r="159" ht="12.75" customHeight="1"/>
    <x:row r="160" ht="12.75" customHeight="1"/>
    <x:row r="161" ht="12.75" customHeight="1"/>
    <x:row r="162" ht="12.75" customHeight="1"/>
    <x:row r="163" ht="12.75" customHeight="1"/>
    <x:row r="164" ht="12.75" customHeight="1"/>
    <x:row r="165" ht="12.75" customHeight="1"/>
    <x:row r="166" ht="12.75" customHeight="1"/>
    <x:row r="167" ht="12.75" customHeight="1"/>
    <x:row r="168" ht="12.75" customHeight="1"/>
    <x:row r="169" ht="12.75" customHeight="1"/>
    <x:row r="170" ht="12.75" customHeight="1"/>
    <x:row r="171" ht="12.75" customHeight="1"/>
    <x:row r="172" ht="12.75" customHeight="1"/>
    <x:row r="173" ht="12.75" customHeight="1"/>
    <x:row r="174" ht="12.75" customHeight="1"/>
    <x:row r="175" ht="12.75" customHeight="1"/>
    <x:row r="176" ht="12.75" customHeight="1"/>
    <x:row r="177" ht="12.75" customHeight="1"/>
    <x:row r="178" ht="12.75" customHeight="1"/>
    <x:row r="179" ht="12.75" customHeight="1"/>
    <x:row r="180" ht="12.75" customHeight="1"/>
    <x:row r="181" ht="12.75" customHeight="1"/>
    <x:row r="182" ht="12.75" customHeight="1"/>
    <x:row r="183" ht="12.75" customHeight="1"/>
    <x:row r="184" ht="12.75" customHeight="1"/>
    <x:row r="185" ht="12.75" customHeight="1"/>
    <x:row r="186" ht="12.75" customHeight="1"/>
    <x:row r="187" ht="12.75" customHeight="1"/>
    <x:row r="188" ht="12.75" customHeight="1"/>
    <x:row r="189" ht="12.75" customHeight="1"/>
    <x:row r="190" ht="12.75" customHeight="1"/>
    <x:row r="191" ht="12.75" customHeight="1"/>
    <x:row r="192" ht="12.75" customHeight="1"/>
    <x:row r="193" ht="12.75" customHeight="1"/>
    <x:row r="194" ht="12.75" customHeight="1"/>
    <x:row r="195" ht="12.75" customHeight="1"/>
    <x:row r="196" ht="12.75" customHeight="1"/>
    <x:row r="197" ht="12.75" customHeight="1"/>
    <x:row r="198" ht="12.75" customHeight="1"/>
    <x:row r="199" ht="12.75" customHeight="1"/>
    <x:row r="200" ht="12.75" customHeight="1"/>
    <x:row r="201" ht="12.75" customHeight="1"/>
    <x:row r="202" ht="12.75" customHeight="1"/>
    <x:row r="203" ht="12.75" customHeight="1"/>
    <x:row r="204" ht="12.75" customHeight="1"/>
    <x:row r="205" ht="12.75" customHeight="1"/>
    <x:row r="206" ht="12.75" customHeight="1"/>
    <x:row r="207" ht="12.75" customHeight="1"/>
    <x:row r="208" ht="12.75" customHeight="1"/>
    <x:row r="209" ht="12.75" customHeight="1"/>
    <x:row r="210" ht="12.75" customHeight="1"/>
    <x:row r="211" ht="12.75" customHeight="1"/>
    <x:row r="212" ht="12.75" customHeight="1"/>
    <x:row r="213" ht="12.75" customHeight="1"/>
    <x:row r="214" ht="12.75" customHeight="1"/>
    <x:row r="215" ht="12.75" customHeight="1"/>
    <x:row r="216" ht="12.75" customHeight="1"/>
    <x:row r="217" ht="12.75" customHeight="1"/>
    <x:row r="218" ht="12.75" customHeight="1"/>
    <x:row r="219" ht="12.75" customHeight="1"/>
    <x:row r="220" ht="12.75" customHeight="1"/>
    <x:row r="221" ht="12.75" customHeight="1"/>
    <x:row r="222" ht="12.75" customHeight="1"/>
    <x:row r="223" ht="12.75" customHeight="1"/>
    <x:row r="224" ht="12.75" customHeight="1"/>
    <x:row r="225" ht="12.75" customHeight="1"/>
    <x:row r="226" ht="12.75" customHeight="1"/>
    <x:row r="227" ht="12.75" customHeight="1"/>
    <x:row r="228" ht="12.75" customHeight="1"/>
    <x:row r="229" ht="12.75" customHeight="1"/>
    <x:row r="230" ht="12.75" customHeight="1"/>
    <x:row r="231" ht="12.75" customHeight="1"/>
    <x:row r="232" ht="12.75" customHeight="1"/>
    <x:row r="233" ht="12.75" customHeight="1"/>
    <x:row r="234" ht="12.75" customHeight="1"/>
    <x:row r="235" ht="12.75" customHeight="1"/>
    <x:row r="236" ht="12.75" customHeight="1"/>
    <x:row r="237" ht="12.75" customHeight="1"/>
    <x:row r="238" ht="12.75" customHeight="1"/>
    <x:row r="239" ht="12.75" customHeight="1"/>
    <x:row r="240" ht="12.75" customHeight="1"/>
    <x:row r="241" ht="12.75" customHeight="1"/>
    <x:row r="242" ht="12.75" customHeight="1"/>
    <x:row r="243" ht="12.75" customHeight="1"/>
    <x:row r="244" ht="12.75" customHeight="1"/>
    <x:row r="245" ht="12.75" customHeight="1"/>
    <x:row r="246" ht="12.75" customHeight="1"/>
    <x:row r="247" ht="12.75" customHeight="1"/>
    <x:row r="248" ht="12.75" customHeight="1"/>
    <x:row r="249" ht="12.75" customHeight="1"/>
    <x:row r="250" ht="12.75" customHeight="1"/>
    <x:row r="251" ht="12.75" customHeight="1"/>
    <x:row r="252" ht="12.75" customHeight="1"/>
    <x:row r="253" ht="12.75" customHeight="1"/>
    <x:row r="254" ht="12.75" customHeight="1"/>
    <x:row r="255" ht="12.75" customHeight="1"/>
    <x:row r="256" ht="12.75" customHeight="1"/>
    <x:row r="257" ht="12.75" customHeight="1"/>
    <x:row r="258" ht="12.75" customHeight="1"/>
    <x:row r="259" ht="12.75" customHeight="1"/>
    <x:row r="260" ht="12.75" customHeight="1"/>
    <x:row r="261" ht="12.75" customHeight="1"/>
    <x:row r="262" ht="12.75" customHeight="1"/>
    <x:row r="263" ht="12.75" customHeight="1"/>
    <x:row r="264" ht="12.75" customHeight="1"/>
    <x:row r="265" ht="12.75" customHeight="1"/>
    <x:row r="266" ht="12.75" customHeight="1"/>
    <x:row r="267" ht="12.75" customHeight="1"/>
    <x:row r="268" ht="12.75" customHeight="1"/>
    <x:row r="269" ht="12.75" customHeight="1"/>
    <x:row r="270" ht="12.75" customHeight="1"/>
    <x:row r="271" ht="12.75" customHeight="1"/>
    <x:row r="272" ht="12.75" customHeight="1"/>
    <x:row r="273" ht="12.75" customHeight="1"/>
    <x:row r="274" ht="12.75" customHeight="1"/>
    <x:row r="275" ht="12.75" customHeight="1"/>
    <x:row r="276" ht="12.75" customHeight="1"/>
    <x:row r="277" ht="12.75" customHeight="1"/>
    <x:row r="278" ht="12.75" customHeight="1"/>
    <x:row r="279" ht="12.75" customHeight="1"/>
    <x:row r="280" ht="12.75" customHeight="1"/>
    <x:row r="281" ht="12.75" customHeight="1"/>
    <x:row r="282" ht="12.75" customHeight="1"/>
    <x:row r="283" ht="12.75" customHeight="1"/>
    <x:row r="284" ht="12.75" customHeight="1"/>
    <x:row r="285" ht="12.75" customHeight="1"/>
    <x:row r="286" ht="12.75" customHeight="1"/>
    <x:row r="287" ht="12.75" customHeight="1"/>
    <x:row r="288" ht="12.75" customHeight="1"/>
    <x:row r="289" ht="12.75" customHeight="1"/>
    <x:row r="290" ht="12.75" customHeight="1"/>
    <x:row r="291" ht="12.75" customHeight="1"/>
    <x:row r="292" ht="12.75" customHeight="1"/>
    <x:row r="293" ht="12.75" customHeight="1"/>
    <x:row r="294" ht="12.75" customHeight="1"/>
    <x:row r="295" ht="12.75" customHeight="1"/>
    <x:row r="296" ht="12.75" customHeight="1"/>
    <x:row r="297" ht="12.75" customHeight="1"/>
    <x:row r="298" ht="12.75" customHeight="1"/>
    <x:row r="299" ht="12.75" customHeight="1"/>
    <x:row r="300" ht="12.75" customHeight="1"/>
    <x:row r="301" ht="12.75" customHeight="1"/>
    <x:row r="302" ht="12.75" customHeight="1"/>
    <x:row r="303" ht="12.75" customHeight="1"/>
    <x:row r="304" ht="12.75" customHeight="1"/>
    <x:row r="305" ht="12.75" customHeight="1"/>
    <x:row r="306" ht="12.75" customHeight="1"/>
    <x:row r="307" ht="12.75" customHeight="1"/>
    <x:row r="308" ht="12.75" customHeight="1"/>
    <x:row r="309" ht="12.75" customHeight="1"/>
    <x:row r="310" ht="12.75" customHeight="1"/>
    <x:row r="311" ht="12.75" customHeight="1"/>
    <x:row r="312" ht="12.75" customHeight="1"/>
    <x:row r="313" ht="12.75" customHeight="1"/>
    <x:row r="314" ht="12.75" customHeight="1"/>
    <x:row r="315" ht="12.75" customHeight="1"/>
    <x:row r="316" ht="12.75" customHeight="1"/>
    <x:row r="317" ht="12.75" customHeight="1"/>
    <x:row r="318" ht="12.75" customHeight="1"/>
    <x:row r="319" ht="12.75" customHeight="1"/>
    <x:row r="320" ht="12.75" customHeight="1"/>
    <x:row r="321" ht="12.75" customHeight="1"/>
    <x:row r="322" ht="12.75" customHeight="1"/>
    <x:row r="323" ht="12.75" customHeight="1"/>
    <x:row r="324" ht="12.75" customHeight="1"/>
    <x:row r="325" ht="12.75" customHeight="1"/>
    <x:row r="326" ht="12.75" customHeight="1"/>
    <x:row r="327" ht="12.75" customHeight="1"/>
    <x:row r="328" ht="12.75" customHeight="1"/>
    <x:row r="329" ht="12.75" customHeight="1"/>
    <x:row r="330" ht="12.75" customHeight="1"/>
    <x:row r="331" ht="12.75" customHeight="1"/>
    <x:row r="332" ht="12.75" customHeight="1"/>
    <x:row r="333" ht="12.75" customHeight="1"/>
    <x:row r="334" ht="12.75" customHeight="1"/>
    <x:row r="335" ht="12.75" customHeight="1"/>
    <x:row r="336" ht="12.75" customHeight="1"/>
    <x:row r="337" ht="12.75" customHeight="1"/>
    <x:row r="338" ht="12.75" customHeight="1"/>
    <x:row r="339" ht="12.75" customHeight="1"/>
    <x:row r="340" ht="12.75" customHeight="1"/>
    <x:row r="341" ht="12.75" customHeight="1"/>
    <x:row r="342" ht="12.75" customHeight="1"/>
    <x:row r="343" ht="12.75" customHeight="1"/>
    <x:row r="344" ht="12.75" customHeight="1"/>
    <x:row r="345" ht="12.75" customHeight="1"/>
    <x:row r="346" ht="12.75" customHeight="1"/>
    <x:row r="347" ht="12.75" customHeight="1"/>
    <x:row r="348" ht="12.75" customHeight="1"/>
    <x:row r="349" ht="12.75" customHeight="1"/>
    <x:row r="350" ht="12.75" customHeight="1"/>
    <x:row r="351" ht="12.75" customHeight="1"/>
    <x:row r="352" ht="12.75" customHeight="1"/>
    <x:row r="353" ht="12.75" customHeight="1"/>
    <x:row r="354" ht="12.75" customHeight="1"/>
    <x:row r="355" ht="12.75" customHeight="1"/>
    <x:row r="356" ht="12.75" customHeight="1"/>
    <x:row r="357" ht="12.75" customHeight="1"/>
    <x:row r="358" ht="12.75" customHeight="1"/>
    <x:row r="359" ht="12.75" customHeight="1"/>
    <x:row r="360" ht="12.75" customHeight="1"/>
    <x:row r="361" ht="12.75" customHeight="1"/>
    <x:row r="362" ht="12.75" customHeight="1"/>
    <x:row r="363" ht="12.75" customHeight="1"/>
    <x:row r="364" ht="12.75" customHeight="1"/>
    <x:row r="365" ht="12.75" customHeight="1"/>
    <x:row r="366" ht="12.75" customHeight="1"/>
    <x:row r="367" ht="12.75" customHeight="1"/>
    <x:row r="368" ht="12.75" customHeight="1"/>
    <x:row r="369" ht="12.75" customHeight="1"/>
    <x:row r="370" ht="12.75" customHeight="1"/>
    <x:row r="371" ht="12.75" customHeight="1"/>
    <x:row r="372" ht="12.75" customHeight="1"/>
    <x:row r="373" ht="12.75" customHeight="1"/>
    <x:row r="374" ht="12.75" customHeight="1"/>
    <x:row r="375" ht="12.75" customHeight="1"/>
    <x:row r="376" ht="12.75" customHeight="1"/>
    <x:row r="377" ht="12.75" customHeight="1"/>
    <x:row r="378" ht="12.75" customHeight="1"/>
    <x:row r="379" ht="12.75" customHeight="1"/>
    <x:row r="380" ht="12.75" customHeight="1"/>
    <x:row r="381" ht="12.75" customHeight="1"/>
    <x:row r="382" ht="12.75" customHeight="1"/>
    <x:row r="383" ht="12.75" customHeight="1"/>
    <x:row r="384" ht="12.75" customHeight="1"/>
    <x:row r="385" ht="12.75" customHeight="1"/>
    <x:row r="386" ht="12.75" customHeight="1"/>
    <x:row r="387" ht="12.75" customHeight="1"/>
    <x:row r="388" ht="12.75" customHeight="1"/>
    <x:row r="389" ht="12.75" customHeight="1"/>
    <x:row r="390" ht="12.75" customHeight="1"/>
    <x:row r="391" ht="12.75" customHeight="1"/>
    <x:row r="392" ht="12.75" customHeight="1"/>
    <x:row r="393" ht="12.75" customHeight="1"/>
    <x:row r="394" ht="12.75" customHeight="1"/>
    <x:row r="395" ht="12.75" customHeight="1"/>
    <x:row r="396" ht="12.75" customHeight="1"/>
    <x:row r="397" ht="12.75" customHeight="1"/>
    <x:row r="398" ht="12.75" customHeight="1"/>
    <x:row r="399" ht="12.75" customHeight="1"/>
    <x:row r="400" ht="12.75" customHeight="1"/>
    <x:row r="401" ht="12.75" customHeight="1"/>
    <x:row r="402" ht="12.75" customHeight="1"/>
    <x:row r="403" ht="12.75" customHeight="1"/>
    <x:row r="404" ht="12.75" customHeight="1"/>
    <x:row r="405" ht="12.75" customHeight="1"/>
    <x:row r="406" ht="12.75" customHeight="1"/>
    <x:row r="407" ht="12.75" customHeight="1"/>
    <x:row r="408" ht="12.75" customHeight="1"/>
    <x:row r="409" ht="12.75" customHeight="1"/>
    <x:row r="410" ht="12.75" customHeight="1"/>
    <x:row r="411" ht="12.75" customHeight="1"/>
    <x:row r="412" ht="12.75" customHeight="1"/>
    <x:row r="413" ht="12.75" customHeight="1"/>
    <x:row r="414" ht="12.75" customHeight="1"/>
    <x:row r="415" ht="12.75" customHeight="1"/>
    <x:row r="416" ht="12.75" customHeight="1"/>
    <x:row r="417" ht="12.75" customHeight="1"/>
    <x:row r="418" ht="12.75" customHeight="1"/>
    <x:row r="419" ht="12.75" customHeight="1"/>
    <x:row r="420" ht="12.75" customHeight="1"/>
    <x:row r="421" ht="12.75" customHeight="1"/>
    <x:row r="422" ht="12.75" customHeight="1"/>
    <x:row r="423" ht="12.75" customHeight="1"/>
    <x:row r="424" ht="12.75" customHeight="1"/>
    <x:row r="425" ht="12.75" customHeight="1"/>
    <x:row r="426" ht="12.75" customHeight="1"/>
    <x:row r="427" ht="12.75" customHeight="1"/>
    <x:row r="428" ht="12.75" customHeight="1"/>
    <x:row r="429" ht="12.75" customHeight="1"/>
    <x:row r="430" ht="12.75" customHeight="1"/>
    <x:row r="431" ht="12.75" customHeight="1"/>
    <x:row r="432" ht="12.75" customHeight="1"/>
    <x:row r="433" ht="12.75" customHeight="1"/>
    <x:row r="434" ht="12.75" customHeight="1"/>
    <x:row r="435" ht="12.75" customHeight="1"/>
    <x:row r="436" ht="12.75" customHeight="1"/>
    <x:row r="437" ht="12.75" customHeight="1"/>
    <x:row r="438" ht="12.75" customHeight="1"/>
    <x:row r="439" ht="12.75" customHeight="1"/>
    <x:row r="440" ht="12.75" customHeight="1"/>
    <x:row r="441" ht="12.75" customHeight="1"/>
    <x:row r="442" ht="12.75" customHeight="1"/>
    <x:row r="443" ht="12.75" customHeight="1"/>
    <x:row r="444" ht="12.75" customHeight="1"/>
    <x:row r="445" ht="12.75" customHeight="1"/>
    <x:row r="446" ht="12.75" customHeight="1"/>
    <x:row r="447" ht="12.75" customHeight="1"/>
    <x:row r="448" ht="12.75" customHeight="1"/>
    <x:row r="449" ht="12.75" customHeight="1"/>
    <x:row r="450" ht="12.75" customHeight="1"/>
    <x:row r="451" ht="12.75" customHeight="1"/>
    <x:row r="452" ht="12.75" customHeight="1"/>
    <x:row r="453" ht="12.75" customHeight="1"/>
    <x:row r="454" ht="12.75" customHeight="1"/>
    <x:row r="455" ht="12.75" customHeight="1"/>
    <x:row r="456" ht="12.75" customHeight="1"/>
    <x:row r="457" ht="12.75" customHeight="1"/>
    <x:row r="458" ht="12.75" customHeight="1"/>
    <x:row r="459" ht="12.75" customHeight="1"/>
    <x:row r="460" ht="12.75" customHeight="1"/>
    <x:row r="461" ht="12.75" customHeight="1"/>
    <x:row r="462" ht="12.75" customHeight="1"/>
    <x:row r="463" ht="12.75" customHeight="1"/>
    <x:row r="464" ht="12.75" customHeight="1"/>
    <x:row r="465" ht="12.75" customHeight="1"/>
    <x:row r="466" ht="12.75" customHeight="1"/>
    <x:row r="467" ht="12.75" customHeight="1"/>
    <x:row r="468" ht="12.75" customHeight="1"/>
    <x:row r="469" ht="12.75" customHeight="1"/>
    <x:row r="470" ht="12.75" customHeight="1"/>
    <x:row r="471" ht="12.75" customHeight="1"/>
    <x:row r="472" ht="12.75" customHeight="1"/>
    <x:row r="473" ht="12.75" customHeight="1"/>
    <x:row r="474" ht="12.75" customHeight="1"/>
    <x:row r="475" ht="12.75" customHeight="1"/>
    <x:row r="476" ht="12.75" customHeight="1"/>
    <x:row r="477" ht="12.75" customHeight="1"/>
    <x:row r="478" ht="12.75" customHeight="1"/>
    <x:row r="479" ht="12.75" customHeight="1"/>
    <x:row r="480" ht="12.75" customHeight="1"/>
    <x:row r="481" ht="12.75" customHeight="1"/>
    <x:row r="482" ht="12.75" customHeight="1"/>
    <x:row r="483" ht="12.75" customHeight="1"/>
    <x:row r="484" ht="12.75" customHeight="1"/>
    <x:row r="485" ht="12.75" customHeight="1"/>
    <x:row r="486" ht="12.75" customHeight="1"/>
    <x:row r="487" ht="12.75" customHeight="1"/>
    <x:row r="488" ht="12.75" customHeight="1"/>
    <x:row r="489" ht="12.75" customHeight="1"/>
    <x:row r="490" ht="12.75" customHeight="1"/>
    <x:row r="491" ht="12.75" customHeight="1"/>
    <x:row r="492" ht="12.75" customHeight="1"/>
    <x:row r="493" ht="12.75" customHeight="1"/>
    <x:row r="494" ht="12.75" customHeight="1"/>
    <x:row r="495" ht="12.75" customHeight="1"/>
    <x:row r="496" ht="12.75" customHeight="1"/>
    <x:row r="497" ht="12.75" customHeight="1"/>
    <x:row r="498" ht="12.75" customHeight="1"/>
    <x:row r="499" ht="12.75" customHeight="1"/>
    <x:row r="500" ht="12.75" customHeight="1"/>
    <x:row r="501" ht="12.75" customHeight="1"/>
    <x:row r="502" ht="12.75" customHeight="1"/>
    <x:row r="503" ht="12.75" customHeight="1"/>
    <x:row r="504" ht="12.75" customHeight="1"/>
    <x:row r="505" ht="12.75" customHeight="1"/>
    <x:row r="506" ht="12.75" customHeight="1"/>
    <x:row r="507" ht="12.75" customHeight="1"/>
    <x:row r="508" ht="12.75" customHeight="1"/>
    <x:row r="509" ht="12.75" customHeight="1"/>
    <x:row r="510" ht="12.75" customHeight="1"/>
    <x:row r="511" ht="12.75" customHeight="1"/>
    <x:row r="512" ht="12.75" customHeight="1"/>
    <x:row r="513" ht="12.75" customHeight="1"/>
    <x:row r="514" ht="12.75" customHeight="1"/>
    <x:row r="515" ht="12.75" customHeight="1"/>
    <x:row r="516" ht="12.75" customHeight="1"/>
    <x:row r="517" ht="12.75" customHeight="1"/>
    <x:row r="518" ht="12.75" customHeight="1"/>
    <x:row r="519" ht="12.75" customHeight="1"/>
    <x:row r="520" ht="12.75" customHeight="1"/>
    <x:row r="521" ht="12.75" customHeight="1"/>
    <x:row r="522" ht="12.75" customHeight="1"/>
    <x:row r="523" ht="12.75" customHeight="1"/>
    <x:row r="524" ht="12.75" customHeight="1"/>
    <x:row r="525" ht="12.75" customHeight="1"/>
    <x:row r="526" ht="12.75" customHeight="1"/>
    <x:row r="527" ht="12.75" customHeight="1"/>
    <x:row r="528" ht="12.75" customHeight="1"/>
    <x:row r="529" ht="12.75" customHeight="1"/>
    <x:row r="530" ht="12.75" customHeight="1"/>
    <x:row r="531" ht="12.75" customHeight="1"/>
    <x:row r="532" ht="12.75" customHeight="1"/>
    <x:row r="533" ht="12.75" customHeight="1"/>
    <x:row r="534" ht="12.75" customHeight="1"/>
    <x:row r="535" ht="12.75" customHeight="1"/>
    <x:row r="536" ht="12.75" customHeight="1"/>
    <x:row r="537" ht="12.75" customHeight="1"/>
    <x:row r="538" ht="12.75" customHeight="1"/>
    <x:row r="539" ht="12.75" customHeight="1"/>
    <x:row r="540" ht="12.75" customHeight="1"/>
    <x:row r="541" ht="12.75" customHeight="1"/>
    <x:row r="542" ht="12.75" customHeight="1"/>
    <x:row r="543" ht="12.75" customHeight="1"/>
    <x:row r="544" ht="12.75" customHeight="1"/>
    <x:row r="545" ht="12.75" customHeight="1"/>
    <x:row r="546" ht="12.75" customHeight="1"/>
    <x:row r="547" ht="12.75" customHeight="1"/>
    <x:row r="548" ht="12.75" customHeight="1"/>
    <x:row r="549" ht="12.75" customHeight="1"/>
    <x:row r="550" ht="12.75" customHeight="1"/>
    <x:row r="551" ht="12.75" customHeight="1"/>
    <x:row r="552" ht="12.75" customHeight="1"/>
    <x:row r="553" ht="12.75" customHeight="1"/>
    <x:row r="554" ht="12.75" customHeight="1"/>
    <x:row r="555" ht="12.75" customHeight="1"/>
    <x:row r="556" ht="12.75" customHeight="1"/>
    <x:row r="557" ht="12.75" customHeight="1"/>
    <x:row r="558" ht="12.75" customHeight="1"/>
    <x:row r="559" ht="12.75" customHeight="1"/>
    <x:row r="560" ht="12.75" customHeight="1"/>
    <x:row r="561" ht="12.75" customHeight="1"/>
    <x:row r="562" ht="12.75" customHeight="1"/>
    <x:row r="563" ht="12.75" customHeight="1"/>
    <x:row r="564" ht="12.75" customHeight="1"/>
    <x:row r="565" ht="12.75" customHeight="1"/>
    <x:row r="566" ht="12.75" customHeight="1"/>
    <x:row r="567" ht="12.75" customHeight="1"/>
    <x:row r="568" ht="12.75" customHeight="1"/>
    <x:row r="569" ht="12.75" customHeight="1"/>
    <x:row r="570" ht="12.75" customHeight="1"/>
    <x:row r="571" ht="12.75" customHeight="1"/>
    <x:row r="572" ht="12.75" customHeight="1"/>
    <x:row r="573" ht="12.75" customHeight="1"/>
    <x:row r="574" ht="12.75" customHeight="1"/>
    <x:row r="575" ht="12.75" customHeight="1"/>
    <x:row r="576" ht="12.75" customHeight="1"/>
    <x:row r="577" ht="12.75" customHeight="1"/>
    <x:row r="578" ht="12.75" customHeight="1"/>
    <x:row r="579" ht="12.75" customHeight="1"/>
    <x:row r="580" ht="12.75" customHeight="1"/>
    <x:row r="581" ht="12.75" customHeight="1"/>
    <x:row r="582" ht="12.75" customHeight="1"/>
    <x:row r="583" ht="12.75" customHeight="1"/>
    <x:row r="584" ht="12.75" customHeight="1"/>
    <x:row r="585" ht="12.75" customHeight="1"/>
    <x:row r="586" ht="12.75" customHeight="1"/>
    <x:row r="587" ht="12.75" customHeight="1"/>
    <x:row r="588" ht="12.75" customHeight="1"/>
    <x:row r="589" ht="12.75" customHeight="1"/>
    <x:row r="590" ht="12.75" customHeight="1"/>
    <x:row r="591" ht="12.75" customHeight="1"/>
    <x:row r="592" ht="12.75" customHeight="1"/>
    <x:row r="593" ht="12.75" customHeight="1"/>
    <x:row r="594" ht="12.75" customHeight="1"/>
    <x:row r="595" ht="12.75" customHeight="1"/>
    <x:row r="596" ht="12.75" customHeight="1"/>
    <x:row r="597" ht="12.75" customHeight="1"/>
    <x:row r="598" ht="12.75" customHeight="1"/>
    <x:row r="599" ht="12.75" customHeight="1"/>
    <x:row r="600" ht="12.75" customHeight="1"/>
    <x:row r="601" ht="12.75" customHeight="1"/>
    <x:row r="602" ht="12.75" customHeight="1"/>
    <x:row r="603" ht="12.75" customHeight="1"/>
    <x:row r="604" ht="12.75" customHeight="1"/>
    <x:row r="605" ht="12.75" customHeight="1"/>
    <x:row r="606" ht="12.75" customHeight="1"/>
    <x:row r="607" ht="12.75" customHeight="1"/>
    <x:row r="608" ht="12.75" customHeight="1"/>
    <x:row r="609" ht="12.75" customHeight="1"/>
    <x:row r="610" ht="12.75" customHeight="1"/>
    <x:row r="611" ht="12.75" customHeight="1"/>
    <x:row r="612" ht="12.75" customHeight="1"/>
    <x:row r="613" ht="12.75" customHeight="1"/>
    <x:row r="614" ht="12.75" customHeight="1"/>
    <x:row r="615" ht="12.75" customHeight="1"/>
    <x:row r="616" ht="12.75" customHeight="1"/>
    <x:row r="617" ht="12.75" customHeight="1"/>
    <x:row r="618" ht="12.75" customHeight="1"/>
    <x:row r="619" ht="12.75" customHeight="1"/>
    <x:row r="620" ht="12.75" customHeight="1"/>
    <x:row r="621" ht="12.75" customHeight="1"/>
    <x:row r="622" ht="12.75" customHeight="1"/>
    <x:row r="623" ht="12.75" customHeight="1"/>
    <x:row r="624" ht="12.75" customHeight="1"/>
    <x:row r="625" ht="12.75" customHeight="1"/>
    <x:row r="626" ht="12.75" customHeight="1"/>
    <x:row r="627" ht="12.75" customHeight="1"/>
    <x:row r="628" ht="12.75" customHeight="1"/>
    <x:row r="629" ht="12.75" customHeight="1"/>
    <x:row r="630" ht="12.75" customHeight="1"/>
    <x:row r="631" ht="12.75" customHeight="1"/>
    <x:row r="632" ht="12.75" customHeight="1"/>
    <x:row r="633" ht="12.75" customHeight="1"/>
    <x:row r="634" ht="12.75" customHeight="1"/>
    <x:row r="635" ht="12.75" customHeight="1"/>
    <x:row r="636" ht="12.75" customHeight="1"/>
    <x:row r="637" ht="12.75" customHeight="1"/>
    <x:row r="638" ht="12.75" customHeight="1"/>
    <x:row r="639" ht="12.75" customHeight="1"/>
    <x:row r="640" ht="12.75" customHeight="1"/>
    <x:row r="641" ht="12.75" customHeight="1"/>
    <x:row r="642" ht="12.75" customHeight="1"/>
    <x:row r="643" ht="12.75" customHeight="1"/>
    <x:row r="644" ht="12.75" customHeight="1"/>
    <x:row r="645" ht="12.75" customHeight="1"/>
    <x:row r="646" ht="12.75" customHeight="1"/>
    <x:row r="647" ht="12.75" customHeight="1"/>
    <x:row r="648" ht="12.75" customHeight="1"/>
    <x:row r="649" ht="12.75" customHeight="1"/>
    <x:row r="650" ht="12.75" customHeight="1"/>
    <x:row r="651" ht="12.75" customHeight="1"/>
    <x:row r="652" ht="12.75" customHeight="1"/>
    <x:row r="653" ht="12.75" customHeight="1"/>
    <x:row r="654" ht="12.75" customHeight="1"/>
    <x:row r="655" ht="12.75" customHeight="1"/>
    <x:row r="656" ht="12.75" customHeight="1"/>
    <x:row r="657" ht="12.75" customHeight="1"/>
    <x:row r="658" ht="12.75" customHeight="1"/>
    <x:row r="659" ht="12.75" customHeight="1"/>
    <x:row r="660" ht="12.75" customHeight="1"/>
    <x:row r="661" ht="12.75" customHeight="1"/>
    <x:row r="662" ht="12.75" customHeight="1"/>
    <x:row r="663" ht="12.75" customHeight="1"/>
    <x:row r="664" ht="12.75" customHeight="1"/>
    <x:row r="665" ht="12.75" customHeight="1"/>
    <x:row r="666" ht="12.75" customHeight="1"/>
    <x:row r="667" ht="12.75" customHeight="1"/>
    <x:row r="668" ht="12.75" customHeight="1"/>
    <x:row r="669" ht="12.75" customHeight="1"/>
    <x:row r="670" ht="12.75" customHeight="1"/>
    <x:row r="671" ht="12.75" customHeight="1"/>
    <x:row r="672" ht="12.75" customHeight="1"/>
    <x:row r="673" ht="12.75" customHeight="1"/>
    <x:row r="674" ht="12.75" customHeight="1"/>
    <x:row r="675" ht="12.75" customHeight="1"/>
    <x:row r="676" ht="12.75" customHeight="1"/>
    <x:row r="677" ht="12.75" customHeight="1"/>
    <x:row r="678" ht="12.75" customHeight="1"/>
    <x:row r="679" ht="12.75" customHeight="1"/>
    <x:row r="680" ht="12.75" customHeight="1"/>
    <x:row r="681" ht="12.75" customHeight="1"/>
    <x:row r="682" ht="12.75" customHeight="1"/>
    <x:row r="683" ht="12.75" customHeight="1"/>
    <x:row r="684" ht="12.75" customHeight="1"/>
    <x:row r="685" ht="12.75" customHeight="1"/>
    <x:row r="686" ht="12.75" customHeight="1"/>
    <x:row r="687" ht="12.75" customHeight="1"/>
    <x:row r="688" ht="12.75" customHeight="1"/>
    <x:row r="689" ht="12.75" customHeight="1"/>
    <x:row r="690" ht="12.75" customHeight="1"/>
    <x:row r="691" ht="12.75" customHeight="1"/>
    <x:row r="692" ht="12.75" customHeight="1"/>
    <x:row r="693" ht="12.75" customHeight="1"/>
    <x:row r="694" ht="12.75" customHeight="1"/>
    <x:row r="695" ht="12.75" customHeight="1"/>
    <x:row r="696" ht="12.75" customHeight="1"/>
    <x:row r="697" ht="12.75" customHeight="1"/>
    <x:row r="698" ht="12.75" customHeight="1"/>
    <x:row r="699" ht="12.75" customHeight="1"/>
    <x:row r="700" ht="12.75" customHeight="1"/>
    <x:row r="701" ht="12.75" customHeight="1"/>
    <x:row r="702" ht="12.75" customHeight="1"/>
    <x:row r="703" ht="12.75" customHeight="1"/>
    <x:row r="704" ht="12.75" customHeight="1"/>
    <x:row r="705" ht="12.75" customHeight="1"/>
    <x:row r="706" ht="12.75" customHeight="1"/>
    <x:row r="707" ht="12.75" customHeight="1"/>
    <x:row r="708" ht="12.75" customHeight="1"/>
    <x:row r="709" ht="12.75" customHeight="1"/>
    <x:row r="710" ht="12.75" customHeight="1"/>
    <x:row r="711" ht="12.75" customHeight="1"/>
    <x:row r="712" ht="12.75" customHeight="1"/>
    <x:row r="713" ht="12.75" customHeight="1"/>
    <x:row r="714" ht="12.75" customHeight="1"/>
    <x:row r="715" ht="12.75" customHeight="1"/>
    <x:row r="716" ht="12.75" customHeight="1"/>
    <x:row r="717" ht="12.75" customHeight="1"/>
    <x:row r="718" ht="12.75" customHeight="1"/>
    <x:row r="719" ht="12.75" customHeight="1"/>
    <x:row r="720" ht="12.75" customHeight="1"/>
    <x:row r="721" ht="12.75" customHeight="1"/>
    <x:row r="722" ht="12.75" customHeight="1"/>
    <x:row r="723" ht="12.75" customHeight="1"/>
    <x:row r="724" ht="12.75" customHeight="1"/>
    <x:row r="725" ht="12.75" customHeight="1"/>
    <x:row r="726" ht="12.75" customHeight="1"/>
    <x:row r="727" ht="12.75" customHeight="1"/>
    <x:row r="728" ht="12.75" customHeight="1"/>
    <x:row r="729" ht="12.75" customHeight="1"/>
    <x:row r="730" ht="12.75" customHeight="1"/>
    <x:row r="731" ht="12.75" customHeight="1"/>
    <x:row r="732" ht="12.75" customHeight="1"/>
    <x:row r="733" ht="12.75" customHeight="1"/>
    <x:row r="734" ht="12.75" customHeight="1"/>
    <x:row r="735" ht="12.75" customHeight="1"/>
    <x:row r="736" ht="12.75" customHeight="1"/>
    <x:row r="737" ht="12.75" customHeight="1"/>
    <x:row r="738" ht="12.75" customHeight="1"/>
    <x:row r="739" ht="12.75" customHeight="1"/>
    <x:row r="740" ht="12.75" customHeight="1"/>
    <x:row r="741" ht="12.75" customHeight="1"/>
    <x:row r="742" ht="12.75" customHeight="1"/>
    <x:row r="743" ht="12.75" customHeight="1"/>
    <x:row r="744" ht="12.75" customHeight="1"/>
    <x:row r="745" ht="12.75" customHeight="1"/>
    <x:row r="746" ht="12.75" customHeight="1"/>
    <x:row r="747" ht="12.75" customHeight="1"/>
    <x:row r="748" ht="12.75" customHeight="1"/>
    <x:row r="749" ht="12.75" customHeight="1"/>
    <x:row r="750" ht="12.75" customHeight="1"/>
    <x:row r="751" ht="12.75" customHeight="1"/>
    <x:row r="752" ht="12.75" customHeight="1"/>
    <x:row r="753" ht="12.75" customHeight="1"/>
    <x:row r="754" ht="12.75" customHeight="1"/>
    <x:row r="755" ht="12.75" customHeight="1"/>
    <x:row r="756" ht="12.75" customHeight="1"/>
    <x:row r="757" ht="12.75" customHeight="1"/>
    <x:row r="758" ht="12.75" customHeight="1"/>
    <x:row r="759" ht="12.75" customHeight="1"/>
    <x:row r="760" ht="12.75" customHeight="1"/>
    <x:row r="761" ht="12.75" customHeight="1"/>
    <x:row r="762" ht="12.75" customHeight="1"/>
    <x:row r="763" ht="12.75" customHeight="1"/>
    <x:row r="764" ht="12.75" customHeight="1"/>
    <x:row r="765" ht="12.75" customHeight="1"/>
    <x:row r="766" ht="12.75" customHeight="1"/>
    <x:row r="767" ht="12.75" customHeight="1"/>
    <x:row r="768" ht="12.75" customHeight="1"/>
    <x:row r="769" ht="12.75" customHeight="1"/>
    <x:row r="770" ht="12.75" customHeight="1"/>
    <x:row r="771" ht="12.75" customHeight="1"/>
    <x:row r="772" ht="12.75" customHeight="1"/>
    <x:row r="773" ht="12.75" customHeight="1"/>
    <x:row r="774" ht="12.75" customHeight="1"/>
    <x:row r="775" ht="12.75" customHeight="1"/>
    <x:row r="776" ht="12.75" customHeight="1"/>
    <x:row r="777" ht="12.75" customHeight="1"/>
    <x:row r="778" ht="12.75" customHeight="1"/>
    <x:row r="779" ht="12.75" customHeight="1"/>
    <x:row r="780" ht="12.75" customHeight="1"/>
    <x:row r="781" ht="12.75" customHeight="1"/>
    <x:row r="782" ht="12.75" customHeight="1"/>
    <x:row r="783" ht="12.75" customHeight="1"/>
    <x:row r="784" ht="12.75" customHeight="1"/>
    <x:row r="785" ht="12.75" customHeight="1"/>
    <x:row r="786" ht="12.75" customHeight="1"/>
    <x:row r="787" ht="12.75" customHeight="1"/>
    <x:row r="788" ht="12.75" customHeight="1"/>
    <x:row r="789" ht="12.75" customHeight="1"/>
    <x:row r="790" ht="12.75" customHeight="1"/>
    <x:row r="791" ht="12.75" customHeight="1"/>
    <x:row r="792" ht="12.75" customHeight="1"/>
    <x:row r="793" ht="12.75" customHeight="1"/>
    <x:row r="794" ht="12.75" customHeight="1"/>
    <x:row r="795" ht="12.75" customHeight="1"/>
    <x:row r="796" ht="12.75" customHeight="1"/>
    <x:row r="797" ht="12.75" customHeight="1"/>
    <x:row r="798" ht="12.75" customHeight="1"/>
    <x:row r="799" ht="12.75" customHeight="1"/>
    <x:row r="800" ht="12.75" customHeight="1"/>
    <x:row r="801" ht="12.75" customHeight="1"/>
    <x:row r="802" ht="12.75" customHeight="1"/>
    <x:row r="803" ht="12.75" customHeight="1"/>
    <x:row r="804" ht="12.75" customHeight="1"/>
    <x:row r="805" ht="12.75" customHeight="1"/>
    <x:row r="806" ht="12.75" customHeight="1"/>
    <x:row r="807" ht="12.75" customHeight="1"/>
    <x:row r="808" ht="12.75" customHeight="1"/>
    <x:row r="809" ht="12.75" customHeight="1"/>
    <x:row r="810" ht="12.75" customHeight="1"/>
    <x:row r="811" ht="12.75" customHeight="1"/>
    <x:row r="812" ht="12.75" customHeight="1"/>
    <x:row r="813" ht="12.75" customHeight="1"/>
    <x:row r="814" ht="12.75" customHeight="1"/>
    <x:row r="815" ht="12.75" customHeight="1"/>
    <x:row r="816" ht="12.75" customHeight="1"/>
    <x:row r="817" ht="12.75" customHeight="1"/>
    <x:row r="818" ht="12.75" customHeight="1"/>
    <x:row r="819" ht="12.75" customHeight="1"/>
    <x:row r="820" ht="12.75" customHeight="1"/>
    <x:row r="821" ht="12.75" customHeight="1"/>
    <x:row r="822" ht="12.75" customHeight="1"/>
    <x:row r="823" ht="12.75" customHeight="1"/>
    <x:row r="824" ht="12.75" customHeight="1"/>
    <x:row r="825" ht="12.75" customHeight="1"/>
    <x:row r="826" ht="12.75" customHeight="1"/>
    <x:row r="827" ht="12.75" customHeight="1"/>
    <x:row r="828" ht="12.75" customHeight="1"/>
    <x:row r="829" ht="12.75" customHeight="1"/>
    <x:row r="830" ht="12.75" customHeight="1"/>
    <x:row r="831" ht="12.75" customHeight="1"/>
    <x:row r="832" ht="12.75" customHeight="1"/>
    <x:row r="833" ht="12.75" customHeight="1"/>
    <x:row r="834" ht="12.75" customHeight="1"/>
    <x:row r="835" ht="12.75" customHeight="1"/>
    <x:row r="836" ht="12.75" customHeight="1"/>
    <x:row r="837" ht="12.75" customHeight="1"/>
    <x:row r="838" ht="12.75" customHeight="1"/>
    <x:row r="839" ht="12.75" customHeight="1"/>
    <x:row r="840" ht="12.75" customHeight="1"/>
    <x:row r="841" ht="12.75" customHeight="1"/>
    <x:row r="842" ht="12.75" customHeight="1"/>
    <x:row r="843" ht="12.75" customHeight="1"/>
    <x:row r="844" ht="12.75" customHeight="1"/>
    <x:row r="845" ht="12.75" customHeight="1"/>
    <x:row r="846" ht="12.75" customHeight="1"/>
    <x:row r="847" ht="12.75" customHeight="1"/>
    <x:row r="848" ht="12.75" customHeight="1"/>
    <x:row r="849" ht="12.75" customHeight="1"/>
    <x:row r="850" ht="12.75" customHeight="1"/>
    <x:row r="851" ht="12.7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pageMargins left="0.7" right="0.7" top="0.75" bottom="0.75" header="0.3" footer="0.3"/>
</x:worksheet>
</file>
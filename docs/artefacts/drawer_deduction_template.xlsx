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fill this in" sheetId="1" state="visible" r:id="rId3"/>
    <sheet name="Deduction 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<sst xmlns="http://schemas.openxmlformats.org/spreadsheetml/2006/main" count="58" uniqueCount="46">
  <si>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Drawer Box Deduction Table - please fill the yellow cells</t>
  </si>
  <si>
    <t xml:space="preserve">What this is for</t>
  </si>
  <si>
    <t xml:space="preserve">The wood BOM needs to cut a bottom panel and a back panel for every drawer. Each metal box system specifies its own deductions, so the builder needs one row per drawer model per height class.</t>
  </si>
  <si>
    <t xml:space="preserve">What to edit</t>
  </si>
  <si>
    <t xml:space="preserve">Only the YELLOW cells on the 'Deduction Table' sheet. Everything else is a formula or a label.</t>
  </si>
  <si>
    <t xml:space="preserve">The example row</t>
  </si>
  <si>
    <t xml:space="preserve">Row 5 (Lian / Low) is filled in GREEN with the stone builder's old numbers, purely to show the expected format. Overwrite it with the real Lian figures - do not leave it as-is.</t>
  </si>
  <si>
    <t xml:space="preserve">How the numbers are used</t>
  </si>
  <si>
    <t xml:space="preserve">Bottom panel = (W - Bottom W ded) x (D - Bottom D ded).   Back panel = (W - Back W ded) x Back Height.</t>
  </si>
  <si>
    <t xml:space="preserve">W and D</t>
  </si>
  <si>
    <t xml:space="preserve">W = cabinet nominal width (mm), D = cabinet nominal depth (mm). Both are the cabinet's own dimensions, NOT the internal opening - the deduction absorbs the carcass thickness.</t>
  </si>
  <si>
    <t xml:space="preserve">Height classes</t>
  </si>
  <si>
    <t xml:space="preserve">Low / Semi High / High are our internal names, carried over from the stone builder. Put the manufacturer's own height code (Blum M/K/C/D, Hettich height codes etc.) in the 'Brand Height Code' column so the two can be cross-referenced.</t>
  </si>
  <si>
    <t xml:space="preserve">If a model has more heights</t>
  </si>
  <si>
    <t xml:space="preserve">Add rows. If a model does not offer one of the three classes, leave that row blank and write 'not offered' in Notes.</t>
  </si>
  <si>
    <t xml:space="preserve">Nominal length</t>
  </si>
  <si>
    <t xml:space="preserve">If the box system is sold in fixed nominal lengths (400/450/500/550 etc.) rather than cut to the cabinet depth, say so in Notes - the bottom depth formula changes.</t>
  </si>
  <si>
    <t xml:space="preserve">Drawer box panel deductions - one row per model per height class</t>
  </si>
  <si>
    <t xml:space="preserve">Fill the yellow cells. Columns K and L preview the result using the sample W and D below.</t>
  </si>
  <si>
    <t xml:space="preserve">Sample W (mm)</t>
  </si>
  <si>
    <t xml:space="preserve">Sample D (mm)</t>
  </si>
  <si>
    <t xml:space="preserve">Drawer Model</t>
  </si>
  <si>
    <t xml:space="preserve">Product Line</t>
  </si>
  <si>
    <t xml:space="preserve">Height Class</t>
  </si>
  <si>
    <t xml:space="preserve">Brand Height Code</t>
  </si>
  <si>
    <t xml:space="preserve">Back Height (mm)</t>
  </si>
  <si>
    <t xml:space="preserve">Bottom W ded</t>
  </si>
  <si>
    <t xml:space="preserve">Bottom D ded</t>
  </si>
  <si>
    <t xml:space="preserve">Back W ded</t>
  </si>
  <si>
    <t xml:space="preserve">Bottom Thk (mm)</t>
  </si>
  <si>
    <t xml:space="preserve">Back Thk (mm)</t>
  </si>
  <si>
    <t xml:space="preserve">Preview: Bottom panel</t>
  </si>
  <si>
    <t xml:space="preserve">Preview: Back panel</t>
  </si>
  <si>
    <t xml:space="preserve">Notes</t>
  </si>
  <si>
    <t xml:space="preserve">Lian</t>
  </si>
  <si>
    <t xml:space="preserve">Slim Box</t>
  </si>
  <si>
    <t xml:space="preserve">Low</t>
  </si>
  <si>
    <t xml:space="preserve">H90</t>
  </si>
  <si>
    <t xml:space="preserve">EXAMPLE ONLY - stone builder's old numbers. Overwrite.</t>
  </si>
  <si>
    <t xml:space="preserve">Semi High</t>
  </si>
  <si>
    <t xml:space="preserve">High</t>
  </si>
  <si>
    <t xml:space="preserve">Hettich</t>
  </si>
  <si>
    <t xml:space="preserve">Blum</t>
  </si>
  <si>
    <t xml:space="preserve">Hafele</t>
  </si>
  <si>
    <t xml:space="preserve">Grass</t>
  </si>
  <si>
    <t xml:space="preserve">Formulas used:  Bottom panel = (W - Bottom W ded) x (D - Bottom D ded)     |     Back panel = (W - Back W ded) x Back Height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</si>
</sst>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C1A17"/>
      <name val="Arial"/>
      <family val="0"/>
      <charset val="1"/>
    </font>
    <font>
      <i val="true"/>
      <sz val="9"/>
      <color rgb="FF7A72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852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D6B"/>
        <bgColor rgb="FF008080"/>
      </patternFill>
    </fill>
    <fill>
      <patternFill patternType="solid">
        <fgColor rgb="FFE8F0E4"/>
        <bgColor rgb="FFF2F0EB"/>
      </patternFill>
    </fill>
    <fill>
      <patternFill patternType="solid">
        <fgColor rgb="FFF2F0EB"/>
        <bgColor rgb="FFE8F0E4"/>
      </patternFill>
    </fill>
    <fill>
      <patternFill patternType="solid">
        <fgColor rgb="FFFFFFFF"/>
        <bgColor rgb="FFF2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2F0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42" hidden="false" customHeight="true" outlineLevel="0" collapsed="false">
      <c r="A7" s="2" t="s">
        <v>9</v>
      </c>
      <c r="B7" s="3" t="s">
        <v>10</v>
      </c>
    </row>
    <row r="8" customFormat="false" ht="42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  <row r="10" customFormat="false" ht="42" hidden="false" customHeight="tru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34"/>
    <col collapsed="false" customWidth="true" hidden="false" outlineLevel="0" max="14" min="14" style="0" width="15"/>
    <col collapsed="false" customWidth="true" hidden="false" outlineLevel="0" max="15" min="15" style="0" width="10"/>
  </cols>
  <sheetData>
    <row r="1" customFormat="false" ht="16.1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</row>
    <row r="4" customFormat="false" ht="15" hidden="false" customHeight="false" outlineLevel="0" collapsed="false">
      <c r="N4" s="2" t="s">
        <v>19</v>
      </c>
      <c r="O4" s="6" t="n">
        <v>600</v>
      </c>
    </row>
    <row r="5" customFormat="false" ht="15" hidden="false" customHeight="false" outlineLevel="0" collapsed="false">
      <c r="N5" s="2" t="s">
        <v>20</v>
      </c>
      <c r="O5" s="6" t="n">
        <v>560</v>
      </c>
    </row>
    <row r="7" customFormat="false" ht="39.75" hidden="false" customHeight="true" outlineLevel="0" collapsed="false">
      <c r="A7" s="7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7" t="s">
        <v>33</v>
      </c>
    </row>
    <row r="8" customFormat="false" ht="23.85" hidden="false" customHeight="false" outlineLevel="0" collapsed="false">
      <c r="A8" s="8" t="s">
        <v>34</v>
      </c>
      <c r="B8" s="9" t="s">
        <v>35</v>
      </c>
      <c r="C8" s="10" t="s">
        <v>36</v>
      </c>
      <c r="D8" s="11" t="s">
        <v>37</v>
      </c>
      <c r="E8" s="11" t="n">
        <v>63</v>
      </c>
      <c r="F8" s="11" t="n">
        <v>50</v>
      </c>
      <c r="G8" s="11" t="n">
        <v>77</v>
      </c>
      <c r="H8" s="11" t="n">
        <v>72</v>
      </c>
      <c r="I8" s="11" t="n">
        <v>6</v>
      </c>
      <c r="J8" s="11" t="n">
        <v>18</v>
      </c>
      <c r="K8" s="12" t="str">
        <f aca="false">IF(F8="","",($O$4-F8)&amp;" x "&amp;($O$5-G8))</f>
        <v>550 x 483</v>
      </c>
      <c r="L8" s="12" t="str">
        <f aca="false">IF(H8="","",($O$4-H8)&amp;" x "&amp;E8)</f>
        <v>528 x 63</v>
      </c>
      <c r="M8" s="13" t="s">
        <v>38</v>
      </c>
    </row>
    <row r="9" customFormat="false" ht="15" hidden="false" customHeight="false" outlineLevel="0" collapsed="false">
      <c r="A9" s="8"/>
      <c r="B9" s="14"/>
      <c r="C9" s="10" t="s">
        <v>39</v>
      </c>
      <c r="D9" s="15"/>
      <c r="E9" s="15"/>
      <c r="F9" s="15"/>
      <c r="G9" s="15"/>
      <c r="H9" s="15"/>
      <c r="I9" s="15"/>
      <c r="J9" s="15"/>
      <c r="K9" s="12" t="str">
        <f aca="false">IF(F9="","",($O$4-F9)&amp;" x "&amp;($O$5-G9))</f>
        <v/>
      </c>
      <c r="L9" s="12" t="str">
        <f aca="false">IF(H9="","",($O$4-H9)&amp;" x "&amp;E9)</f>
        <v/>
      </c>
      <c r="M9" s="16"/>
    </row>
    <row r="10" customFormat="false" ht="15" hidden="false" customHeight="false" outlineLevel="0" collapsed="false">
      <c r="A10" s="8"/>
      <c r="B10" s="14"/>
      <c r="C10" s="10" t="s">
        <v>40</v>
      </c>
      <c r="D10" s="15"/>
      <c r="E10" s="15"/>
      <c r="F10" s="15"/>
      <c r="G10" s="15"/>
      <c r="H10" s="15"/>
      <c r="I10" s="15"/>
      <c r="J10" s="15"/>
      <c r="K10" s="12" t="str">
        <f aca="false">IF(F10="","",($O$4-F10)&amp;" x "&amp;($O$5-G10))</f>
        <v/>
      </c>
      <c r="L10" s="12" t="str">
        <f aca="false">IF(H10="","",($O$4-H10)&amp;" x "&amp;E10)</f>
        <v/>
      </c>
      <c r="M10" s="16"/>
    </row>
    <row r="11" customFormat="false" ht="6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false" outlineLevel="0" collapsed="false">
      <c r="A12" s="8" t="s">
        <v>41</v>
      </c>
      <c r="B12" s="14"/>
      <c r="C12" s="10" t="s">
        <v>36</v>
      </c>
      <c r="D12" s="15"/>
      <c r="E12" s="15"/>
      <c r="F12" s="15"/>
      <c r="G12" s="15"/>
      <c r="H12" s="15"/>
      <c r="I12" s="15"/>
      <c r="J12" s="15"/>
      <c r="K12" s="12" t="str">
        <f aca="false">IF(F12="","",($O$4-F12)&amp;" x "&amp;($O$5-G12))</f>
        <v/>
      </c>
      <c r="L12" s="12" t="str">
        <f aca="false">IF(H12="","",($O$4-H12)&amp;" x "&amp;E12)</f>
        <v/>
      </c>
      <c r="M12" s="16"/>
    </row>
    <row r="13" customFormat="false" ht="15" hidden="false" customHeight="false" outlineLevel="0" collapsed="false">
      <c r="A13" s="8"/>
      <c r="B13" s="14"/>
      <c r="C13" s="10" t="s">
        <v>39</v>
      </c>
      <c r="D13" s="15"/>
      <c r="E13" s="15"/>
      <c r="F13" s="15"/>
      <c r="G13" s="15"/>
      <c r="H13" s="15"/>
      <c r="I13" s="15"/>
      <c r="J13" s="15"/>
      <c r="K13" s="12" t="str">
        <f aca="false">IF(F13="","",($O$4-F13)&amp;" x "&amp;($O$5-G13))</f>
        <v/>
      </c>
      <c r="L13" s="12" t="str">
        <f aca="false">IF(H13="","",($O$4-H13)&amp;" x "&amp;E13)</f>
        <v/>
      </c>
      <c r="M13" s="16"/>
    </row>
    <row r="14" customFormat="false" ht="15" hidden="false" customHeight="false" outlineLevel="0" collapsed="false">
      <c r="A14" s="8"/>
      <c r="B14" s="14"/>
      <c r="C14" s="10" t="s">
        <v>40</v>
      </c>
      <c r="D14" s="15"/>
      <c r="E14" s="15"/>
      <c r="F14" s="15"/>
      <c r="G14" s="15"/>
      <c r="H14" s="15"/>
      <c r="I14" s="15"/>
      <c r="J14" s="15"/>
      <c r="K14" s="12" t="str">
        <f aca="false">IF(F14="","",($O$4-F14)&amp;" x "&amp;($O$5-G14))</f>
        <v/>
      </c>
      <c r="L14" s="12" t="str">
        <f aca="false">IF(H14="","",($O$4-H14)&amp;" x "&amp;E14)</f>
        <v/>
      </c>
      <c r="M14" s="16"/>
    </row>
    <row r="15" customFormat="false" ht="6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customFormat="false" ht="15" hidden="false" customHeight="false" outlineLevel="0" collapsed="false">
      <c r="A16" s="8" t="s">
        <v>42</v>
      </c>
      <c r="B16" s="14"/>
      <c r="C16" s="10" t="s">
        <v>36</v>
      </c>
      <c r="D16" s="15"/>
      <c r="E16" s="15"/>
      <c r="F16" s="15"/>
      <c r="G16" s="15"/>
      <c r="H16" s="15"/>
      <c r="I16" s="15"/>
      <c r="J16" s="15"/>
      <c r="K16" s="12" t="str">
        <f aca="false">IF(F16="","",($O$4-F16)&amp;" x "&amp;($O$5-G16))</f>
        <v/>
      </c>
      <c r="L16" s="12" t="str">
        <f aca="false">IF(H16="","",($O$4-H16)&amp;" x "&amp;E16)</f>
        <v/>
      </c>
      <c r="M16" s="16"/>
    </row>
    <row r="17" customFormat="false" ht="15" hidden="false" customHeight="false" outlineLevel="0" collapsed="false">
      <c r="A17" s="8"/>
      <c r="B17" s="14"/>
      <c r="C17" s="10" t="s">
        <v>39</v>
      </c>
      <c r="D17" s="15"/>
      <c r="E17" s="15"/>
      <c r="F17" s="15"/>
      <c r="G17" s="15"/>
      <c r="H17" s="15"/>
      <c r="I17" s="15"/>
      <c r="J17" s="15"/>
      <c r="K17" s="12" t="str">
        <f aca="false">IF(F17="","",($O$4-F17)&amp;" x "&amp;($O$5-G17))</f>
        <v/>
      </c>
      <c r="L17" s="12" t="str">
        <f aca="false">IF(H17="","",($O$4-H17)&amp;" x "&amp;E17)</f>
        <v/>
      </c>
      <c r="M17" s="16"/>
    </row>
    <row r="18" customFormat="false" ht="15" hidden="false" customHeight="false" outlineLevel="0" collapsed="false">
      <c r="A18" s="8"/>
      <c r="B18" s="14"/>
      <c r="C18" s="10" t="s">
        <v>40</v>
      </c>
      <c r="D18" s="15"/>
      <c r="E18" s="15"/>
      <c r="F18" s="15"/>
      <c r="G18" s="15"/>
      <c r="H18" s="15"/>
      <c r="I18" s="15"/>
      <c r="J18" s="15"/>
      <c r="K18" s="12" t="str">
        <f aca="false">IF(F18="","",($O$4-F18)&amp;" x "&amp;($O$5-G18))</f>
        <v/>
      </c>
      <c r="L18" s="12" t="str">
        <f aca="false">IF(H18="","",($O$4-H18)&amp;" x "&amp;E18)</f>
        <v/>
      </c>
      <c r="M18" s="16"/>
    </row>
    <row r="19" customFormat="false" ht="6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customFormat="false" ht="15" hidden="false" customHeight="false" outlineLevel="0" collapsed="false">
      <c r="A20" s="8" t="s">
        <v>43</v>
      </c>
      <c r="B20" s="14"/>
      <c r="C20" s="10" t="s">
        <v>36</v>
      </c>
      <c r="D20" s="15"/>
      <c r="E20" s="15"/>
      <c r="F20" s="15"/>
      <c r="G20" s="15"/>
      <c r="H20" s="15"/>
      <c r="I20" s="15"/>
      <c r="J20" s="15"/>
      <c r="K20" s="12" t="str">
        <f aca="false">IF(F20="","",($O$4-F20)&amp;" x "&amp;($O$5-G20))</f>
        <v/>
      </c>
      <c r="L20" s="12" t="str">
        <f aca="false">IF(H20="","",($O$4-H20)&amp;" x "&amp;E20)</f>
        <v/>
      </c>
      <c r="M20" s="16"/>
    </row>
    <row r="21" customFormat="false" ht="15" hidden="false" customHeight="false" outlineLevel="0" collapsed="false">
      <c r="A21" s="8"/>
      <c r="B21" s="14"/>
      <c r="C21" s="10" t="s">
        <v>39</v>
      </c>
      <c r="D21" s="15"/>
      <c r="E21" s="15"/>
      <c r="F21" s="15"/>
      <c r="G21" s="15"/>
      <c r="H21" s="15"/>
      <c r="I21" s="15"/>
      <c r="J21" s="15"/>
      <c r="K21" s="12" t="str">
        <f aca="false">IF(F21="","",($O$4-F21)&amp;" x "&amp;($O$5-G21))</f>
        <v/>
      </c>
      <c r="L21" s="12" t="str">
        <f aca="false">IF(H21="","",($O$4-H21)&amp;" x "&amp;E21)</f>
        <v/>
      </c>
      <c r="M21" s="16"/>
    </row>
    <row r="22" customFormat="false" ht="15" hidden="false" customHeight="false" outlineLevel="0" collapsed="false">
      <c r="A22" s="8"/>
      <c r="B22" s="14"/>
      <c r="C22" s="10" t="s">
        <v>40</v>
      </c>
      <c r="D22" s="15"/>
      <c r="E22" s="15"/>
      <c r="F22" s="15"/>
      <c r="G22" s="15"/>
      <c r="H22" s="15"/>
      <c r="I22" s="15"/>
      <c r="J22" s="15"/>
      <c r="K22" s="12" t="str">
        <f aca="false">IF(F22="","",($O$4-F22)&amp;" x "&amp;($O$5-G22))</f>
        <v/>
      </c>
      <c r="L22" s="12" t="str">
        <f aca="false">IF(H22="","",($O$4-H22)&amp;" x "&amp;E22)</f>
        <v/>
      </c>
      <c r="M22" s="16"/>
    </row>
    <row r="23" customFormat="false" ht="6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false" outlineLevel="0" collapsed="false">
      <c r="A24" s="8" t="s">
        <v>44</v>
      </c>
      <c r="B24" s="14"/>
      <c r="C24" s="10" t="s">
        <v>36</v>
      </c>
      <c r="D24" s="15"/>
      <c r="E24" s="15"/>
      <c r="F24" s="15"/>
      <c r="G24" s="15"/>
      <c r="H24" s="15"/>
      <c r="I24" s="15"/>
      <c r="J24" s="15"/>
      <c r="K24" s="12" t="str">
        <f aca="false">IF(F24="","",($O$4-F24)&amp;" x "&amp;($O$5-G24))</f>
        <v/>
      </c>
      <c r="L24" s="12" t="str">
        <f aca="false">IF(H24="","",($O$4-H24)&amp;" x "&amp;E24)</f>
        <v/>
      </c>
      <c r="M24" s="16"/>
    </row>
    <row r="25" customFormat="false" ht="15" hidden="false" customHeight="false" outlineLevel="0" collapsed="false">
      <c r="A25" s="8"/>
      <c r="B25" s="14"/>
      <c r="C25" s="10" t="s">
        <v>39</v>
      </c>
      <c r="D25" s="15"/>
      <c r="E25" s="15"/>
      <c r="F25" s="15"/>
      <c r="G25" s="15"/>
      <c r="H25" s="15"/>
      <c r="I25" s="15"/>
      <c r="J25" s="15"/>
      <c r="K25" s="12" t="str">
        <f aca="false">IF(F25="","",($O$4-F25)&amp;" x "&amp;($O$5-G25))</f>
        <v/>
      </c>
      <c r="L25" s="12" t="str">
        <f aca="false">IF(H25="","",($O$4-H25)&amp;" x "&amp;E25)</f>
        <v/>
      </c>
      <c r="M25" s="16"/>
    </row>
    <row r="26" customFormat="false" ht="15" hidden="false" customHeight="false" outlineLevel="0" collapsed="false">
      <c r="A26" s="8"/>
      <c r="B26" s="14"/>
      <c r="C26" s="10" t="s">
        <v>40</v>
      </c>
      <c r="D26" s="15"/>
      <c r="E26" s="15"/>
      <c r="F26" s="15"/>
      <c r="G26" s="15"/>
      <c r="H26" s="15"/>
      <c r="I26" s="15"/>
      <c r="J26" s="15"/>
      <c r="K26" s="12" t="str">
        <f aca="false">IF(F26="","",($O$4-F26)&amp;" x "&amp;($O$5-G26))</f>
        <v/>
      </c>
      <c r="L26" s="12" t="str">
        <f aca="false">IF(H26="","",($O$4-H26)&amp;" x "&amp;E26)</f>
        <v/>
      </c>
      <c r="M26" s="16"/>
    </row>
    <row r="27" customFormat="false" ht="6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9" customFormat="false" ht="15" hidden="false" customHeight="false" outlineLevel="0" collapsed="false">
      <c r="A29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2026-09-02T10:57:39Z</dcterms:created>
  <dc:creator>openpyxl</dc:creator>
  <dc:description/>
  <dc:language>en-US</dc:language>
  <cp:lastModifiedBy/>
  <dcterms:modified xsi:type="dcterms:W3CDTF">2026-09-02T10:57:39Z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
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utter Types" sheetId="1" state="visible" r:id="rId3"/>
    <sheet name="Shutter BOM" sheetId="2" state="visible" r:id="rId4"/>
    <sheet name="Carcass Boards" sheetId="3" state="visible" r:id="rId5"/>
    <sheet name="Still Op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<sst xmlns="http://schemas.openxmlformats.org/spreadsheetml/2006/main" count="235" uniqueCount="174">
  <si>
    <t xml:space="preserve">Shutter Types - CONFIRMED</t>
  </si>
  <si>
    <t xml:space="preserve">Updated from your answers. Orange cells changed from my first draft.</t>
  </si>
  <si>
    <t xml:space="preserve">Type</t>
  </si>
  <si>
    <t xml:space="preserve">Variant</t>
  </si>
  <si>
    <t xml:space="preserve">Board (core)</t>
  </si>
  <si>
    <t xml:space="preserve">Face Treatment</t>
  </si>
  <si>
    <t xml:space="preserve">Edge Treatment</t>
  </si>
  <si>
    <t xml:space="preserve">Key consumables</t>
  </si>
  <si>
    <t xml:space="preserve">1. Laminated</t>
  </si>
  <si>
    <t xml:space="preserve">Prelaminated</t>
  </si>
  <si>
    <t xml:space="preserve">18mm prelam board</t>
  </si>
  <si>
    <t xml:space="preserve">None - arrives laminated</t>
  </si>
  <si>
    <t xml:space="preserve">PVC edge band 2mm</t>
  </si>
  <si>
    <t xml:space="preserve">Edgeband adhesive only (RMT)</t>
  </si>
  <si>
    <t xml:space="preserve">Post-laminated</t>
  </si>
  <si>
    <t xml:space="preserve">16mm raw ply core -&gt; 18mm finished</t>
  </si>
  <si>
    <t xml:space="preserve">0.8mm laminate BOTH faces</t>
  </si>
  <si>
    <t xml:space="preserve">Laminate adhesive 25 g/sqft/side + edgeband adhesive</t>
  </si>
  <si>
    <t xml:space="preserve">2. Membrane</t>
  </si>
  <si>
    <t xml:space="preserve">Prelam</t>
  </si>
  <si>
    <t xml:space="preserve">Membrane vacuum-pressed</t>
  </si>
  <si>
    <t xml:space="preserve">Wrapped by membrane - NO band</t>
  </si>
  <si>
    <t xml:space="preserve">Membrane adhesive</t>
  </si>
  <si>
    <t xml:space="preserve">3. PU</t>
  </si>
  <si>
    <t xml:space="preserve">One side</t>
  </si>
  <si>
    <t xml:space="preserve">PU paint, 1 face</t>
  </si>
  <si>
    <t xml:space="preserve">Painted over - NO band</t>
  </si>
  <si>
    <t xml:space="preserve">Epoxy 15 + primer 40 + topcoat 70 g/sqft</t>
  </si>
  <si>
    <t xml:space="preserve">Both sides</t>
  </si>
  <si>
    <t xml:space="preserve">18mm raw board</t>
  </si>
  <si>
    <t xml:space="preserve">PU paint, 2 faces</t>
  </si>
  <si>
    <t xml:space="preserve">Epoxy 15 + primer 40 + topcoat 70 g/sqft, x2</t>
  </si>
  <si>
    <t xml:space="preserve">4. Glass</t>
  </si>
  <si>
    <t xml:space="preserve">Neon 50 / Neon 22</t>
  </si>
  <si>
    <t xml:space="preserve">n/a - glass in alu frame</t>
  </si>
  <si>
    <t xml:space="preserve">Glass panel in aluminium profile</t>
  </si>
  <si>
    <t xml:space="preserve">Aluminium profile frame</t>
  </si>
  <si>
    <t xml:space="preserve">Profile cuts + corner connectors + glass hinges</t>
  </si>
  <si>
    <t xml:space="preserve">Board type is a BRANCH in the BOM - it changes which raw item is consumed, not just a finish label.</t>
  </si>
  <si>
    <t xml:space="preserve">Per-shutter-leaf BOM quantities</t>
  </si>
  <si>
    <t xml:space="preserve">Edit the yellow cells. All Qty values are live formulas.</t>
  </si>
  <si>
    <t xml:space="preserve">Leaf Width (mm)</t>
  </si>
  <si>
    <t xml:space="preserve">Leaf Height (mm)</t>
  </si>
  <si>
    <t xml:space="preserve">Number of leaves</t>
  </si>
  <si>
    <t xml:space="preserve">Membrane oversize per edge (mm)</t>
  </si>
  <si>
    <t xml:space="preserve">Laminate adhesive (g/sqft/side)</t>
  </si>
  <si>
    <t xml:space="preserve">PU epoxy (g/sqft/side)</t>
  </si>
  <si>
    <t xml:space="preserve">PU base primer (g/sqft/side)</t>
  </si>
  <si>
    <t xml:space="preserve">PU top coat (g/sqft/side)</t>
  </si>
  <si>
    <t xml:space="preserve">mm2 per sqft</t>
  </si>
  <si>
    <t xml:space="preserve">Leaf area (sqft)</t>
  </si>
  <si>
    <t xml:space="preserve">Leaf perimeter (RMT)</t>
  </si>
  <si>
    <t xml:space="preserve">#</t>
  </si>
  <si>
    <t xml:space="preserve">Component</t>
  </si>
  <si>
    <t xml:space="preserve">Material spec</t>
  </si>
  <si>
    <t xml:space="preserve">Basis</t>
  </si>
  <si>
    <t xml:space="preserve">Qty</t>
  </si>
  <si>
    <t xml:space="preserve">UoM</t>
  </si>
  <si>
    <t xml:space="preserve">Note</t>
  </si>
  <si>
    <t xml:space="preserve">Prelam board 18mm</t>
  </si>
  <si>
    <t xml:space="preserve">18mm prelaminated board</t>
  </si>
  <si>
    <t xml:space="preserve">area x leaves</t>
  </si>
  <si>
    <t xml:space="preserve">sqft</t>
  </si>
  <si>
    <t xml:space="preserve">2mm PVC</t>
  </si>
  <si>
    <t xml:space="preserve">perimeter x leaves</t>
  </si>
  <si>
    <t xml:space="preserve">RMT</t>
  </si>
  <si>
    <t xml:space="preserve">Edgeband adhesive</t>
  </si>
  <si>
    <t xml:space="preserve">Hot-melt / EVA</t>
  </si>
  <si>
    <t xml:space="preserve">No sqft glue - confirmed</t>
  </si>
  <si>
    <t xml:space="preserve">Raw board 16mm</t>
  </si>
  <si>
    <t xml:space="preserve">16mm BWP plywood core</t>
  </si>
  <si>
    <t xml:space="preserve">Core is 16mm; 18mm is finished</t>
  </si>
  <si>
    <t xml:space="preserve">Laminate - outer face</t>
  </si>
  <si>
    <t xml:space="preserve">0.8mm laminate</t>
  </si>
  <si>
    <t xml:space="preserve">Laminate - inner face</t>
  </si>
  <si>
    <t xml:space="preserve">Laminate adhesive</t>
  </si>
  <si>
    <t xml:space="preserve">Fevicol SH / SR998</t>
  </si>
  <si>
    <t xml:space="preserve">25 g/sqft x 2 sides</t>
  </si>
  <si>
    <t xml:space="preserve">gm</t>
  </si>
  <si>
    <t xml:space="preserve">Membrane</t>
  </si>
  <si>
    <t xml:space="preserve">Prelam gives the inner face</t>
  </si>
  <si>
    <t xml:space="preserve">Membrane foil</t>
  </si>
  <si>
    <t xml:space="preserve">PVC membrane foil</t>
  </si>
  <si>
    <t xml:space="preserve">(W+100) x (H+100)</t>
  </si>
  <si>
    <t xml:space="preserve">+50mm/edge confirmed</t>
  </si>
  <si>
    <t xml:space="preserve">Membrane / PUR adhesive</t>
  </si>
  <si>
    <t xml:space="preserve">RATE STILL NEEDED (g/sqft)</t>
  </si>
  <si>
    <t xml:space="preserve">PU one side</t>
  </si>
  <si>
    <t xml:space="preserve">Prelam = unpainted inner face</t>
  </si>
  <si>
    <t xml:space="preserve">Epoxy coat</t>
  </si>
  <si>
    <t xml:space="preserve">Epoxy</t>
  </si>
  <si>
    <t xml:space="preserve">15 g/sqft x 1 side</t>
  </si>
  <si>
    <t xml:space="preserve">Base primer</t>
  </si>
  <si>
    <t xml:space="preserve">PU base primer</t>
  </si>
  <si>
    <t xml:space="preserve">40 g/sqft x 1 side</t>
  </si>
  <si>
    <t xml:space="preserve">Top coat</t>
  </si>
  <si>
    <t xml:space="preserve">PU top coat</t>
  </si>
  <si>
    <t xml:space="preserve">70 g/sqft x 1 side</t>
  </si>
  <si>
    <t xml:space="preserve">PU both sides</t>
  </si>
  <si>
    <t xml:space="preserve">Raw board 18mm</t>
  </si>
  <si>
    <t xml:space="preserve">18mm BWP plywood</t>
  </si>
  <si>
    <t xml:space="preserve">15 g/sqft x 2 sides</t>
  </si>
  <si>
    <t xml:space="preserve">40 g/sqft x 2 sides</t>
  </si>
  <si>
    <t xml:space="preserve">70 g/sqft x 2 sides</t>
  </si>
  <si>
    <t xml:space="preserve">Glass</t>
  </si>
  <si>
    <t xml:space="preserve">Glass panel</t>
  </si>
  <si>
    <t xml:space="preserve">Toughened glass - THICKNESS TBC</t>
  </si>
  <si>
    <t xml:space="preserve">inset area x leaves</t>
  </si>
  <si>
    <t xml:space="preserve">Needs Neon inset value</t>
  </si>
  <si>
    <t xml:space="preserve">Alu profile vertical</t>
  </si>
  <si>
    <t xml:space="preserve">2 cuts at leaf height</t>
  </si>
  <si>
    <t xml:space="preserve">mtr</t>
  </si>
  <si>
    <t xml:space="preserve">Alu profile horizontal</t>
  </si>
  <si>
    <t xml:space="preserve">2 cuts at leaf width</t>
  </si>
  <si>
    <t xml:space="preserve">Corner connectors</t>
  </si>
  <si>
    <t xml:space="preserve">Glass shutter corner bracket</t>
  </si>
  <si>
    <t xml:space="preserve">4 per leaf</t>
  </si>
  <si>
    <t xml:space="preserve">nos</t>
  </si>
  <si>
    <t xml:space="preserve">Carcass board options - the selectable field</t>
  </si>
  <si>
    <t xml:space="preserve">Each carcass option carries its own matched back-panel material.</t>
  </si>
  <si>
    <t xml:space="preserve">Option</t>
  </si>
  <si>
    <t xml:space="preserve">Carcass board</t>
  </si>
  <si>
    <t xml:space="preserve">Nominal t</t>
  </si>
  <si>
    <t xml:space="preserve">Extra lines on carcass panels</t>
  </si>
  <si>
    <t xml:space="preserve">Back panel material</t>
  </si>
  <si>
    <t xml:space="preserve">Back nominal t</t>
  </si>
  <si>
    <t xml:space="preserve">Extra lines on back</t>
  </si>
  <si>
    <t xml:space="preserve">A</t>
  </si>
  <si>
    <t xml:space="preserve">16mm BWP ply + 0.8mm laminate both faces</t>
  </si>
  <si>
    <t xml:space="preserve">Laminate x2 (sqft) + adhesive 25 g/sqft/side</t>
  </si>
  <si>
    <t xml:space="preserve">6mm ply + 0.8mm laminate both faces</t>
  </si>
  <si>
    <t xml:space="preserve">B</t>
  </si>
  <si>
    <t xml:space="preserve">18mm prelaminated MDF</t>
  </si>
  <si>
    <t xml:space="preserve">None - board arrives finished</t>
  </si>
  <si>
    <t xml:space="preserve">8mm prelaminated MDF</t>
  </si>
  <si>
    <t xml:space="preserve">None</t>
  </si>
  <si>
    <t xml:space="preserve">C</t>
  </si>
  <si>
    <t xml:space="preserve">18mm prelaminated particle board</t>
  </si>
  <si>
    <t xml:space="preserve">8mm prelaminated particle board</t>
  </si>
  <si>
    <t xml:space="preserve">Consequences for the builder</t>
  </si>
  <si>
    <t xml:space="preserve">- Back thickness is 8mm in every option - my earlier 6mm figure was wrong.</t>
  </si>
  <si>
    <t xml:space="preserve">- The 9mm back groove now reconciles: a 9mm groove houses an 8mm panel with clearance.</t>
  </si>
  <si>
    <t xml:space="preserve">- Panel formulas are unaffected - t = 18 nominal holds for all three options.</t>
  </si>
  <si>
    <t xml:space="preserve">- Back = (W - 2t + 9) x (H - 2t + 9) is unchanged; only its thickness moves 6 -&gt; 8.</t>
  </si>
  <si>
    <t xml:space="preserve">- Option A adds 4 extra BOM lines per carcass (2 laminate + adhesive, on panels and back).</t>
  </si>
  <si>
    <t xml:space="preserve">- Raw material key becomes carcass|&lt;option&gt;|&lt;finish&gt;|18 instead of carcass|&lt;finish&gt;|15.</t>
  </si>
  <si>
    <t xml:space="preserve">Remaining questions</t>
  </si>
  <si>
    <t xml:space="preserve">Topic</t>
  </si>
  <si>
    <t xml:space="preserve">What I still need</t>
  </si>
  <si>
    <t xml:space="preserve">Why it matters</t>
  </si>
  <si>
    <t xml:space="preserve">Neon profile naming</t>
  </si>
  <si>
    <t xml:space="preserve">Stone builder lists NEON20. You said Neon 50 / Neon 22. Same profile renamed, or three different ones?</t>
  </si>
  <si>
    <t xml:space="preserve">The design list and profile lookup key off this code</t>
  </si>
  <si>
    <t xml:space="preserve">Neon inset / frame</t>
  </si>
  <si>
    <t xml:space="preserve">The mm the glass sits inside the leaf, and the frame width, for Neon 50 and Neon 22</t>
  </si>
  <si>
    <t xml:space="preserve">Drives glass panel size: pw = w - inset, ph = h - inset</t>
  </si>
  <si>
    <t xml:space="preserve">Glass thickness</t>
  </si>
  <si>
    <t xml:space="preserve">5mm as in stone, or different for Neon 50 / 22?</t>
  </si>
  <si>
    <t xml:space="preserve">Raw glass line and the shutter code's thickness token</t>
  </si>
  <si>
    <t xml:space="preserve">Membrane adhesive rate</t>
  </si>
  <si>
    <t xml:space="preserve">g/sqft, like the 25 g/sqft you gave for laminate</t>
  </si>
  <si>
    <t xml:space="preserve">Currently the only consumable with no rate</t>
  </si>
  <si>
    <t xml:space="preserve">PU rates per side</t>
  </si>
  <si>
    <t xml:space="preserve">Confirm 15/40/70 g/sqft are PER SIDE (I have assumed so)</t>
  </si>
  <si>
    <t xml:space="preserve">Doubles the whole paint quantity if wrong</t>
  </si>
  <si>
    <t xml:space="preserve">Raw board for PU both sides</t>
  </si>
  <si>
    <t xml:space="preserve">16mm or 18mm raw core? Post-lam uses 16mm; PU has no laminate to add</t>
  </si>
  <si>
    <t xml:space="preserve">If 18mm, PU and post-lam draw different raw items</t>
  </si>
  <si>
    <t xml:space="preserve">Edge band thickness</t>
  </si>
  <si>
    <t xml:space="preserve">2mm on shutters confirmed. What about exposed carcass edges - 0.8mm or 2mm?</t>
  </si>
  <si>
    <t xml:space="preserve">Separate raw item and a separate RMT line</t>
  </si>
  <si>
    <t xml:space="preserve">Shutter field name</t>
  </si>
  <si>
    <t xml:space="preserve">Should the form field be 'Shutter Type' with these 6 options?</t>
  </si>
  <si>
    <t xml:space="preserve">Replaces the stone 'Shutter Profile Design' dropdown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</si>
</sst>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1A17"/>
      <name val="Arial"/>
      <family val="0"/>
      <charset val="1"/>
    </font>
    <font>
      <i val="true"/>
      <sz val="9"/>
      <color rgb="FFC8521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A726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C8521E"/>
      <name val="Arial"/>
      <family val="0"/>
      <charset val="1"/>
    </font>
    <font>
      <b val="true"/>
      <sz val="13"/>
      <color rgb="FF1C1A17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5D6B"/>
        <bgColor rgb="FF008080"/>
      </patternFill>
    </fill>
    <fill>
      <patternFill patternType="solid">
        <fgColor rgb="FFEAF1F5"/>
        <bgColor rgb="FFF3EFF5"/>
      </patternFill>
    </fill>
    <fill>
      <patternFill patternType="solid">
        <fgColor rgb="FFFCE4D6"/>
        <bgColor rgb="FFFFF2CC"/>
      </patternFill>
    </fill>
    <fill>
      <patternFill patternType="solid">
        <fgColor rgb="FFF0EEE8"/>
        <bgColor rgb="FFF2F0EB"/>
      </patternFill>
    </fill>
    <fill>
      <patternFill patternType="solid">
        <fgColor rgb="FFF3EFF5"/>
        <bgColor rgb="FFF2F0EB"/>
      </patternFill>
    </fill>
    <fill>
      <patternFill patternType="solid">
        <fgColor rgb="FFE8F0E4"/>
        <bgColor rgb="FFF0EEE8"/>
      </patternFill>
    </fill>
    <fill>
      <patternFill patternType="solid">
        <fgColor rgb="FFFFFF00"/>
        <bgColor rgb="FFFFFF00"/>
      </patternFill>
    </fill>
    <fill>
      <patternFill patternType="solid">
        <fgColor rgb="FFF2F0EB"/>
        <bgColor rgb="FFF0EEE8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D6B"/>
      <rgbColor rgb="FFBFBFBF"/>
      <rgbColor rgb="FF7A7269"/>
      <rgbColor rgb="FF9999FF"/>
      <rgbColor rgb="FF993366"/>
      <rgbColor rgb="FFFFF2CC"/>
      <rgbColor rgb="FFEAF1F5"/>
      <rgbColor rgb="FF660066"/>
      <rgbColor rgb="FFFF8080"/>
      <rgbColor rgb="FF0066CC"/>
      <rgbColor rgb="FFF3EF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0EB"/>
      <rgbColor rgb="FFE8F0E4"/>
      <rgbColor rgb="FFF0EEE8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8521E"/>
      <rgbColor rgb="FF666699"/>
      <rgbColor rgb="FF969696"/>
      <rgbColor rgb="FF003366"/>
      <rgbColor rgb="FF339966"/>
      <rgbColor rgb="FF003300"/>
      <rgbColor rgb="FF1C1A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0" hidden="false" customHeight="true" outlineLevel="0" collapsed="false">
      <c r="A5" s="4" t="s">
        <v>8</v>
      </c>
      <c r="B5" s="5" t="s">
        <v>9</v>
      </c>
      <c r="C5" s="6" t="s">
        <v>10</v>
      </c>
      <c r="D5" s="6" t="s">
        <v>11</v>
      </c>
      <c r="E5" s="6" t="s">
        <v>12</v>
      </c>
      <c r="F5" s="6" t="s">
        <v>13</v>
      </c>
    </row>
    <row r="6" customFormat="false" ht="30" hidden="false" customHeight="true" outlineLevel="0" collapsed="false">
      <c r="A6" s="4" t="s">
        <v>8</v>
      </c>
      <c r="B6" s="5" t="s">
        <v>14</v>
      </c>
      <c r="C6" s="7" t="s">
        <v>15</v>
      </c>
      <c r="D6" s="6" t="s">
        <v>16</v>
      </c>
      <c r="E6" s="6" t="s">
        <v>12</v>
      </c>
      <c r="F6" s="6" t="s">
        <v>17</v>
      </c>
    </row>
    <row r="7" customFormat="false" ht="30" hidden="false" customHeight="true" outlineLevel="0" collapsed="false">
      <c r="A7" s="8" t="s">
        <v>18</v>
      </c>
      <c r="B7" s="9" t="s">
        <v>19</v>
      </c>
      <c r="C7" s="10" t="s">
        <v>10</v>
      </c>
      <c r="D7" s="10" t="s">
        <v>20</v>
      </c>
      <c r="E7" s="10" t="s">
        <v>21</v>
      </c>
      <c r="F7" s="10" t="s">
        <v>22</v>
      </c>
    </row>
    <row r="8" customFormat="false" ht="30" hidden="false" customHeight="true" outlineLevel="0" collapsed="false">
      <c r="A8" s="11" t="s">
        <v>23</v>
      </c>
      <c r="B8" s="12" t="s">
        <v>24</v>
      </c>
      <c r="C8" s="13" t="s">
        <v>10</v>
      </c>
      <c r="D8" s="13" t="s">
        <v>25</v>
      </c>
      <c r="E8" s="13" t="s">
        <v>26</v>
      </c>
      <c r="F8" s="13" t="s">
        <v>27</v>
      </c>
    </row>
    <row r="9" customFormat="false" ht="30" hidden="false" customHeight="true" outlineLevel="0" collapsed="false">
      <c r="A9" s="11" t="s">
        <v>23</v>
      </c>
      <c r="B9" s="12" t="s">
        <v>28</v>
      </c>
      <c r="C9" s="13" t="s">
        <v>29</v>
      </c>
      <c r="D9" s="13" t="s">
        <v>30</v>
      </c>
      <c r="E9" s="13" t="s">
        <v>26</v>
      </c>
      <c r="F9" s="13" t="s">
        <v>31</v>
      </c>
    </row>
    <row r="10" customFormat="false" ht="30" hidden="false" customHeight="true" outlineLevel="0" collapsed="false">
      <c r="A10" s="14" t="s">
        <v>32</v>
      </c>
      <c r="B10" s="15" t="s">
        <v>33</v>
      </c>
      <c r="C10" s="7" t="s">
        <v>34</v>
      </c>
      <c r="D10" s="16" t="s">
        <v>35</v>
      </c>
      <c r="E10" s="16" t="s">
        <v>36</v>
      </c>
      <c r="F10" s="16" t="s">
        <v>37</v>
      </c>
    </row>
    <row r="11" customFormat="false" ht="15" hidden="false" customHeight="false" outlineLevel="0" collapsed="false">
      <c r="C11" s="17"/>
    </row>
    <row r="12" customFormat="false" ht="15" hidden="false" customHeight="false" outlineLevel="0" collapsed="false">
      <c r="A12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32"/>
    <col collapsed="false" customWidth="true" hidden="false" outlineLevel="0" max="5" min="5" style="0" width="26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32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18" t="s">
        <v>40</v>
      </c>
    </row>
    <row r="4" customFormat="false" ht="15" hidden="false" customHeight="false" outlineLevel="0" collapsed="false">
      <c r="A4" s="19" t="s">
        <v>41</v>
      </c>
      <c r="B4" s="20" t="n">
        <v>600</v>
      </c>
    </row>
    <row r="5" customFormat="false" ht="15" hidden="false" customHeight="false" outlineLevel="0" collapsed="false">
      <c r="A5" s="19" t="s">
        <v>42</v>
      </c>
      <c r="B5" s="20" t="n">
        <v>720</v>
      </c>
    </row>
    <row r="6" customFormat="false" ht="15" hidden="false" customHeight="false" outlineLevel="0" collapsed="false">
      <c r="A6" s="19" t="s">
        <v>43</v>
      </c>
      <c r="B6" s="20" t="n">
        <v>1</v>
      </c>
    </row>
    <row r="7" customFormat="false" ht="15" hidden="false" customHeight="false" outlineLevel="0" collapsed="false">
      <c r="A7" s="19" t="s">
        <v>44</v>
      </c>
      <c r="B7" s="20" t="n">
        <v>50</v>
      </c>
    </row>
    <row r="8" customFormat="false" ht="15" hidden="false" customHeight="false" outlineLevel="0" collapsed="false">
      <c r="A8" s="19" t="s">
        <v>45</v>
      </c>
      <c r="B8" s="20" t="n">
        <v>25</v>
      </c>
    </row>
    <row r="9" customFormat="false" ht="15" hidden="false" customHeight="false" outlineLevel="0" collapsed="false">
      <c r="A9" s="19" t="s">
        <v>46</v>
      </c>
      <c r="B9" s="20" t="n">
        <v>15</v>
      </c>
    </row>
    <row r="10" customFormat="false" ht="15" hidden="false" customHeight="false" outlineLevel="0" collapsed="false">
      <c r="A10" s="19" t="s">
        <v>47</v>
      </c>
      <c r="B10" s="20" t="n">
        <v>40</v>
      </c>
    </row>
    <row r="11" customFormat="false" ht="15" hidden="false" customHeight="false" outlineLevel="0" collapsed="false">
      <c r="A11" s="19" t="s">
        <v>48</v>
      </c>
      <c r="B11" s="20" t="n">
        <v>70</v>
      </c>
    </row>
    <row r="12" customFormat="false" ht="15" hidden="false" customHeight="false" outlineLevel="0" collapsed="false">
      <c r="A12" s="19" t="s">
        <v>49</v>
      </c>
      <c r="B12" s="21" t="n">
        <v>92903.04</v>
      </c>
    </row>
    <row r="14" customFormat="false" ht="15" hidden="false" customHeight="false" outlineLevel="0" collapsed="false">
      <c r="A14" s="19" t="s">
        <v>50</v>
      </c>
      <c r="B14" s="22" t="n">
        <f aca="false">$B$4*$B$5/$B$12</f>
        <v>4.6500093000186</v>
      </c>
    </row>
    <row r="15" customFormat="false" ht="15" hidden="false" customHeight="false" outlineLevel="0" collapsed="false">
      <c r="A15" s="19" t="s">
        <v>51</v>
      </c>
      <c r="B15" s="22" t="n">
        <f aca="false">2*($B$4+$B$5)/1000</f>
        <v>2.64</v>
      </c>
    </row>
    <row r="17" customFormat="false" ht="30" hidden="false" customHeight="true" outlineLevel="0" collapsed="false">
      <c r="A17" s="3" t="s">
        <v>3</v>
      </c>
      <c r="B17" s="3" t="s">
        <v>52</v>
      </c>
      <c r="C17" s="3" t="s">
        <v>53</v>
      </c>
      <c r="D17" s="3" t="s">
        <v>54</v>
      </c>
      <c r="E17" s="3" t="s">
        <v>55</v>
      </c>
      <c r="F17" s="3" t="s">
        <v>56</v>
      </c>
      <c r="G17" s="3" t="s">
        <v>57</v>
      </c>
      <c r="H17" s="3" t="s">
        <v>58</v>
      </c>
    </row>
    <row r="18" customFormat="false" ht="15" hidden="false" customHeight="false" outlineLevel="0" collapsed="false">
      <c r="A18" s="4" t="s">
        <v>9</v>
      </c>
      <c r="B18" s="23" t="n">
        <v>1</v>
      </c>
      <c r="C18" s="5" t="s">
        <v>59</v>
      </c>
      <c r="D18" s="5" t="s">
        <v>60</v>
      </c>
      <c r="E18" s="5" t="s">
        <v>61</v>
      </c>
      <c r="F18" s="24" t="n">
        <f aca="false">$B$14*$B$6</f>
        <v>4.6500093000186</v>
      </c>
      <c r="G18" s="23" t="s">
        <v>62</v>
      </c>
      <c r="H18" s="6"/>
    </row>
    <row r="19" customFormat="false" ht="15" hidden="false" customHeight="false" outlineLevel="0" collapsed="false">
      <c r="A19" s="4"/>
      <c r="B19" s="23" t="n">
        <v>2</v>
      </c>
      <c r="C19" s="5" t="s">
        <v>12</v>
      </c>
      <c r="D19" s="5" t="s">
        <v>63</v>
      </c>
      <c r="E19" s="5" t="s">
        <v>64</v>
      </c>
      <c r="F19" s="24" t="n">
        <f aca="false">$B$15*$B$6</f>
        <v>2.64</v>
      </c>
      <c r="G19" s="23" t="s">
        <v>65</v>
      </c>
      <c r="H19" s="6"/>
    </row>
    <row r="20" customFormat="false" ht="15" hidden="false" customHeight="false" outlineLevel="0" collapsed="false">
      <c r="A20" s="4"/>
      <c r="B20" s="23" t="n">
        <v>3</v>
      </c>
      <c r="C20" s="5" t="s">
        <v>66</v>
      </c>
      <c r="D20" s="5" t="s">
        <v>67</v>
      </c>
      <c r="E20" s="5" t="s">
        <v>64</v>
      </c>
      <c r="F20" s="24" t="n">
        <f aca="false">$B$15*$B$6</f>
        <v>2.64</v>
      </c>
      <c r="G20" s="23" t="s">
        <v>65</v>
      </c>
      <c r="H20" s="6" t="s">
        <v>68</v>
      </c>
    </row>
    <row r="21" customFormat="false" ht="15" hidden="false" customHeight="false" outlineLevel="0" collapsed="false">
      <c r="A21" s="4" t="s">
        <v>14</v>
      </c>
      <c r="B21" s="23" t="n">
        <v>1</v>
      </c>
      <c r="C21" s="5" t="s">
        <v>69</v>
      </c>
      <c r="D21" s="5" t="s">
        <v>70</v>
      </c>
      <c r="E21" s="5" t="s">
        <v>61</v>
      </c>
      <c r="F21" s="24" t="n">
        <f aca="false">$B$14*$B$6</f>
        <v>4.6500093000186</v>
      </c>
      <c r="G21" s="23" t="s">
        <v>62</v>
      </c>
      <c r="H21" s="6" t="s">
        <v>71</v>
      </c>
    </row>
    <row r="22" customFormat="false" ht="15" hidden="false" customHeight="false" outlineLevel="0" collapsed="false">
      <c r="A22" s="4"/>
      <c r="B22" s="23" t="n">
        <v>2</v>
      </c>
      <c r="C22" s="5" t="s">
        <v>72</v>
      </c>
      <c r="D22" s="5" t="s">
        <v>73</v>
      </c>
      <c r="E22" s="5" t="s">
        <v>61</v>
      </c>
      <c r="F22" s="24" t="n">
        <f aca="false">$B$14*$B$6</f>
        <v>4.6500093000186</v>
      </c>
      <c r="G22" s="23" t="s">
        <v>62</v>
      </c>
      <c r="H22" s="6"/>
    </row>
    <row r="23" customFormat="false" ht="15" hidden="false" customHeight="false" outlineLevel="0" collapsed="false">
      <c r="A23" s="4"/>
      <c r="B23" s="23" t="n">
        <v>3</v>
      </c>
      <c r="C23" s="5" t="s">
        <v>74</v>
      </c>
      <c r="D23" s="5" t="s">
        <v>73</v>
      </c>
      <c r="E23" s="5" t="s">
        <v>61</v>
      </c>
      <c r="F23" s="24" t="n">
        <f aca="false">$B$14*$B$6</f>
        <v>4.6500093000186</v>
      </c>
      <c r="G23" s="23" t="s">
        <v>62</v>
      </c>
      <c r="H23" s="6"/>
    </row>
    <row r="24" customFormat="false" ht="15" hidden="false" customHeight="false" outlineLevel="0" collapsed="false">
      <c r="A24" s="4"/>
      <c r="B24" s="23" t="n">
        <v>4</v>
      </c>
      <c r="C24" s="5" t="s">
        <v>75</v>
      </c>
      <c r="D24" s="5" t="s">
        <v>76</v>
      </c>
      <c r="E24" s="5" t="s">
        <v>77</v>
      </c>
      <c r="F24" s="24" t="n">
        <f aca="false">$B$14*$B$8*2*$B$6</f>
        <v>232.50046500093</v>
      </c>
      <c r="G24" s="23" t="s">
        <v>78</v>
      </c>
      <c r="H24" s="6"/>
    </row>
    <row r="25" customFormat="false" ht="15" hidden="false" customHeight="false" outlineLevel="0" collapsed="false">
      <c r="A25" s="4"/>
      <c r="B25" s="23" t="n">
        <v>5</v>
      </c>
      <c r="C25" s="5" t="s">
        <v>12</v>
      </c>
      <c r="D25" s="5" t="s">
        <v>63</v>
      </c>
      <c r="E25" s="5" t="s">
        <v>64</v>
      </c>
      <c r="F25" s="24" t="n">
        <f aca="false">$B$15*$B$6</f>
        <v>2.64</v>
      </c>
      <c r="G25" s="23" t="s">
        <v>65</v>
      </c>
      <c r="H25" s="6"/>
    </row>
    <row r="26" customFormat="false" ht="15" hidden="false" customHeight="false" outlineLevel="0" collapsed="false">
      <c r="A26" s="4"/>
      <c r="B26" s="23" t="n">
        <v>6</v>
      </c>
      <c r="C26" s="5" t="s">
        <v>66</v>
      </c>
      <c r="D26" s="5" t="s">
        <v>67</v>
      </c>
      <c r="E26" s="5" t="s">
        <v>64</v>
      </c>
      <c r="F26" s="24" t="n">
        <f aca="false">$B$15*$B$6</f>
        <v>2.64</v>
      </c>
      <c r="G26" s="23" t="s">
        <v>65</v>
      </c>
      <c r="H26" s="6"/>
    </row>
    <row r="27" customFormat="false" ht="15" hidden="false" customHeight="false" outlineLevel="0" collapsed="false">
      <c r="A27" s="8" t="s">
        <v>79</v>
      </c>
      <c r="B27" s="25" t="n">
        <v>1</v>
      </c>
      <c r="C27" s="9" t="s">
        <v>59</v>
      </c>
      <c r="D27" s="9" t="s">
        <v>60</v>
      </c>
      <c r="E27" s="9" t="s">
        <v>61</v>
      </c>
      <c r="F27" s="26" t="n">
        <f aca="false">$B$14*$B$6</f>
        <v>4.6500093000186</v>
      </c>
      <c r="G27" s="25" t="s">
        <v>62</v>
      </c>
      <c r="H27" s="10" t="s">
        <v>80</v>
      </c>
    </row>
    <row r="28" customFormat="false" ht="15" hidden="false" customHeight="false" outlineLevel="0" collapsed="false">
      <c r="A28" s="8"/>
      <c r="B28" s="25" t="n">
        <v>2</v>
      </c>
      <c r="C28" s="9" t="s">
        <v>81</v>
      </c>
      <c r="D28" s="9" t="s">
        <v>82</v>
      </c>
      <c r="E28" s="9" t="s">
        <v>83</v>
      </c>
      <c r="F28" s="26" t="n">
        <f aca="false">($B$4+2*$B$7)*($B$5+2*$B$7)/$B$12*$B$6</f>
        <v>6.17848457919138</v>
      </c>
      <c r="G28" s="25" t="s">
        <v>62</v>
      </c>
      <c r="H28" s="10" t="s">
        <v>84</v>
      </c>
    </row>
    <row r="29" customFormat="false" ht="15" hidden="false" customHeight="false" outlineLevel="0" collapsed="false">
      <c r="A29" s="8"/>
      <c r="B29" s="25" t="n">
        <v>3</v>
      </c>
      <c r="C29" s="9" t="s">
        <v>22</v>
      </c>
      <c r="D29" s="9" t="s">
        <v>85</v>
      </c>
      <c r="E29" s="9" t="s">
        <v>61</v>
      </c>
      <c r="F29" s="26" t="n">
        <f aca="false">$B$14*$B$6</f>
        <v>4.6500093000186</v>
      </c>
      <c r="G29" s="25" t="s">
        <v>62</v>
      </c>
      <c r="H29" s="27" t="s">
        <v>86</v>
      </c>
    </row>
    <row r="30" customFormat="false" ht="15" hidden="false" customHeight="false" outlineLevel="0" collapsed="false">
      <c r="A30" s="11" t="s">
        <v>87</v>
      </c>
      <c r="B30" s="28" t="n">
        <v>1</v>
      </c>
      <c r="C30" s="12" t="s">
        <v>59</v>
      </c>
      <c r="D30" s="12" t="s">
        <v>60</v>
      </c>
      <c r="E30" s="12" t="s">
        <v>61</v>
      </c>
      <c r="F30" s="29" t="n">
        <f aca="false">$B$14*$B$6</f>
        <v>4.6500093000186</v>
      </c>
      <c r="G30" s="28" t="s">
        <v>62</v>
      </c>
      <c r="H30" s="13" t="s">
        <v>88</v>
      </c>
    </row>
    <row r="31" customFormat="false" ht="15" hidden="false" customHeight="false" outlineLevel="0" collapsed="false">
      <c r="A31" s="11"/>
      <c r="B31" s="28" t="n">
        <v>2</v>
      </c>
      <c r="C31" s="12" t="s">
        <v>89</v>
      </c>
      <c r="D31" s="12" t="s">
        <v>90</v>
      </c>
      <c r="E31" s="12" t="s">
        <v>91</v>
      </c>
      <c r="F31" s="29" t="n">
        <f aca="false">$B$14*$B$9*$B$6</f>
        <v>69.750139500279</v>
      </c>
      <c r="G31" s="28" t="s">
        <v>78</v>
      </c>
      <c r="H31" s="13"/>
    </row>
    <row r="32" customFormat="false" ht="15" hidden="false" customHeight="false" outlineLevel="0" collapsed="false">
      <c r="A32" s="11"/>
      <c r="B32" s="28" t="n">
        <v>3</v>
      </c>
      <c r="C32" s="12" t="s">
        <v>92</v>
      </c>
      <c r="D32" s="12" t="s">
        <v>93</v>
      </c>
      <c r="E32" s="12" t="s">
        <v>94</v>
      </c>
      <c r="F32" s="29" t="n">
        <f aca="false">$B$14*$B$10*$B$6</f>
        <v>186.000372000744</v>
      </c>
      <c r="G32" s="28" t="s">
        <v>78</v>
      </c>
      <c r="H32" s="13"/>
    </row>
    <row r="33" customFormat="false" ht="15" hidden="false" customHeight="false" outlineLevel="0" collapsed="false">
      <c r="A33" s="11"/>
      <c r="B33" s="28" t="n">
        <v>4</v>
      </c>
      <c r="C33" s="12" t="s">
        <v>95</v>
      </c>
      <c r="D33" s="12" t="s">
        <v>96</v>
      </c>
      <c r="E33" s="12" t="s">
        <v>97</v>
      </c>
      <c r="F33" s="29" t="n">
        <f aca="false">$B$14*$B$11*$B$6</f>
        <v>325.500651001302</v>
      </c>
      <c r="G33" s="28" t="s">
        <v>78</v>
      </c>
      <c r="H33" s="13"/>
    </row>
    <row r="34" customFormat="false" ht="15" hidden="false" customHeight="false" outlineLevel="0" collapsed="false">
      <c r="A34" s="11" t="s">
        <v>98</v>
      </c>
      <c r="B34" s="28" t="n">
        <v>1</v>
      </c>
      <c r="C34" s="12" t="s">
        <v>99</v>
      </c>
      <c r="D34" s="12" t="s">
        <v>100</v>
      </c>
      <c r="E34" s="12" t="s">
        <v>61</v>
      </c>
      <c r="F34" s="29" t="n">
        <f aca="false">$B$14*$B$6</f>
        <v>4.6500093000186</v>
      </c>
      <c r="G34" s="28" t="s">
        <v>62</v>
      </c>
      <c r="H34" s="13"/>
    </row>
    <row r="35" customFormat="false" ht="15" hidden="false" customHeight="false" outlineLevel="0" collapsed="false">
      <c r="A35" s="11"/>
      <c r="B35" s="28" t="n">
        <v>2</v>
      </c>
      <c r="C35" s="12" t="s">
        <v>89</v>
      </c>
      <c r="D35" s="12" t="s">
        <v>90</v>
      </c>
      <c r="E35" s="12" t="s">
        <v>101</v>
      </c>
      <c r="F35" s="29" t="n">
        <f aca="false">$B$14*$B$9*2*$B$6</f>
        <v>139.500279000558</v>
      </c>
      <c r="G35" s="28" t="s">
        <v>78</v>
      </c>
      <c r="H35" s="13"/>
    </row>
    <row r="36" customFormat="false" ht="15" hidden="false" customHeight="false" outlineLevel="0" collapsed="false">
      <c r="A36" s="11"/>
      <c r="B36" s="28" t="n">
        <v>3</v>
      </c>
      <c r="C36" s="12" t="s">
        <v>92</v>
      </c>
      <c r="D36" s="12" t="s">
        <v>93</v>
      </c>
      <c r="E36" s="12" t="s">
        <v>102</v>
      </c>
      <c r="F36" s="29" t="n">
        <f aca="false">$B$14*$B$10*2*$B$6</f>
        <v>372.000744001488</v>
      </c>
      <c r="G36" s="28" t="s">
        <v>78</v>
      </c>
      <c r="H36" s="13"/>
    </row>
    <row r="37" customFormat="false" ht="15" hidden="false" customHeight="false" outlineLevel="0" collapsed="false">
      <c r="A37" s="11"/>
      <c r="B37" s="28" t="n">
        <v>4</v>
      </c>
      <c r="C37" s="12" t="s">
        <v>95</v>
      </c>
      <c r="D37" s="12" t="s">
        <v>96</v>
      </c>
      <c r="E37" s="12" t="s">
        <v>103</v>
      </c>
      <c r="F37" s="29" t="n">
        <f aca="false">$B$14*$B$11*2*$B$6</f>
        <v>651.001302002604</v>
      </c>
      <c r="G37" s="28" t="s">
        <v>78</v>
      </c>
      <c r="H37" s="13"/>
    </row>
    <row r="38" customFormat="false" ht="15" hidden="false" customHeight="false" outlineLevel="0" collapsed="false">
      <c r="A38" s="14" t="s">
        <v>104</v>
      </c>
      <c r="B38" s="30" t="n">
        <v>1</v>
      </c>
      <c r="C38" s="15" t="s">
        <v>105</v>
      </c>
      <c r="D38" s="15" t="s">
        <v>106</v>
      </c>
      <c r="E38" s="15" t="s">
        <v>107</v>
      </c>
      <c r="F38" s="31" t="n">
        <f aca="false">$B$14*$B$6</f>
        <v>4.6500093000186</v>
      </c>
      <c r="G38" s="30" t="s">
        <v>62</v>
      </c>
      <c r="H38" s="27" t="s">
        <v>108</v>
      </c>
    </row>
    <row r="39" customFormat="false" ht="15" hidden="false" customHeight="false" outlineLevel="0" collapsed="false">
      <c r="A39" s="14"/>
      <c r="B39" s="30" t="n">
        <v>2</v>
      </c>
      <c r="C39" s="15" t="s">
        <v>109</v>
      </c>
      <c r="D39" s="15" t="s">
        <v>33</v>
      </c>
      <c r="E39" s="15" t="s">
        <v>110</v>
      </c>
      <c r="F39" s="31" t="n">
        <f aca="false">$B$5/1000*2*$B$6</f>
        <v>1.44</v>
      </c>
      <c r="G39" s="30" t="s">
        <v>111</v>
      </c>
      <c r="H39" s="16"/>
    </row>
    <row r="40" customFormat="false" ht="15" hidden="false" customHeight="false" outlineLevel="0" collapsed="false">
      <c r="A40" s="14"/>
      <c r="B40" s="30" t="n">
        <v>3</v>
      </c>
      <c r="C40" s="15" t="s">
        <v>112</v>
      </c>
      <c r="D40" s="15" t="s">
        <v>33</v>
      </c>
      <c r="E40" s="15" t="s">
        <v>113</v>
      </c>
      <c r="F40" s="31" t="n">
        <f aca="false">$B$4/1000*2*$B$6</f>
        <v>1.2</v>
      </c>
      <c r="G40" s="30" t="s">
        <v>111</v>
      </c>
      <c r="H40" s="16"/>
    </row>
    <row r="41" customFormat="false" ht="15" hidden="false" customHeight="false" outlineLevel="0" collapsed="false">
      <c r="A41" s="14"/>
      <c r="B41" s="30" t="n">
        <v>4</v>
      </c>
      <c r="C41" s="15" t="s">
        <v>114</v>
      </c>
      <c r="D41" s="15" t="s">
        <v>115</v>
      </c>
      <c r="E41" s="15" t="s">
        <v>116</v>
      </c>
      <c r="F41" s="31" t="n">
        <f aca="false">4*$B$6</f>
        <v>4</v>
      </c>
      <c r="G41" s="30" t="s">
        <v>117</v>
      </c>
      <c r="H41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34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18" t="s">
        <v>119</v>
      </c>
    </row>
    <row r="4" customFormat="false" ht="30" hidden="false" customHeight="true" outlineLevel="0" collapsed="false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3" t="s">
        <v>126</v>
      </c>
    </row>
    <row r="5" customFormat="false" ht="31.5" hidden="false" customHeight="true" outlineLevel="0" collapsed="false">
      <c r="A5" s="32" t="s">
        <v>127</v>
      </c>
      <c r="B5" s="6" t="s">
        <v>128</v>
      </c>
      <c r="C5" s="23" t="n">
        <v>18</v>
      </c>
      <c r="D5" s="6" t="s">
        <v>129</v>
      </c>
      <c r="E5" s="6" t="s">
        <v>130</v>
      </c>
      <c r="F5" s="23" t="n">
        <v>8</v>
      </c>
      <c r="G5" s="6" t="s">
        <v>129</v>
      </c>
    </row>
    <row r="6" customFormat="false" ht="31.5" hidden="false" customHeight="true" outlineLevel="0" collapsed="false">
      <c r="A6" s="33" t="s">
        <v>131</v>
      </c>
      <c r="B6" s="10" t="s">
        <v>132</v>
      </c>
      <c r="C6" s="25" t="n">
        <v>18</v>
      </c>
      <c r="D6" s="10" t="s">
        <v>133</v>
      </c>
      <c r="E6" s="10" t="s">
        <v>134</v>
      </c>
      <c r="F6" s="25" t="n">
        <v>8</v>
      </c>
      <c r="G6" s="10" t="s">
        <v>135</v>
      </c>
    </row>
    <row r="7" customFormat="false" ht="31.5" hidden="false" customHeight="true" outlineLevel="0" collapsed="false">
      <c r="A7" s="33" t="s">
        <v>136</v>
      </c>
      <c r="B7" s="10" t="s">
        <v>137</v>
      </c>
      <c r="C7" s="25" t="n">
        <v>18</v>
      </c>
      <c r="D7" s="10" t="s">
        <v>133</v>
      </c>
      <c r="E7" s="10" t="s">
        <v>138</v>
      </c>
      <c r="F7" s="25" t="n">
        <v>8</v>
      </c>
      <c r="G7" s="10" t="s">
        <v>135</v>
      </c>
    </row>
    <row r="9" customFormat="false" ht="15" hidden="false" customHeight="false" outlineLevel="0" collapsed="false">
      <c r="A9" s="34" t="s">
        <v>139</v>
      </c>
    </row>
    <row r="10" customFormat="false" ht="15" hidden="false" customHeight="false" outlineLevel="0" collapsed="false">
      <c r="A10" s="35" t="s">
        <v>140</v>
      </c>
    </row>
    <row r="11" customFormat="false" ht="15" hidden="false" customHeight="false" outlineLevel="0" collapsed="false">
      <c r="A11" s="35" t="s">
        <v>141</v>
      </c>
    </row>
    <row r="12" customFormat="false" ht="15" hidden="false" customHeight="false" outlineLevel="0" collapsed="false">
      <c r="A12" s="35" t="s">
        <v>142</v>
      </c>
    </row>
    <row r="13" customFormat="false" ht="15" hidden="false" customHeight="false" outlineLevel="0" collapsed="false">
      <c r="A13" s="35" t="s">
        <v>143</v>
      </c>
    </row>
    <row r="14" customFormat="false" ht="15" hidden="false" customHeight="false" outlineLevel="0" collapsed="false">
      <c r="A14" s="35" t="s">
        <v>144</v>
      </c>
    </row>
    <row r="15" customFormat="false" ht="15" hidden="false" customHeight="false" outlineLevel="0" collapsed="false">
      <c r="A15" s="35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46"/>
  </cols>
  <sheetData>
    <row r="1" customFormat="false" ht="16.15" hidden="false" customHeight="false" outlineLevel="0" collapsed="false">
      <c r="A1" s="36" t="s">
        <v>146</v>
      </c>
    </row>
    <row r="3" customFormat="false" ht="30" hidden="false" customHeight="true" outlineLevel="0" collapsed="false">
      <c r="A3" s="3" t="s">
        <v>52</v>
      </c>
      <c r="B3" s="3" t="s">
        <v>147</v>
      </c>
      <c r="C3" s="3" t="s">
        <v>148</v>
      </c>
      <c r="D3" s="3" t="s">
        <v>149</v>
      </c>
    </row>
    <row r="4" customFormat="false" ht="33.75" hidden="false" customHeight="true" outlineLevel="0" collapsed="false">
      <c r="A4" s="37" t="n">
        <v>1</v>
      </c>
      <c r="B4" s="38" t="s">
        <v>150</v>
      </c>
      <c r="C4" s="38" t="s">
        <v>151</v>
      </c>
      <c r="D4" s="38" t="s">
        <v>152</v>
      </c>
    </row>
    <row r="5" customFormat="false" ht="33.75" hidden="false" customHeight="true" outlineLevel="0" collapsed="false">
      <c r="A5" s="37" t="n">
        <v>2</v>
      </c>
      <c r="B5" s="38" t="s">
        <v>153</v>
      </c>
      <c r="C5" s="38" t="s">
        <v>154</v>
      </c>
      <c r="D5" s="38" t="s">
        <v>155</v>
      </c>
    </row>
    <row r="6" customFormat="false" ht="33.75" hidden="false" customHeight="true" outlineLevel="0" collapsed="false">
      <c r="A6" s="37" t="n">
        <v>3</v>
      </c>
      <c r="B6" s="38" t="s">
        <v>156</v>
      </c>
      <c r="C6" s="38" t="s">
        <v>157</v>
      </c>
      <c r="D6" s="38" t="s">
        <v>158</v>
      </c>
    </row>
    <row r="7" customFormat="false" ht="33.75" hidden="false" customHeight="true" outlineLevel="0" collapsed="false">
      <c r="A7" s="37" t="n">
        <v>4</v>
      </c>
      <c r="B7" s="38" t="s">
        <v>159</v>
      </c>
      <c r="C7" s="38" t="s">
        <v>160</v>
      </c>
      <c r="D7" s="38" t="s">
        <v>161</v>
      </c>
    </row>
    <row r="8" customFormat="false" ht="33.75" hidden="false" customHeight="true" outlineLevel="0" collapsed="false">
      <c r="A8" s="37" t="n">
        <v>5</v>
      </c>
      <c r="B8" s="38" t="s">
        <v>162</v>
      </c>
      <c r="C8" s="38" t="s">
        <v>163</v>
      </c>
      <c r="D8" s="38" t="s">
        <v>164</v>
      </c>
    </row>
    <row r="9" customFormat="false" ht="33.75" hidden="false" customHeight="true" outlineLevel="0" collapsed="false">
      <c r="A9" s="37" t="n">
        <v>6</v>
      </c>
      <c r="B9" s="38" t="s">
        <v>165</v>
      </c>
      <c r="C9" s="38" t="s">
        <v>166</v>
      </c>
      <c r="D9" s="38" t="s">
        <v>167</v>
      </c>
    </row>
    <row r="10" customFormat="false" ht="33.75" hidden="false" customHeight="true" outlineLevel="0" collapsed="false">
      <c r="A10" s="37" t="n">
        <v>7</v>
      </c>
      <c r="B10" s="38" t="s">
        <v>168</v>
      </c>
      <c r="C10" s="38" t="s">
        <v>169</v>
      </c>
      <c r="D10" s="38" t="s">
        <v>170</v>
      </c>
    </row>
    <row r="11" customFormat="false" ht="33.75" hidden="false" customHeight="true" outlineLevel="0" collapsed="false">
      <c r="A11" s="37" t="n">
        <v>8</v>
      </c>
      <c r="B11" s="38" t="s">
        <v>171</v>
      </c>
      <c r="C11" s="38" t="s">
        <v>172</v>
      </c>
      <c r="D11" s="38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2026-09-02T11:48:10Z</dcterms:created>
  <dc:creator>openpyxl</dc:creator>
  <dc:description/>
  <dc:language>en-US</dc:language>
  <cp:lastModifiedBy/>
  <dcterms:modified xsi:type="dcterms:W3CDTF">2026-09-02T11:48:10Z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
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1 Configure Unit" sheetId="2" state="visible" r:id="rId4"/>
    <sheet name="2 Other Sections" sheetId="3" state="visible" r:id="rId5"/>
    <sheet name="3 Constants" sheetId="4" state="visible" r:id="rId6"/>
    <sheet name="4 Carcass BOM" sheetId="5" state="visible" r:id="rId7"/>
    <sheet name="5 Shutter BOM" sheetId="6" state="visible" r:id="rId8"/>
    <sheet name="6 Removed" sheetId="7" state="visible" r:id="rId9"/>
    <sheet name="7 Open Item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<sst xmlns="http://schemas.openxmlformats.org/spreadsheetml/2006/main" count="649" uniqueCount="456">
  <si>
    <t xml:space="preserve">Magppie Wood Kitchen - BOM Builder Spec</t>
  </si>
  <si>
    <t xml:space="preserve">Field list and BOM formulas. Derived from the Stone Carcass BOM Builder; only construction logic differs.</t>
  </si>
  <si>
    <t xml:space="preserve">Status legend</t>
  </si>
  <si>
    <t xml:space="preserve">SAME</t>
  </si>
  <si>
    <t xml:space="preserve">Carries over from the stone builder unchanged</t>
  </si>
  <si>
    <t xml:space="preserve">CHANGED</t>
  </si>
  <si>
    <t xml:space="preserve">Same field or concept, different values or formula</t>
  </si>
  <si>
    <t xml:space="preserve">NEW</t>
  </si>
  <si>
    <t xml:space="preserve">Does not exist in the stone builder</t>
  </si>
  <si>
    <t xml:space="preserve">REMOVED</t>
  </si>
  <si>
    <t xml:space="preserve">Exists in stone, deleted in wood</t>
  </si>
  <si>
    <t xml:space="preserve">Sheets in this workbook</t>
  </si>
  <si>
    <t xml:space="preserve">1 Configure Unit</t>
  </si>
  <si>
    <t xml:space="preserve">Every field in the per-cabinet form, in order</t>
  </si>
  <si>
    <t xml:space="preserve">2 Other Sections</t>
  </si>
  <si>
    <t xml:space="preserve">Sections 2 to 13 of the Project &amp; Totals tab</t>
  </si>
  <si>
    <t xml:space="preserve">3 Constants</t>
  </si>
  <si>
    <t xml:space="preserve">Every constant, rate and wastage figure</t>
  </si>
  <si>
    <t xml:space="preserve">4 Carcass BOM</t>
  </si>
  <si>
    <t xml:space="preserve">Panel formulas and consumables, with live example</t>
  </si>
  <si>
    <t xml:space="preserve">5 Shutter BOM</t>
  </si>
  <si>
    <t xml:space="preserve">All six shutter types, with live example</t>
  </si>
  <si>
    <t xml:space="preserve">6 Removed</t>
  </si>
  <si>
    <t xml:space="preserve">Stone logic deleted, so nobody hunts for it</t>
  </si>
  <si>
    <t xml:space="preserve">7 Open Items</t>
  </si>
  <si>
    <t xml:space="preserve">Still outstanding</t>
  </si>
  <si>
    <t xml:space="preserve">Headline decisions</t>
  </si>
  <si>
    <t xml:space="preserve">- Construction flips to FULL SIDES on every cabinet: sides run D x H, top and bottom sit between them.</t>
  </si>
  <si>
    <t xml:space="preserve">- All 14 zones and the full family set are retained. The construct field on ZONES becomes constant and can be dropped.</t>
  </si>
  <si>
    <t xml:space="preserve">- Base height stack: 100mm skirting + 720 carcass + 30 counter = 850. Carcass H of 720 is unchanged from stone.</t>
  </si>
  <si>
    <t xml:space="preserve">- Carcass thickness 18 nominal, back 8 nominal, shutter 18 nominal.</t>
  </si>
  <si>
    <t xml:space="preserve">- Edge band 0.8mm on all four edges of every panel except the back. Cut sizes are FINISHED sizes - no deduction.</t>
  </si>
  <si>
    <t xml:space="preserve">- Shutter Type replaces Shutter Profile Design. Six options. Shelf material is derived from it.</t>
  </si>
  <si>
    <t xml:space="preserve">- Aluminium survives only on the glass branch (Neon 20 / Neon 50) and on optional light accessories.</t>
  </si>
  <si>
    <t xml:space="preserve">- Nothing is automatic: all accessories including Elenor are opt-in.</t>
  </si>
  <si>
    <t xml:space="preserve">Section 1 - Configure Unit</t>
  </si>
  <si>
    <t xml:space="preserve">Per-cabinet form fields, in display order.</t>
  </si>
  <si>
    <t xml:space="preserve">#</t>
  </si>
  <si>
    <t xml:space="preserve">Field</t>
  </si>
  <si>
    <t xml:space="preserve">Status</t>
  </si>
  <si>
    <t xml:space="preserve">Values / source</t>
  </si>
  <si>
    <t xml:space="preserve">Conditional on</t>
  </si>
  <si>
    <t xml:space="preserve">Notes</t>
  </si>
  <si>
    <t xml:space="preserve">Zone</t>
  </si>
  <si>
    <t xml:space="preserve">14 zones: BC BCL BB BBL WC WB TC TB TCL LO LB LBF LOF MD</t>
  </si>
  <si>
    <t xml:space="preserve">always</t>
  </si>
  <si>
    <t xml:space="preserve">Code segment P1</t>
  </si>
  <si>
    <t xml:space="preserve">Cabinet Family</t>
  </si>
  <si>
    <t xml:space="preserve">Filtered by zone via famSetOf()</t>
  </si>
  <si>
    <t xml:space="preserve">Code segment P2</t>
  </si>
  <si>
    <t xml:space="preserve">Configuration</t>
  </si>
  <si>
    <t xml:space="preserve">Variant list per family</t>
  </si>
  <si>
    <t xml:space="preserve">Code segments P3 / P4</t>
  </si>
  <si>
    <t xml:space="preserve">Drawer Model</t>
  </si>
  <si>
    <t xml:space="preserve">Lian, Hettich, Blum, Hafele, Grass</t>
  </si>
  <si>
    <t xml:space="preserve">variant has drawers</t>
  </si>
  <si>
    <t xml:space="preserve">Now selects a bought-in metal box; drives the deduction lookup</t>
  </si>
  <si>
    <t xml:space="preserve">Tip-On</t>
  </si>
  <si>
    <t xml:space="preserve">2 BLUM codes</t>
  </si>
  <si>
    <t xml:space="preserve">loft zones</t>
  </si>
  <si>
    <t xml:space="preserve">Inbuilt Drawers</t>
  </si>
  <si>
    <t xml:space="preserve">none / 2HB+1BL</t>
  </si>
  <si>
    <t xml:space="preserve">family supports it</t>
  </si>
  <si>
    <t xml:space="preserve">Counting rules unchanged</t>
  </si>
  <si>
    <t xml:space="preserve">Hand</t>
  </si>
  <si>
    <t xml:space="preserve">LHS / RHS</t>
  </si>
  <si>
    <t xml:space="preserve">handed variants</t>
  </si>
  <si>
    <t xml:space="preserve">Handle / Profile</t>
  </si>
  <si>
    <t xml:space="preserve">XCJ (gola) / STD</t>
  </si>
  <si>
    <t xml:space="preserve">Drives CJ_CUT 23 on top depth and the 33/3 shutter deduction</t>
  </si>
  <si>
    <t xml:space="preserve">Shutter Type</t>
  </si>
  <si>
    <t xml:space="preserve">Prelaminated / Post-laminated / Membrane / PU 1-side / PU 2-side / Glass</t>
  </si>
  <si>
    <t xml:space="preserve">family has a shutter</t>
  </si>
  <si>
    <t xml:space="preserve">REPLACES stone Shutter Profile Design. Drives shelf material too</t>
  </si>
  <si>
    <t xml:space="preserve">Neon Profile</t>
  </si>
  <si>
    <t xml:space="preserve">Neon 20 / Neon 50</t>
  </si>
  <si>
    <t xml:space="preserve">Shutter Type = Glass</t>
  </si>
  <si>
    <t xml:space="preserve">Neon 20 inset 5 frame 25; Neon 50 inset 8 frame 50</t>
  </si>
  <si>
    <t xml:space="preserve">Glass Tint</t>
  </si>
  <si>
    <t xml:space="preserve">Clear / frosted / tinted</t>
  </si>
  <si>
    <t xml:space="preserve">5mm toughened</t>
  </si>
  <si>
    <t xml:space="preserve">Carcass Board Type</t>
  </si>
  <si>
    <t xml:space="preserve">A: 16mm ply + 0.8 lam both faces / B: 18mm prelam MDF / C: 18mm prelam particle board</t>
  </si>
  <si>
    <t xml:space="preserve">Branches the carcass BOM; carries its own matched 8mm back</t>
  </si>
  <si>
    <t xml:space="preserve">Carcass Finish</t>
  </si>
  <si>
    <t xml:space="preserve">Board shade</t>
  </si>
  <si>
    <t xml:space="preserve">Was stone shade</t>
  </si>
  <si>
    <t xml:space="preserve">Carcass Laminate</t>
  </si>
  <si>
    <t xml:space="preserve">Laminate shade / code</t>
  </si>
  <si>
    <t xml:space="preserve">Board Type = A</t>
  </si>
  <si>
    <t xml:space="preserve">0.8mm, both faces</t>
  </si>
  <si>
    <t xml:space="preserve">Carcass Edge Band</t>
  </si>
  <si>
    <t xml:space="preserve">0.8mm band shade</t>
  </si>
  <si>
    <t xml:space="preserve">REPLACES stone Carcass Profile Finish</t>
  </si>
  <si>
    <t xml:space="preserve">Shutter Finish</t>
  </si>
  <si>
    <t xml:space="preserve">Shade per shutter type</t>
  </si>
  <si>
    <t xml:space="preserve">has shutter</t>
  </si>
  <si>
    <t xml:space="preserve">Laminate - outer</t>
  </si>
  <si>
    <t xml:space="preserve">0.8mm laminate shade</t>
  </si>
  <si>
    <t xml:space="preserve">Shutter Type = Post-laminated</t>
  </si>
  <si>
    <t xml:space="preserve">Laminate - liner</t>
  </si>
  <si>
    <t xml:space="preserve">Usually white</t>
  </si>
  <si>
    <t xml:space="preserve">Membrane Design</t>
  </si>
  <si>
    <t xml:space="preserve">Membrane design / shade</t>
  </si>
  <si>
    <t xml:space="preserve">Shutter Type = Membrane</t>
  </si>
  <si>
    <t xml:space="preserve">PU Shade + Gloss</t>
  </si>
  <si>
    <t xml:space="preserve">Colour + gloss level</t>
  </si>
  <si>
    <t xml:space="preserve">Shutter Type = PU</t>
  </si>
  <si>
    <t xml:space="preserve">Shutter Edge Band</t>
  </si>
  <si>
    <t xml:space="preserve">Shutter Type = Laminated only</t>
  </si>
  <si>
    <t xml:space="preserve">REPLACES stone Shutter Profile Finish. Membrane and PU carry no band</t>
  </si>
  <si>
    <t xml:space="preserve">Dimensions W x H x D</t>
  </si>
  <si>
    <t xml:space="preserve">Per zone.family preset + custom</t>
  </si>
  <si>
    <t xml:space="preserve">New width table - see the widths workbook. Depths 560 full / 336 wall-loft-low</t>
  </si>
  <si>
    <t xml:space="preserve">Thickness</t>
  </si>
  <si>
    <t xml:space="preserve">Carcass 18 / Shutter 18 / Back 8</t>
  </si>
  <si>
    <t xml:space="preserve">Was a single locked value of 15</t>
  </si>
  <si>
    <t xml:space="preserve">Elevation</t>
  </si>
  <si>
    <t xml:space="preserve">AA to KK</t>
  </si>
  <si>
    <t xml:space="preserve">Mandatory before Add to Project</t>
  </si>
  <si>
    <t xml:space="preserve">Qty</t>
  </si>
  <si>
    <t xml:space="preserve">integer &gt;= 1</t>
  </si>
  <si>
    <t xml:space="preserve">Sections 2 to 13 - Project &amp; Totals tab</t>
  </si>
  <si>
    <t xml:space="preserve">Section</t>
  </si>
  <si>
    <t xml:space="preserve">Fields</t>
  </si>
  <si>
    <t xml:space="preserve">What it emits</t>
  </si>
  <si>
    <t xml:space="preserve">1 Zoho Sales Order</t>
  </si>
  <si>
    <t xml:space="preserve">SO search / Excel upload</t>
  </si>
  <si>
    <t xml:space="preserve">n/a</t>
  </si>
  <si>
    <t xml:space="preserve">Unchanged</t>
  </si>
  <si>
    <t xml:space="preserve">2 Consolidated Totals</t>
  </si>
  <si>
    <t xml:space="preserve">Roll-up display</t>
  </si>
  <si>
    <t xml:space="preserve">3 Board - per type</t>
  </si>
  <si>
    <t xml:space="preserve">sqft and SHEET COUNT per board type and finish</t>
  </si>
  <si>
    <t xml:space="preserve">Was 'Stone - per finish'. Now converts sqft to 2440x1220 sheets</t>
  </si>
  <si>
    <t xml:space="preserve">4 Project Lines</t>
  </si>
  <si>
    <t xml:space="preserve">Cabinet list</t>
  </si>
  <si>
    <t xml:space="preserve">5 Fillers</t>
  </si>
  <si>
    <t xml:space="preserve">Zone, Qty, Shade, Height preset, Height, Width, Elevation</t>
  </si>
  <si>
    <t xml:space="preserve">One shutter-type panel + 0.8mm band</t>
  </si>
  <si>
    <t xml:space="preserve">Alu HM-504 profile and silicone removed. Default width 80mm</t>
  </si>
  <si>
    <t xml:space="preserve">6 Visible Panels</t>
  </si>
  <si>
    <t xml:space="preserve">Zone, Qty, Shade, Height, Width, Elevation</t>
  </si>
  <si>
    <t xml:space="preserve">One shutter-type panel at full W x H</t>
  </si>
  <si>
    <t xml:space="preserve">OPTIONAL - only on customer request. H = shutter height, W = carcass depth + 20, both editable. VP_PRESETS deleted</t>
  </si>
  <si>
    <t xml:space="preserve">7 Countertop</t>
  </si>
  <si>
    <t xml:space="preserve">Length, Depth, Thickness, Material, Qty</t>
  </si>
  <si>
    <t xml:space="preserve">One bought-in line item</t>
  </si>
  <si>
    <t xml:space="preserve">All 9 types, ctGeom, brass, dead stock, drops, patti, lights and consumables DELETED</t>
  </si>
  <si>
    <t xml:space="preserve">8 Backsplash</t>
  </si>
  <si>
    <t xml:space="preserve">Section removed entirely</t>
  </si>
  <si>
    <t xml:space="preserve">9 Raw Material Selection</t>
  </si>
  <si>
    <t xml:space="preserve">Board / laminate / band / hardware pickers</t>
  </si>
  <si>
    <t xml:space="preserve">Zoho item resolution</t>
  </si>
  <si>
    <t xml:space="preserve">Keys change from stone|finish|thk to board|type|finish|thk</t>
  </si>
  <si>
    <t xml:space="preserve">10 Stock Check</t>
  </si>
  <si>
    <t xml:space="preserve">11 Accessories</t>
  </si>
  <si>
    <t xml:space="preserve">Cabinet multi-select + accessory toggles</t>
  </si>
  <si>
    <t xml:space="preserve">Profile cuts, LED, diffuser, wire, driver</t>
  </si>
  <si>
    <t xml:space="preserve">ALL OPTIONAL including Elenor, which moves here from the carcass build. Skirting is now PVC</t>
  </si>
  <si>
    <t xml:space="preserve">12 Downloads</t>
  </si>
  <si>
    <t xml:space="preserve">Excel / CSV / OOS / Opti</t>
  </si>
  <si>
    <t xml:space="preserve">13 CSV Preview</t>
  </si>
  <si>
    <t xml:space="preserve">Constants, rates and wastage</t>
  </si>
  <si>
    <t xml:space="preserve">Constant</t>
  </si>
  <si>
    <t xml:space="preserve">Value</t>
  </si>
  <si>
    <t xml:space="preserve">Used by</t>
  </si>
  <si>
    <t xml:space="preserve">Carcass thickness t</t>
  </si>
  <si>
    <t xml:space="preserve">18</t>
  </si>
  <si>
    <t xml:space="preserve">All panel formulas</t>
  </si>
  <si>
    <t xml:space="preserve">Nominal. Option A is 16mm core + 0.8 x2</t>
  </si>
  <si>
    <t xml:space="preserve">Back thickness</t>
  </si>
  <si>
    <t xml:space="preserve">8</t>
  </si>
  <si>
    <t xml:space="preserve">Back panel</t>
  </si>
  <si>
    <t xml:space="preserve">Was 6 in my first draft; 8 is correct</t>
  </si>
  <si>
    <t xml:space="preserve">Shutter thickness</t>
  </si>
  <si>
    <t xml:space="preserve">Shutter leaf</t>
  </si>
  <si>
    <t xml:space="preserve">Nominal</t>
  </si>
  <si>
    <t xml:space="preserve">Back groove allowance</t>
  </si>
  <si>
    <t xml:space="preserve">+9</t>
  </si>
  <si>
    <t xml:space="preserve">Back panel W and H</t>
  </si>
  <si>
    <t xml:space="preserve">5mm groove per side less 1mm total clearance</t>
  </si>
  <si>
    <t xml:space="preserve">Shelf width clearance</t>
  </si>
  <si>
    <t xml:space="preserve">1</t>
  </si>
  <si>
    <t xml:space="preserve">Shelf panel</t>
  </si>
  <si>
    <t xml:space="preserve">Was 5 in stone (alu profile)</t>
  </si>
  <si>
    <t xml:space="preserve">Shelf depth setback</t>
  </si>
  <si>
    <t xml:space="preserve">28</t>
  </si>
  <si>
    <t xml:space="preserve">Was SHELF_OFF 40</t>
  </si>
  <si>
    <t xml:space="preserve">CJ_CUT</t>
  </si>
  <si>
    <t xml:space="preserve">23</t>
  </si>
  <si>
    <t xml:space="preserve">Top panel depth on gola units</t>
  </si>
  <si>
    <t xml:space="preserve">Shutter deduction</t>
  </si>
  <si>
    <t xml:space="preserve">3 normal / 33 gola base</t>
  </si>
  <si>
    <t xml:space="preserve">shDeduct()</t>
  </si>
  <si>
    <t xml:space="preserve">ML front keeps 3</t>
  </si>
  <si>
    <t xml:space="preserve">SQDIV</t>
  </si>
  <si>
    <t xml:space="preserve">92903.04</t>
  </si>
  <si>
    <t xml:space="preserve">sqft()</t>
  </si>
  <si>
    <t xml:space="preserve">mm2 per sqft</t>
  </si>
  <si>
    <t xml:space="preserve">Sheet size</t>
  </si>
  <si>
    <t xml:space="preserve">2440 x 1220</t>
  </si>
  <si>
    <t xml:space="preserve">Sheet count</t>
  </si>
  <si>
    <t xml:space="preserve">32.03 sqft per sheet</t>
  </si>
  <si>
    <t xml:space="preserve">Wastage - carcass</t>
  </si>
  <si>
    <t xml:space="preserve">10%</t>
  </si>
  <si>
    <t xml:space="preserve">Editable</t>
  </si>
  <si>
    <t xml:space="preserve">Wastage - shutter</t>
  </si>
  <si>
    <t xml:space="preserve">20%</t>
  </si>
  <si>
    <t xml:space="preserve">Wastage - profile</t>
  </si>
  <si>
    <t xml:space="preserve">Profile raw</t>
  </si>
  <si>
    <t xml:space="preserve">Stone had 20% UI / 25% export; now unified</t>
  </si>
  <si>
    <t xml:space="preserve">Laminate adhesive</t>
  </si>
  <si>
    <t xml:space="preserve">25 g/sqft/side</t>
  </si>
  <si>
    <t xml:space="preserve">Post-lam and Board Option A</t>
  </si>
  <si>
    <t xml:space="preserve">PU epoxy</t>
  </si>
  <si>
    <t xml:space="preserve">15 g/sqft/side</t>
  </si>
  <si>
    <t xml:space="preserve">PU shutters</t>
  </si>
  <si>
    <t xml:space="preserve">PU base primer</t>
  </si>
  <si>
    <t xml:space="preserve">30 g/sqft/side</t>
  </si>
  <si>
    <t xml:space="preserve">PU top coat</t>
  </si>
  <si>
    <t xml:space="preserve">50 g/sqft/side</t>
  </si>
  <si>
    <t xml:space="preserve">Membrane oversize</t>
  </si>
  <si>
    <t xml:space="preserve">+50mm per edge</t>
  </si>
  <si>
    <t xml:space="preserve">Membrane foil</t>
  </si>
  <si>
    <t xml:space="preserve">Press grip allowance</t>
  </si>
  <si>
    <t xml:space="preserve">Membrane adhesive</t>
  </si>
  <si>
    <t xml:space="preserve">TBC</t>
  </si>
  <si>
    <t xml:space="preserve">Membrane shutters</t>
  </si>
  <si>
    <t xml:space="preserve">RATE STILL NEEDED</t>
  </si>
  <si>
    <t xml:space="preserve">Neon 20</t>
  </si>
  <si>
    <t xml:space="preserve">inset 5, frame 25</t>
  </si>
  <si>
    <t xml:space="preserve">Glass shutters</t>
  </si>
  <si>
    <t xml:space="preserve">Same as stone NEON20</t>
  </si>
  <si>
    <t xml:space="preserve">Neon 50</t>
  </si>
  <si>
    <t xml:space="preserve">inset 8, frame 50</t>
  </si>
  <si>
    <t xml:space="preserve">Glass thickness</t>
  </si>
  <si>
    <t xml:space="preserve">5</t>
  </si>
  <si>
    <t xml:space="preserve">Toughened</t>
  </si>
  <si>
    <t xml:space="preserve">Glass shelf thickness</t>
  </si>
  <si>
    <t xml:space="preserve">Glass-door units only</t>
  </si>
  <si>
    <t xml:space="preserve">legCount(w)</t>
  </si>
  <si>
    <t xml:space="preserve">&lt;=150:2, &gt;=1050:6, else 4</t>
  </si>
  <si>
    <t xml:space="preserve">PVC leg pack</t>
  </si>
  <si>
    <t xml:space="preserve">hingeN(h)</t>
  </si>
  <si>
    <t xml:space="preserve">&lt;=900:3, &lt;=1600:4, &lt;=2100:5, else 6</t>
  </si>
  <si>
    <t xml:space="preserve">Hinge pack</t>
  </si>
  <si>
    <t xml:space="preserve">Drawer back heights</t>
  </si>
  <si>
    <t xml:space="preserve">Low 63 / Semi 148 / High 212</t>
  </si>
  <si>
    <t xml:space="preserve">Drawer boxes</t>
  </si>
  <si>
    <t xml:space="preserve">Carcass panel formulas</t>
  </si>
  <si>
    <t xml:space="preserve">Cut sizes are FINISHED sizes. Pre-milling removes 0.8mm, the band restores it. No deduction anywhere.</t>
  </si>
  <si>
    <t xml:space="preserve">W (mm)</t>
  </si>
  <si>
    <t xml:space="preserve">H (mm)</t>
  </si>
  <si>
    <t xml:space="preserve">D (mm)</t>
  </si>
  <si>
    <t xml:space="preserve">t (mm)</t>
  </si>
  <si>
    <t xml:space="preserve">Shelf count</t>
  </si>
  <si>
    <t xml:space="preserve">Sheet sqft</t>
  </si>
  <si>
    <t xml:space="preserve">Carcass wastage %</t>
  </si>
  <si>
    <t xml:space="preserve">mm2/sqft</t>
  </si>
  <si>
    <t xml:space="preserve">Panel</t>
  </si>
  <si>
    <t xml:space="preserve">Width</t>
  </si>
  <si>
    <t xml:space="preserve">Height</t>
  </si>
  <si>
    <t xml:space="preserve">Cut W</t>
  </si>
  <si>
    <t xml:space="preserve">Cut H</t>
  </si>
  <si>
    <t xml:space="preserve">Thk</t>
  </si>
  <si>
    <t xml:space="preserve">Area sqft</t>
  </si>
  <si>
    <t xml:space="preserve">Band?</t>
  </si>
  <si>
    <t xml:space="preserve">Band RMT</t>
  </si>
  <si>
    <t xml:space="preserve">Side LH/RH</t>
  </si>
  <si>
    <t xml:space="preserve">D</t>
  </si>
  <si>
    <t xml:space="preserve">H</t>
  </si>
  <si>
    <t xml:space="preserve">2</t>
  </si>
  <si>
    <t xml:space="preserve">Yes</t>
  </si>
  <si>
    <t xml:space="preserve">Top</t>
  </si>
  <si>
    <t xml:space="preserve">W - 2t</t>
  </si>
  <si>
    <t xml:space="preserve">Bottom</t>
  </si>
  <si>
    <t xml:space="preserve">Shelf</t>
  </si>
  <si>
    <t xml:space="preserve">W - 2t - 1</t>
  </si>
  <si>
    <t xml:space="preserve">D - 28</t>
  </si>
  <si>
    <t xml:space="preserve">Back</t>
  </si>
  <si>
    <t xml:space="preserve">W - 2t + 9</t>
  </si>
  <si>
    <t xml:space="preserve">H - 2t + 9</t>
  </si>
  <si>
    <t xml:space="preserve">No</t>
  </si>
  <si>
    <t xml:space="preserve">TOTAL</t>
  </si>
  <si>
    <t xml:space="preserve">Derived quantities</t>
  </si>
  <si>
    <t xml:space="preserve">Line</t>
  </si>
  <si>
    <t xml:space="preserve">Formula</t>
  </si>
  <si>
    <t xml:space="preserve">UoM</t>
  </si>
  <si>
    <t xml:space="preserve">Applies to</t>
  </si>
  <si>
    <t xml:space="preserve">Board area</t>
  </si>
  <si>
    <t xml:space="preserve">total panel area</t>
  </si>
  <si>
    <t xml:space="preserve">sqft</t>
  </si>
  <si>
    <t xml:space="preserve">All options</t>
  </si>
  <si>
    <t xml:space="preserve">Board sheets</t>
  </si>
  <si>
    <t xml:space="preserve">area x (1 + wastage) / sheet sqft</t>
  </si>
  <si>
    <t xml:space="preserve">sheets</t>
  </si>
  <si>
    <t xml:space="preserve">Edge band 0.8mm</t>
  </si>
  <si>
    <t xml:space="preserve">sum of banded perimeters</t>
  </si>
  <si>
    <t xml:space="preserve">RMT</t>
  </si>
  <si>
    <t xml:space="preserve">Edgeband adhesive</t>
  </si>
  <si>
    <t xml:space="preserve">Laminate 0.8mm</t>
  </si>
  <si>
    <t xml:space="preserve">panel area x 2 faces</t>
  </si>
  <si>
    <t xml:space="preserve">Board Option A only</t>
  </si>
  <si>
    <t xml:space="preserve">25 g/sqft x 2 sides</t>
  </si>
  <si>
    <t xml:space="preserve">gm</t>
  </si>
  <si>
    <t xml:space="preserve">PVC legs</t>
  </si>
  <si>
    <t xml:space="preserve">legCount(W)</t>
  </si>
  <si>
    <t xml:space="preserve">nos</t>
  </si>
  <si>
    <t xml:space="preserve">Base and tall zones</t>
  </si>
  <si>
    <t xml:space="preserve">Shutter BOM by type</t>
  </si>
  <si>
    <t xml:space="preserve">Leaf sizing comes from buildShutters(), unchanged from stone.</t>
  </si>
  <si>
    <t xml:space="preserve">Leaf W (mm)</t>
  </si>
  <si>
    <t xml:space="preserve">Leaf H (mm)</t>
  </si>
  <si>
    <t xml:space="preserve">Leaves</t>
  </si>
  <si>
    <t xml:space="preserve">Membrane oversize/edge</t>
  </si>
  <si>
    <t xml:space="preserve">Laminate adh g/sqft/side</t>
  </si>
  <si>
    <t xml:space="preserve">PU epoxy g/sqft/side</t>
  </si>
  <si>
    <t xml:space="preserve">PU primer g/sqft/side</t>
  </si>
  <si>
    <t xml:space="preserve">PU topcoat g/sqft/side</t>
  </si>
  <si>
    <t xml:space="preserve">Neon 20 inset</t>
  </si>
  <si>
    <t xml:space="preserve">Neon 50 inset</t>
  </si>
  <si>
    <t xml:space="preserve">Leaf area sqft</t>
  </si>
  <si>
    <t xml:space="preserve">Leaf perimeter RMT</t>
  </si>
  <si>
    <t xml:space="preserve">Component</t>
  </si>
  <si>
    <t xml:space="preserve">Basis</t>
  </si>
  <si>
    <t xml:space="preserve">Prelaminated</t>
  </si>
  <si>
    <t xml:space="preserve">Prelam board 18mm</t>
  </si>
  <si>
    <t xml:space="preserve">area</t>
  </si>
  <si>
    <t xml:space="preserve">perimeter</t>
  </si>
  <si>
    <t xml:space="preserve">All 4 edges</t>
  </si>
  <si>
    <t xml:space="preserve">Post-laminated</t>
  </si>
  <si>
    <t xml:space="preserve">Raw board 16mm</t>
  </si>
  <si>
    <t xml:space="preserve">16 core -&gt; 18 finished</t>
  </si>
  <si>
    <t xml:space="preserve">Laminate outer 0.8mm</t>
  </si>
  <si>
    <t xml:space="preserve">Laminate liner 0.8mm</t>
  </si>
  <si>
    <t xml:space="preserve">25 g/sqft x 2</t>
  </si>
  <si>
    <t xml:space="preserve">Membrane</t>
  </si>
  <si>
    <t xml:space="preserve">Prelam = inner face</t>
  </si>
  <si>
    <t xml:space="preserve">(W+100)x(H+100)</t>
  </si>
  <si>
    <t xml:space="preserve">RATE TBC</t>
  </si>
  <si>
    <t xml:space="preserve">PU one side</t>
  </si>
  <si>
    <t xml:space="preserve">Epoxy</t>
  </si>
  <si>
    <t xml:space="preserve">15 g/sqft x 1</t>
  </si>
  <si>
    <t xml:space="preserve">Base primer</t>
  </si>
  <si>
    <t xml:space="preserve">30 g/sqft x 1</t>
  </si>
  <si>
    <t xml:space="preserve">Top coat</t>
  </si>
  <si>
    <t xml:space="preserve">50 g/sqft x 1</t>
  </si>
  <si>
    <t xml:space="preserve">PU both sides</t>
  </si>
  <si>
    <t xml:space="preserve">Raw board 18mm</t>
  </si>
  <si>
    <t xml:space="preserve">Distinct from 16mm core</t>
  </si>
  <si>
    <t xml:space="preserve">15 g/sqft x 2</t>
  </si>
  <si>
    <t xml:space="preserve">30 g/sqft x 2</t>
  </si>
  <si>
    <t xml:space="preserve">50 g/sqft x 2</t>
  </si>
  <si>
    <t xml:space="preserve">Glass Neon 20</t>
  </si>
  <si>
    <t xml:space="preserve">Glass 5mm</t>
  </si>
  <si>
    <t xml:space="preserve">(W-5)x(H-5)</t>
  </si>
  <si>
    <t xml:space="preserve">inset 5</t>
  </si>
  <si>
    <t xml:space="preserve">Alu profile Neon 20</t>
  </si>
  <si>
    <t xml:space="preserve">2H + 2W</t>
  </si>
  <si>
    <t xml:space="preserve">mtr</t>
  </si>
  <si>
    <t xml:space="preserve">frame 25</t>
  </si>
  <si>
    <t xml:space="preserve">Corner connectors</t>
  </si>
  <si>
    <t xml:space="preserve">4 per leaf</t>
  </si>
  <si>
    <t xml:space="preserve">Glass Neon 50</t>
  </si>
  <si>
    <t xml:space="preserve">(W-8)x(H-8)</t>
  </si>
  <si>
    <t xml:space="preserve">inset 8</t>
  </si>
  <si>
    <t xml:space="preserve">Alu profile Neon 50</t>
  </si>
  <si>
    <t xml:space="preserve">frame 50</t>
  </si>
  <si>
    <t xml:space="preserve">Shelf material rule:  isGlassShutter(fk) ? 8mm toughened glass : carcass board option</t>
  </si>
  <si>
    <t xml:space="preserve">Stone logic deleted in the wood version</t>
  </si>
  <si>
    <t xml:space="preserve">Listed so a developer does not go looking for a wood equivalent that was never written.</t>
  </si>
  <si>
    <t xml:space="preserve">Stone item</t>
  </si>
  <si>
    <t xml:space="preserve">What it did</t>
  </si>
  <si>
    <t xml:space="preserve">Why it goes</t>
  </si>
  <si>
    <t xml:space="preserve">STEP, stepSil, STP_SIZE, STP_KG</t>
  </si>
  <si>
    <t xml:space="preserve">Stepper profile clearance + 15-bucket silicone lookup</t>
  </si>
  <si>
    <t xml:space="preserve">Back is now grooved ply; no stepper, no silicone</t>
  </si>
  <si>
    <t xml:space="preserve">ALU PROF HM-509 (STP)</t>
  </si>
  <si>
    <t xml:space="preserve">4 stepper cuts per back wall</t>
  </si>
  <si>
    <t xml:space="preserve">Same</t>
  </si>
  <si>
    <t xml:space="preserve">SH_INSET, SH_FRAME, SH_DESIGNS</t>
  </si>
  <si>
    <t xml:space="preserve">12 shutter frame designs</t>
  </si>
  <si>
    <t xml:space="preserve">Kept ONLY for glass (Neon 20/50)</t>
  </si>
  <si>
    <t xml:space="preserve">XCJ_DESIGNS / STD_DESIGNS</t>
  </si>
  <si>
    <t xml:space="preserve">Handle-design compatibility filter</t>
  </si>
  <si>
    <t xml:space="preserve">Design list replaced by Shutter Type</t>
  </si>
  <si>
    <t xml:space="preserve">shThkOf()</t>
  </si>
  <si>
    <t xml:space="preserve">6 / 9 / 5mm face thickness</t>
  </si>
  <si>
    <t xml:space="preserve">Shutter is 18mm board; glass fixed at 5</t>
  </si>
  <si>
    <t xml:space="preserve">CORNER CONNECTOR FOR STONE</t>
  </si>
  <si>
    <t xml:space="preserve">Shutter frame corner</t>
  </si>
  <si>
    <t xml:space="preserve">Kept only on glass shutters</t>
  </si>
  <si>
    <t xml:space="preserve">ALU PROF HM-511 (SLF)</t>
  </si>
  <si>
    <t xml:space="preserve">Shelf support profile</t>
  </si>
  <si>
    <t xml:space="preserve">Shelf pins instead</t>
  </si>
  <si>
    <t xml:space="preserve">ALU PROF HM-513 / HM-535</t>
  </si>
  <si>
    <t xml:space="preserve">Drawer bottom side and centre profiles</t>
  </si>
  <si>
    <t xml:space="preserve">Metal box is bought-in</t>
  </si>
  <si>
    <t xml:space="preserve">ALU PROF HM-504</t>
  </si>
  <si>
    <t xml:space="preserve">Filler profile</t>
  </si>
  <si>
    <t xml:space="preserve">Filler is a plain panel</t>
  </si>
  <si>
    <t xml:space="preserve">ALU PROF HM-510 (SINK)</t>
  </si>
  <si>
    <t xml:space="preserve">Sink profile frame on SK / HO / WDR</t>
  </si>
  <si>
    <t xml:space="preserve">Becomes ply rails</t>
  </si>
  <si>
    <t xml:space="preserve">STONE_WASTE, KG_SQFT, SH_KGSQFT</t>
  </si>
  <si>
    <t xml:space="preserve">15/17% waste and slab weight factors</t>
  </si>
  <si>
    <t xml:space="preserve">Replaced by sheet wastage 10/20/20</t>
  </si>
  <si>
    <t xml:space="preserve">CT_TYPES, ctGeom, ctHasDrop, ctEdgingOptions</t>
  </si>
  <si>
    <t xml:space="preserve">9 countertop types and all fold geometry</t>
  </si>
  <si>
    <t xml:space="preserve">Countertop is a bought-in single line</t>
  </si>
  <si>
    <t xml:space="preserve">Brass strip, dead-stock base, drop-downs</t>
  </si>
  <si>
    <t xml:space="preserve">Countertop fabrication</t>
  </si>
  <si>
    <t xml:space="preserve">AKEMI, BONDTITE, Latricate glue</t>
  </si>
  <si>
    <t xml:space="preserve">Stone polish and adhesives</t>
  </si>
  <si>
    <t xml:space="preserve">Same, plus backsplash removed</t>
  </si>
  <si>
    <t xml:space="preserve">Backsplash section</t>
  </si>
  <si>
    <t xml:space="preserve">Stone panel + glue</t>
  </si>
  <si>
    <t xml:space="preserve">Section removed</t>
  </si>
  <si>
    <t xml:space="preserve">VP_PRESETS</t>
  </si>
  <si>
    <t xml:space="preserve">5 zone size tables for visible panels</t>
  </si>
  <si>
    <t xml:space="preserve">Size now derived: shutter H, depth + 20</t>
  </si>
  <si>
    <t xml:space="preserve">ZONES.construct</t>
  </si>
  <si>
    <t xml:space="preserve">fulltb vs fullsides branch</t>
  </si>
  <si>
    <t xml:space="preserve">All cabinets are full-sides now</t>
  </si>
  <si>
    <t xml:space="preserve">Glass shelf offsets W-36 / D-49 / D-62</t>
  </si>
  <si>
    <t xml:space="preserve">Sized around alu profiles</t>
  </si>
  <si>
    <t xml:space="preserve">Glass shelf uses the ply shelf formula at 8mm</t>
  </si>
  <si>
    <t xml:space="preserve">addElenor() inside carcass build</t>
  </si>
  <si>
    <t xml:space="preserve">Auto 2 sets per tall/loft/wall cabinet</t>
  </si>
  <si>
    <t xml:space="preserve">Elenor becomes an opt-in accessory</t>
  </si>
  <si>
    <t xml:space="preserve">Item</t>
  </si>
  <si>
    <t xml:space="preserve">Blocks</t>
  </si>
  <si>
    <t xml:space="preserve">Drawer box bottom/back deductions per model</t>
  </si>
  <si>
    <t xml:space="preserve">Drawer box panel sizes</t>
  </si>
  <si>
    <t xml:space="preserve">Template sent - awaiting numbers</t>
  </si>
  <si>
    <t xml:space="preserve">Membrane adhesive rate (g/sqft)</t>
  </si>
  <si>
    <t xml:space="preserve">Membrane shutter consumable</t>
  </si>
  <si>
    <t xml:space="preserve">You will define later</t>
  </si>
  <si>
    <t xml:space="preserve">MD back panel height (no bottom panel)</t>
  </si>
  <si>
    <t xml:space="preserve">MD branch back formula</t>
  </si>
  <si>
    <t xml:space="preserve">Parked to construction stage</t>
  </si>
  <si>
    <t xml:space="preserve">Wall branch: WDR sink frame replacement</t>
  </si>
  <si>
    <t xml:space="preserve">WDR construction</t>
  </si>
  <si>
    <t xml:space="preserve">Not yet raised</t>
  </si>
  <si>
    <t xml:space="preserve">Tall branch: REF short back, APP twin backs</t>
  </si>
  <si>
    <t xml:space="preserve">Tall special cases</t>
  </si>
  <si>
    <t xml:space="preserve">Wall shelf count rule (height-derived)</t>
  </si>
  <si>
    <t xml:space="preserve">Wall shelf qty</t>
  </si>
  <si>
    <t xml:space="preserve">Assumed unchanged from stone</t>
  </si>
  <si>
    <t xml:space="preserve">Which accessories are actually offered</t>
  </si>
  <si>
    <t xml:space="preserve">Accessory list</t>
  </si>
  <si>
    <t xml:space="preserve">All optional - final list TBC</t>
  </si>
  <si>
    <t xml:space="preserve">Handle / Shutter Type compatibility</t>
  </si>
  <si>
    <t xml:space="preserve">Design dropdown filter</t>
  </si>
  <si>
    <t xml:space="preserve">Stone filtered designs by handle; needs a wood rule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</si>
</sst>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A17"/>
      <name val="Arial"/>
      <family val="0"/>
      <charset val="1"/>
    </font>
    <font>
      <i val="true"/>
      <sz val="9"/>
      <color rgb="FF7A726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8521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8521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2F0EB"/>
        <bgColor rgb="FFEAF1F5"/>
      </patternFill>
    </fill>
    <fill>
      <patternFill patternType="solid">
        <fgColor rgb="FFEAF1F5"/>
        <bgColor rgb="FFF2F0EB"/>
      </patternFill>
    </fill>
    <fill>
      <patternFill patternType="solid">
        <fgColor rgb="FFE2EFDA"/>
        <bgColor rgb="FFDDE7ED"/>
      </patternFill>
    </fill>
    <fill>
      <patternFill patternType="solid">
        <fgColor rgb="FFFCE4D6"/>
        <bgColor rgb="FFFFF2CC"/>
      </patternFill>
    </fill>
    <fill>
      <patternFill patternType="solid">
        <fgColor rgb="FF1F5D6B"/>
        <bgColor rgb="FF008080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DDE7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D6B"/>
      <rgbColor rgb="FFBFBFBF"/>
      <rgbColor rgb="FF7A7269"/>
      <rgbColor rgb="FF9999FF"/>
      <rgbColor rgb="FF993366"/>
      <rgbColor rgb="FFFFF2CC"/>
      <rgbColor rgb="FFEAF1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7ED"/>
      <rgbColor rgb="FFE2EFDA"/>
      <rgbColor rgb="FFF2F0EB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8521E"/>
      <rgbColor rgb="FF666699"/>
      <rgbColor rgb="FF969696"/>
      <rgbColor rgb="FF003366"/>
      <rgbColor rgb="FF339966"/>
      <rgbColor rgb="FF003300"/>
      <rgbColor rgb="FF1C1A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5" t="s">
        <v>6</v>
      </c>
    </row>
    <row r="7" customFormat="false" ht="15" hidden="false" customHeight="false" outlineLevel="0" collapsed="false">
      <c r="A7" s="7" t="s">
        <v>7</v>
      </c>
      <c r="B7" s="5" t="s">
        <v>8</v>
      </c>
    </row>
    <row r="8" customFormat="false" ht="15" hidden="false" customHeight="false" outlineLevel="0" collapsed="false">
      <c r="A8" s="8" t="s">
        <v>9</v>
      </c>
      <c r="B8" s="5" t="s">
        <v>10</v>
      </c>
    </row>
    <row r="11" customFormat="false" ht="15" hidden="false" customHeight="false" outlineLevel="0" collapsed="false">
      <c r="A11" s="3" t="s">
        <v>11</v>
      </c>
    </row>
    <row r="12" customFormat="false" ht="15" hidden="false" customHeight="false" outlineLevel="0" collapsed="false">
      <c r="A12" s="9" t="s">
        <v>12</v>
      </c>
      <c r="B12" s="5" t="s">
        <v>13</v>
      </c>
    </row>
    <row r="13" customFormat="false" ht="15" hidden="false" customHeight="false" outlineLevel="0" collapsed="false">
      <c r="A13" s="9" t="s">
        <v>14</v>
      </c>
      <c r="B13" s="5" t="s">
        <v>15</v>
      </c>
    </row>
    <row r="14" customFormat="false" ht="15" hidden="false" customHeight="false" outlineLevel="0" collapsed="false">
      <c r="A14" s="9" t="s">
        <v>16</v>
      </c>
      <c r="B14" s="5" t="s">
        <v>17</v>
      </c>
    </row>
    <row r="15" customFormat="false" ht="15" hidden="false" customHeight="false" outlineLevel="0" collapsed="false">
      <c r="A15" s="9" t="s">
        <v>18</v>
      </c>
      <c r="B15" s="5" t="s">
        <v>19</v>
      </c>
    </row>
    <row r="16" customFormat="false" ht="15" hidden="false" customHeight="false" outlineLevel="0" collapsed="false">
      <c r="A16" s="9" t="s">
        <v>20</v>
      </c>
      <c r="B16" s="5" t="s">
        <v>21</v>
      </c>
    </row>
    <row r="17" customFormat="false" ht="15" hidden="false" customHeight="false" outlineLevel="0" collapsed="false">
      <c r="A17" s="9" t="s">
        <v>22</v>
      </c>
      <c r="B17" s="5" t="s">
        <v>23</v>
      </c>
    </row>
    <row r="18" customFormat="false" ht="15" hidden="false" customHeight="false" outlineLevel="0" collapsed="false">
      <c r="A18" s="9" t="s">
        <v>24</v>
      </c>
      <c r="B18" s="5" t="s">
        <v>25</v>
      </c>
    </row>
    <row r="21" customFormat="false" ht="15" hidden="false" customHeight="false" outlineLevel="0" collapsed="false">
      <c r="A21" s="10" t="s">
        <v>26</v>
      </c>
    </row>
    <row r="22" customFormat="false" ht="15" hidden="false" customHeight="false" outlineLevel="0" collapsed="false">
      <c r="A22" s="5" t="s">
        <v>27</v>
      </c>
    </row>
    <row r="23" customFormat="false" ht="15" hidden="false" customHeight="false" outlineLevel="0" collapsed="false">
      <c r="A23" s="5" t="s">
        <v>28</v>
      </c>
    </row>
    <row r="24" customFormat="false" ht="15" hidden="false" customHeight="false" outlineLevel="0" collapsed="false">
      <c r="A24" s="5" t="s">
        <v>29</v>
      </c>
    </row>
    <row r="25" customFormat="false" ht="15" hidden="false" customHeight="false" outlineLevel="0" collapsed="false">
      <c r="A25" s="5" t="s">
        <v>30</v>
      </c>
    </row>
    <row r="26" customFormat="false" ht="15" hidden="false" customHeight="false" outlineLevel="0" collapsed="false">
      <c r="A26" s="5" t="s">
        <v>31</v>
      </c>
    </row>
    <row r="27" customFormat="false" ht="15" hidden="false" customHeight="false" outlineLevel="0" collapsed="false">
      <c r="A27" s="5" t="s">
        <v>32</v>
      </c>
    </row>
    <row r="28" customFormat="false" ht="15" hidden="false" customHeight="false" outlineLevel="0" collapsed="false">
      <c r="A28" s="5" t="s">
        <v>33</v>
      </c>
    </row>
    <row r="29" customFormat="false" ht="15" hidden="false" customHeight="false" outlineLevel="0" collapsed="false">
      <c r="A29" s="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30" hidden="false" customHeight="true" outlineLevel="0" collapsed="false">
      <c r="A4" s="11" t="s">
        <v>37</v>
      </c>
      <c r="B4" s="11" t="s">
        <v>38</v>
      </c>
      <c r="C4" s="11" t="s">
        <v>39</v>
      </c>
      <c r="D4" s="11" t="s">
        <v>40</v>
      </c>
      <c r="E4" s="11" t="s">
        <v>41</v>
      </c>
      <c r="F4" s="11" t="s">
        <v>42</v>
      </c>
    </row>
    <row r="5" customFormat="false" ht="30" hidden="false" customHeight="true" outlineLevel="0" collapsed="false">
      <c r="A5" s="12" t="n">
        <v>1</v>
      </c>
      <c r="B5" s="13" t="s">
        <v>43</v>
      </c>
      <c r="C5" s="12" t="s">
        <v>3</v>
      </c>
      <c r="D5" s="14" t="s">
        <v>44</v>
      </c>
      <c r="E5" s="14" t="s">
        <v>45</v>
      </c>
      <c r="F5" s="14" t="s">
        <v>46</v>
      </c>
    </row>
    <row r="6" customFormat="false" ht="30" hidden="false" customHeight="true" outlineLevel="0" collapsed="false">
      <c r="A6" s="12" t="n">
        <v>2</v>
      </c>
      <c r="B6" s="13" t="s">
        <v>47</v>
      </c>
      <c r="C6" s="12" t="s">
        <v>3</v>
      </c>
      <c r="D6" s="14" t="s">
        <v>48</v>
      </c>
      <c r="E6" s="14" t="s">
        <v>45</v>
      </c>
      <c r="F6" s="14" t="s">
        <v>49</v>
      </c>
    </row>
    <row r="7" customFormat="false" ht="30" hidden="false" customHeight="true" outlineLevel="0" collapsed="false">
      <c r="A7" s="12" t="n">
        <v>3</v>
      </c>
      <c r="B7" s="13" t="s">
        <v>50</v>
      </c>
      <c r="C7" s="12" t="s">
        <v>3</v>
      </c>
      <c r="D7" s="14" t="s">
        <v>51</v>
      </c>
      <c r="E7" s="14" t="s">
        <v>45</v>
      </c>
      <c r="F7" s="14" t="s">
        <v>52</v>
      </c>
    </row>
    <row r="8" customFormat="false" ht="30" hidden="false" customHeight="true" outlineLevel="0" collapsed="false">
      <c r="A8" s="12" t="n">
        <v>4</v>
      </c>
      <c r="B8" s="13" t="s">
        <v>53</v>
      </c>
      <c r="C8" s="12" t="s">
        <v>3</v>
      </c>
      <c r="D8" s="14" t="s">
        <v>54</v>
      </c>
      <c r="E8" s="14" t="s">
        <v>55</v>
      </c>
      <c r="F8" s="14" t="s">
        <v>56</v>
      </c>
    </row>
    <row r="9" customFormat="false" ht="30" hidden="false" customHeight="true" outlineLevel="0" collapsed="false">
      <c r="A9" s="12" t="n">
        <v>5</v>
      </c>
      <c r="B9" s="13" t="s">
        <v>57</v>
      </c>
      <c r="C9" s="12" t="s">
        <v>3</v>
      </c>
      <c r="D9" s="14" t="s">
        <v>58</v>
      </c>
      <c r="E9" s="14" t="s">
        <v>59</v>
      </c>
      <c r="F9" s="14"/>
    </row>
    <row r="10" customFormat="false" ht="30" hidden="false" customHeight="true" outlineLevel="0" collapsed="false">
      <c r="A10" s="12" t="n">
        <v>6</v>
      </c>
      <c r="B10" s="13" t="s">
        <v>60</v>
      </c>
      <c r="C10" s="12" t="s">
        <v>3</v>
      </c>
      <c r="D10" s="14" t="s">
        <v>61</v>
      </c>
      <c r="E10" s="14" t="s">
        <v>62</v>
      </c>
      <c r="F10" s="14" t="s">
        <v>63</v>
      </c>
    </row>
    <row r="11" customFormat="false" ht="30" hidden="false" customHeight="true" outlineLevel="0" collapsed="false">
      <c r="A11" s="12" t="n">
        <v>7</v>
      </c>
      <c r="B11" s="13" t="s">
        <v>64</v>
      </c>
      <c r="C11" s="12" t="s">
        <v>3</v>
      </c>
      <c r="D11" s="14" t="s">
        <v>65</v>
      </c>
      <c r="E11" s="14" t="s">
        <v>66</v>
      </c>
      <c r="F11" s="14"/>
    </row>
    <row r="12" customFormat="false" ht="30" hidden="false" customHeight="true" outlineLevel="0" collapsed="false">
      <c r="A12" s="12" t="n">
        <v>8</v>
      </c>
      <c r="B12" s="13" t="s">
        <v>67</v>
      </c>
      <c r="C12" s="12" t="s">
        <v>3</v>
      </c>
      <c r="D12" s="14" t="s">
        <v>68</v>
      </c>
      <c r="E12" s="14" t="s">
        <v>45</v>
      </c>
      <c r="F12" s="14" t="s">
        <v>69</v>
      </c>
    </row>
    <row r="13" customFormat="false" ht="30" hidden="false" customHeight="true" outlineLevel="0" collapsed="false">
      <c r="A13" s="15" t="n">
        <v>9</v>
      </c>
      <c r="B13" s="16" t="s">
        <v>70</v>
      </c>
      <c r="C13" s="15" t="s">
        <v>7</v>
      </c>
      <c r="D13" s="17" t="s">
        <v>71</v>
      </c>
      <c r="E13" s="17" t="s">
        <v>72</v>
      </c>
      <c r="F13" s="17" t="s">
        <v>73</v>
      </c>
    </row>
    <row r="14" customFormat="false" ht="30" hidden="false" customHeight="true" outlineLevel="0" collapsed="false">
      <c r="A14" s="15" t="n">
        <v>10</v>
      </c>
      <c r="B14" s="16" t="s">
        <v>74</v>
      </c>
      <c r="C14" s="15" t="s">
        <v>7</v>
      </c>
      <c r="D14" s="17" t="s">
        <v>75</v>
      </c>
      <c r="E14" s="17" t="s">
        <v>76</v>
      </c>
      <c r="F14" s="17" t="s">
        <v>77</v>
      </c>
    </row>
    <row r="15" customFormat="false" ht="30" hidden="false" customHeight="true" outlineLevel="0" collapsed="false">
      <c r="A15" s="15" t="n">
        <v>11</v>
      </c>
      <c r="B15" s="16" t="s">
        <v>78</v>
      </c>
      <c r="C15" s="15" t="s">
        <v>7</v>
      </c>
      <c r="D15" s="17" t="s">
        <v>79</v>
      </c>
      <c r="E15" s="17" t="s">
        <v>76</v>
      </c>
      <c r="F15" s="17" t="s">
        <v>80</v>
      </c>
    </row>
    <row r="16" customFormat="false" ht="30" hidden="false" customHeight="true" outlineLevel="0" collapsed="false">
      <c r="A16" s="15" t="n">
        <v>12</v>
      </c>
      <c r="B16" s="16" t="s">
        <v>81</v>
      </c>
      <c r="C16" s="15" t="s">
        <v>7</v>
      </c>
      <c r="D16" s="17" t="s">
        <v>82</v>
      </c>
      <c r="E16" s="17" t="s">
        <v>45</v>
      </c>
      <c r="F16" s="17" t="s">
        <v>83</v>
      </c>
    </row>
    <row r="17" customFormat="false" ht="30" hidden="false" customHeight="true" outlineLevel="0" collapsed="false">
      <c r="A17" s="18" t="n">
        <v>13</v>
      </c>
      <c r="B17" s="19" t="s">
        <v>84</v>
      </c>
      <c r="C17" s="18" t="s">
        <v>5</v>
      </c>
      <c r="D17" s="20" t="s">
        <v>85</v>
      </c>
      <c r="E17" s="20" t="s">
        <v>45</v>
      </c>
      <c r="F17" s="20" t="s">
        <v>86</v>
      </c>
    </row>
    <row r="18" customFormat="false" ht="30" hidden="false" customHeight="true" outlineLevel="0" collapsed="false">
      <c r="A18" s="15" t="n">
        <v>14</v>
      </c>
      <c r="B18" s="16" t="s">
        <v>87</v>
      </c>
      <c r="C18" s="15" t="s">
        <v>7</v>
      </c>
      <c r="D18" s="17" t="s">
        <v>88</v>
      </c>
      <c r="E18" s="17" t="s">
        <v>89</v>
      </c>
      <c r="F18" s="17" t="s">
        <v>90</v>
      </c>
    </row>
    <row r="19" customFormat="false" ht="30" hidden="false" customHeight="true" outlineLevel="0" collapsed="false">
      <c r="A19" s="18" t="n">
        <v>15</v>
      </c>
      <c r="B19" s="19" t="s">
        <v>91</v>
      </c>
      <c r="C19" s="18" t="s">
        <v>5</v>
      </c>
      <c r="D19" s="20" t="s">
        <v>92</v>
      </c>
      <c r="E19" s="20" t="s">
        <v>45</v>
      </c>
      <c r="F19" s="20" t="s">
        <v>93</v>
      </c>
    </row>
    <row r="20" customFormat="false" ht="30" hidden="false" customHeight="true" outlineLevel="0" collapsed="false">
      <c r="A20" s="18" t="n">
        <v>16</v>
      </c>
      <c r="B20" s="19" t="s">
        <v>94</v>
      </c>
      <c r="C20" s="18" t="s">
        <v>5</v>
      </c>
      <c r="D20" s="20" t="s">
        <v>95</v>
      </c>
      <c r="E20" s="20" t="s">
        <v>96</v>
      </c>
      <c r="F20" s="20" t="s">
        <v>86</v>
      </c>
    </row>
    <row r="21" customFormat="false" ht="30" hidden="false" customHeight="true" outlineLevel="0" collapsed="false">
      <c r="A21" s="15" t="n">
        <v>17</v>
      </c>
      <c r="B21" s="16" t="s">
        <v>97</v>
      </c>
      <c r="C21" s="15" t="s">
        <v>7</v>
      </c>
      <c r="D21" s="17" t="s">
        <v>98</v>
      </c>
      <c r="E21" s="17" t="s">
        <v>99</v>
      </c>
      <c r="F21" s="17"/>
    </row>
    <row r="22" customFormat="false" ht="30" hidden="false" customHeight="true" outlineLevel="0" collapsed="false">
      <c r="A22" s="15" t="n">
        <v>18</v>
      </c>
      <c r="B22" s="16" t="s">
        <v>100</v>
      </c>
      <c r="C22" s="15" t="s">
        <v>7</v>
      </c>
      <c r="D22" s="17" t="s">
        <v>98</v>
      </c>
      <c r="E22" s="17" t="s">
        <v>99</v>
      </c>
      <c r="F22" s="17" t="s">
        <v>101</v>
      </c>
    </row>
    <row r="23" customFormat="false" ht="30" hidden="false" customHeight="true" outlineLevel="0" collapsed="false">
      <c r="A23" s="15" t="n">
        <v>19</v>
      </c>
      <c r="B23" s="16" t="s">
        <v>102</v>
      </c>
      <c r="C23" s="15" t="s">
        <v>7</v>
      </c>
      <c r="D23" s="17" t="s">
        <v>103</v>
      </c>
      <c r="E23" s="17" t="s">
        <v>104</v>
      </c>
      <c r="F23" s="17"/>
    </row>
    <row r="24" customFormat="false" ht="30" hidden="false" customHeight="true" outlineLevel="0" collapsed="false">
      <c r="A24" s="15" t="n">
        <v>20</v>
      </c>
      <c r="B24" s="16" t="s">
        <v>105</v>
      </c>
      <c r="C24" s="15" t="s">
        <v>7</v>
      </c>
      <c r="D24" s="17" t="s">
        <v>106</v>
      </c>
      <c r="E24" s="17" t="s">
        <v>107</v>
      </c>
      <c r="F24" s="17"/>
    </row>
    <row r="25" customFormat="false" ht="30" hidden="false" customHeight="true" outlineLevel="0" collapsed="false">
      <c r="A25" s="18" t="n">
        <v>21</v>
      </c>
      <c r="B25" s="19" t="s">
        <v>108</v>
      </c>
      <c r="C25" s="18" t="s">
        <v>5</v>
      </c>
      <c r="D25" s="20" t="s">
        <v>92</v>
      </c>
      <c r="E25" s="20" t="s">
        <v>109</v>
      </c>
      <c r="F25" s="20" t="s">
        <v>110</v>
      </c>
    </row>
    <row r="26" customFormat="false" ht="30" hidden="false" customHeight="true" outlineLevel="0" collapsed="false">
      <c r="A26" s="18" t="n">
        <v>22</v>
      </c>
      <c r="B26" s="19" t="s">
        <v>111</v>
      </c>
      <c r="C26" s="18" t="s">
        <v>5</v>
      </c>
      <c r="D26" s="20" t="s">
        <v>112</v>
      </c>
      <c r="E26" s="20" t="s">
        <v>45</v>
      </c>
      <c r="F26" s="20" t="s">
        <v>113</v>
      </c>
    </row>
    <row r="27" customFormat="false" ht="30" hidden="false" customHeight="true" outlineLevel="0" collapsed="false">
      <c r="A27" s="18" t="n">
        <v>23</v>
      </c>
      <c r="B27" s="19" t="s">
        <v>114</v>
      </c>
      <c r="C27" s="18" t="s">
        <v>5</v>
      </c>
      <c r="D27" s="20" t="s">
        <v>115</v>
      </c>
      <c r="E27" s="20" t="s">
        <v>45</v>
      </c>
      <c r="F27" s="20" t="s">
        <v>116</v>
      </c>
    </row>
    <row r="28" customFormat="false" ht="30" hidden="false" customHeight="true" outlineLevel="0" collapsed="false">
      <c r="A28" s="12" t="n">
        <v>24</v>
      </c>
      <c r="B28" s="13" t="s">
        <v>117</v>
      </c>
      <c r="C28" s="12" t="s">
        <v>3</v>
      </c>
      <c r="D28" s="14" t="s">
        <v>118</v>
      </c>
      <c r="E28" s="14" t="s">
        <v>45</v>
      </c>
      <c r="F28" s="14" t="s">
        <v>119</v>
      </c>
    </row>
    <row r="29" customFormat="false" ht="30" hidden="false" customHeight="true" outlineLevel="0" collapsed="false">
      <c r="A29" s="12" t="n">
        <v>25</v>
      </c>
      <c r="B29" s="13" t="s">
        <v>120</v>
      </c>
      <c r="C29" s="12" t="s">
        <v>3</v>
      </c>
      <c r="D29" s="14" t="s">
        <v>121</v>
      </c>
      <c r="E29" s="14" t="s">
        <v>45</v>
      </c>
      <c r="F29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4" min="3" style="0" width="4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122</v>
      </c>
    </row>
    <row r="4" customFormat="false" ht="30" hidden="false" customHeight="true" outlineLevel="0" collapsed="false">
      <c r="A4" s="11" t="s">
        <v>123</v>
      </c>
      <c r="B4" s="11" t="s">
        <v>39</v>
      </c>
      <c r="C4" s="11" t="s">
        <v>124</v>
      </c>
      <c r="D4" s="11" t="s">
        <v>125</v>
      </c>
      <c r="E4" s="11" t="s">
        <v>42</v>
      </c>
    </row>
    <row r="5" customFormat="false" ht="39.75" hidden="false" customHeight="true" outlineLevel="0" collapsed="false">
      <c r="A5" s="13" t="s">
        <v>126</v>
      </c>
      <c r="B5" s="12" t="s">
        <v>3</v>
      </c>
      <c r="C5" s="14" t="s">
        <v>127</v>
      </c>
      <c r="D5" s="14" t="s">
        <v>128</v>
      </c>
      <c r="E5" s="14" t="s">
        <v>129</v>
      </c>
    </row>
    <row r="6" customFormat="false" ht="39.75" hidden="false" customHeight="true" outlineLevel="0" collapsed="false">
      <c r="A6" s="13" t="s">
        <v>130</v>
      </c>
      <c r="B6" s="12" t="s">
        <v>3</v>
      </c>
      <c r="C6" s="14" t="s">
        <v>128</v>
      </c>
      <c r="D6" s="14" t="s">
        <v>128</v>
      </c>
      <c r="E6" s="14" t="s">
        <v>131</v>
      </c>
    </row>
    <row r="7" customFormat="false" ht="39.75" hidden="false" customHeight="true" outlineLevel="0" collapsed="false">
      <c r="A7" s="19" t="s">
        <v>132</v>
      </c>
      <c r="B7" s="18" t="s">
        <v>5</v>
      </c>
      <c r="C7" s="20" t="s">
        <v>128</v>
      </c>
      <c r="D7" s="20" t="s">
        <v>133</v>
      </c>
      <c r="E7" s="20" t="s">
        <v>134</v>
      </c>
    </row>
    <row r="8" customFormat="false" ht="39.75" hidden="false" customHeight="true" outlineLevel="0" collapsed="false">
      <c r="A8" s="13" t="s">
        <v>135</v>
      </c>
      <c r="B8" s="12" t="s">
        <v>3</v>
      </c>
      <c r="C8" s="14" t="s">
        <v>136</v>
      </c>
      <c r="D8" s="14" t="s">
        <v>128</v>
      </c>
      <c r="E8" s="14" t="s">
        <v>129</v>
      </c>
    </row>
    <row r="9" customFormat="false" ht="39.75" hidden="false" customHeight="true" outlineLevel="0" collapsed="false">
      <c r="A9" s="19" t="s">
        <v>137</v>
      </c>
      <c r="B9" s="18" t="s">
        <v>5</v>
      </c>
      <c r="C9" s="20" t="s">
        <v>138</v>
      </c>
      <c r="D9" s="20" t="s">
        <v>139</v>
      </c>
      <c r="E9" s="20" t="s">
        <v>140</v>
      </c>
    </row>
    <row r="10" customFormat="false" ht="39.75" hidden="false" customHeight="true" outlineLevel="0" collapsed="false">
      <c r="A10" s="19" t="s">
        <v>141</v>
      </c>
      <c r="B10" s="18" t="s">
        <v>5</v>
      </c>
      <c r="C10" s="20" t="s">
        <v>142</v>
      </c>
      <c r="D10" s="20" t="s">
        <v>143</v>
      </c>
      <c r="E10" s="20" t="s">
        <v>144</v>
      </c>
    </row>
    <row r="11" customFormat="false" ht="39.75" hidden="false" customHeight="true" outlineLevel="0" collapsed="false">
      <c r="A11" s="19" t="s">
        <v>145</v>
      </c>
      <c r="B11" s="18" t="s">
        <v>5</v>
      </c>
      <c r="C11" s="20" t="s">
        <v>146</v>
      </c>
      <c r="D11" s="20" t="s">
        <v>147</v>
      </c>
      <c r="E11" s="20" t="s">
        <v>148</v>
      </c>
    </row>
    <row r="12" customFormat="false" ht="39.75" hidden="false" customHeight="true" outlineLevel="0" collapsed="false">
      <c r="A12" s="21" t="s">
        <v>149</v>
      </c>
      <c r="B12" s="22" t="s">
        <v>9</v>
      </c>
      <c r="C12" s="23" t="s">
        <v>128</v>
      </c>
      <c r="D12" s="23" t="s">
        <v>128</v>
      </c>
      <c r="E12" s="23" t="s">
        <v>150</v>
      </c>
    </row>
    <row r="13" customFormat="false" ht="39.75" hidden="false" customHeight="true" outlineLevel="0" collapsed="false">
      <c r="A13" s="19" t="s">
        <v>151</v>
      </c>
      <c r="B13" s="18" t="s">
        <v>5</v>
      </c>
      <c r="C13" s="20" t="s">
        <v>152</v>
      </c>
      <c r="D13" s="20" t="s">
        <v>153</v>
      </c>
      <c r="E13" s="20" t="s">
        <v>154</v>
      </c>
    </row>
    <row r="14" customFormat="false" ht="39.75" hidden="false" customHeight="true" outlineLevel="0" collapsed="false">
      <c r="A14" s="13" t="s">
        <v>155</v>
      </c>
      <c r="B14" s="12" t="s">
        <v>3</v>
      </c>
      <c r="C14" s="14" t="s">
        <v>128</v>
      </c>
      <c r="D14" s="14" t="s">
        <v>128</v>
      </c>
      <c r="E14" s="14" t="s">
        <v>129</v>
      </c>
    </row>
    <row r="15" customFormat="false" ht="39.75" hidden="false" customHeight="true" outlineLevel="0" collapsed="false">
      <c r="A15" s="19" t="s">
        <v>156</v>
      </c>
      <c r="B15" s="18" t="s">
        <v>5</v>
      </c>
      <c r="C15" s="20" t="s">
        <v>157</v>
      </c>
      <c r="D15" s="20" t="s">
        <v>158</v>
      </c>
      <c r="E15" s="20" t="s">
        <v>159</v>
      </c>
    </row>
    <row r="16" customFormat="false" ht="39.75" hidden="false" customHeight="true" outlineLevel="0" collapsed="false">
      <c r="A16" s="13" t="s">
        <v>160</v>
      </c>
      <c r="B16" s="12" t="s">
        <v>3</v>
      </c>
      <c r="C16" s="14" t="s">
        <v>128</v>
      </c>
      <c r="D16" s="14" t="s">
        <v>161</v>
      </c>
      <c r="E16" s="14" t="s">
        <v>129</v>
      </c>
    </row>
    <row r="17" customFormat="false" ht="39.75" hidden="false" customHeight="true" outlineLevel="0" collapsed="false">
      <c r="A17" s="13" t="s">
        <v>162</v>
      </c>
      <c r="B17" s="12" t="s">
        <v>3</v>
      </c>
      <c r="C17" s="14" t="s">
        <v>128</v>
      </c>
      <c r="D17" s="14" t="s">
        <v>128</v>
      </c>
      <c r="E17" s="14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163</v>
      </c>
    </row>
    <row r="4" customFormat="false" ht="30" hidden="false" customHeight="true" outlineLevel="0" collapsed="false">
      <c r="A4" s="11" t="s">
        <v>164</v>
      </c>
      <c r="B4" s="11" t="s">
        <v>165</v>
      </c>
      <c r="C4" s="11" t="s">
        <v>39</v>
      </c>
      <c r="D4" s="11" t="s">
        <v>166</v>
      </c>
      <c r="E4" s="11" t="s">
        <v>42</v>
      </c>
    </row>
    <row r="5" customFormat="false" ht="25.5" hidden="false" customHeight="true" outlineLevel="0" collapsed="false">
      <c r="A5" s="19" t="s">
        <v>167</v>
      </c>
      <c r="B5" s="18" t="s">
        <v>168</v>
      </c>
      <c r="C5" s="18" t="s">
        <v>5</v>
      </c>
      <c r="D5" s="20" t="s">
        <v>169</v>
      </c>
      <c r="E5" s="20" t="s">
        <v>170</v>
      </c>
    </row>
    <row r="6" customFormat="false" ht="25.5" hidden="false" customHeight="true" outlineLevel="0" collapsed="false">
      <c r="A6" s="19" t="s">
        <v>171</v>
      </c>
      <c r="B6" s="18" t="s">
        <v>172</v>
      </c>
      <c r="C6" s="18" t="s">
        <v>5</v>
      </c>
      <c r="D6" s="20" t="s">
        <v>173</v>
      </c>
      <c r="E6" s="20" t="s">
        <v>174</v>
      </c>
    </row>
    <row r="7" customFormat="false" ht="25.5" hidden="false" customHeight="true" outlineLevel="0" collapsed="false">
      <c r="A7" s="19" t="s">
        <v>175</v>
      </c>
      <c r="B7" s="18" t="s">
        <v>168</v>
      </c>
      <c r="C7" s="18" t="s">
        <v>5</v>
      </c>
      <c r="D7" s="20" t="s">
        <v>176</v>
      </c>
      <c r="E7" s="20" t="s">
        <v>177</v>
      </c>
    </row>
    <row r="8" customFormat="false" ht="25.5" hidden="false" customHeight="true" outlineLevel="0" collapsed="false">
      <c r="A8" s="16" t="s">
        <v>178</v>
      </c>
      <c r="B8" s="15" t="s">
        <v>179</v>
      </c>
      <c r="C8" s="15" t="s">
        <v>7</v>
      </c>
      <c r="D8" s="17" t="s">
        <v>180</v>
      </c>
      <c r="E8" s="17" t="s">
        <v>181</v>
      </c>
    </row>
    <row r="9" customFormat="false" ht="25.5" hidden="false" customHeight="true" outlineLevel="0" collapsed="false">
      <c r="A9" s="19" t="s">
        <v>182</v>
      </c>
      <c r="B9" s="18" t="s">
        <v>183</v>
      </c>
      <c r="C9" s="18" t="s">
        <v>5</v>
      </c>
      <c r="D9" s="20" t="s">
        <v>184</v>
      </c>
      <c r="E9" s="20" t="s">
        <v>185</v>
      </c>
    </row>
    <row r="10" customFormat="false" ht="25.5" hidden="false" customHeight="true" outlineLevel="0" collapsed="false">
      <c r="A10" s="19" t="s">
        <v>186</v>
      </c>
      <c r="B10" s="18" t="s">
        <v>187</v>
      </c>
      <c r="C10" s="18" t="s">
        <v>5</v>
      </c>
      <c r="D10" s="20" t="s">
        <v>184</v>
      </c>
      <c r="E10" s="20" t="s">
        <v>188</v>
      </c>
    </row>
    <row r="11" customFormat="false" ht="25.5" hidden="false" customHeight="true" outlineLevel="0" collapsed="false">
      <c r="A11" s="13" t="s">
        <v>189</v>
      </c>
      <c r="B11" s="12" t="s">
        <v>190</v>
      </c>
      <c r="C11" s="12" t="s">
        <v>3</v>
      </c>
      <c r="D11" s="14" t="s">
        <v>191</v>
      </c>
      <c r="E11" s="14" t="s">
        <v>129</v>
      </c>
    </row>
    <row r="12" customFormat="false" ht="25.5" hidden="false" customHeight="true" outlineLevel="0" collapsed="false">
      <c r="A12" s="13" t="s">
        <v>192</v>
      </c>
      <c r="B12" s="12" t="s">
        <v>193</v>
      </c>
      <c r="C12" s="12" t="s">
        <v>3</v>
      </c>
      <c r="D12" s="14" t="s">
        <v>194</v>
      </c>
      <c r="E12" s="14" t="s">
        <v>195</v>
      </c>
    </row>
    <row r="13" customFormat="false" ht="25.5" hidden="false" customHeight="true" outlineLevel="0" collapsed="false">
      <c r="A13" s="13" t="s">
        <v>196</v>
      </c>
      <c r="B13" s="12" t="s">
        <v>197</v>
      </c>
      <c r="C13" s="12" t="s">
        <v>3</v>
      </c>
      <c r="D13" s="14" t="s">
        <v>198</v>
      </c>
      <c r="E13" s="14" t="s">
        <v>199</v>
      </c>
    </row>
    <row r="14" customFormat="false" ht="25.5" hidden="false" customHeight="true" outlineLevel="0" collapsed="false">
      <c r="A14" s="16" t="s">
        <v>200</v>
      </c>
      <c r="B14" s="15" t="s">
        <v>201</v>
      </c>
      <c r="C14" s="15" t="s">
        <v>7</v>
      </c>
      <c r="D14" s="17" t="s">
        <v>202</v>
      </c>
      <c r="E14" s="17" t="s">
        <v>203</v>
      </c>
    </row>
    <row r="15" customFormat="false" ht="25.5" hidden="false" customHeight="true" outlineLevel="0" collapsed="false">
      <c r="A15" s="16" t="s">
        <v>204</v>
      </c>
      <c r="B15" s="15" t="s">
        <v>205</v>
      </c>
      <c r="C15" s="15" t="s">
        <v>7</v>
      </c>
      <c r="D15" s="17" t="s">
        <v>202</v>
      </c>
      <c r="E15" s="17" t="s">
        <v>206</v>
      </c>
    </row>
    <row r="16" customFormat="false" ht="25.5" hidden="false" customHeight="true" outlineLevel="0" collapsed="false">
      <c r="A16" s="16" t="s">
        <v>207</v>
      </c>
      <c r="B16" s="15" t="s">
        <v>208</v>
      </c>
      <c r="C16" s="15" t="s">
        <v>7</v>
      </c>
      <c r="D16" s="17" t="s">
        <v>202</v>
      </c>
      <c r="E16" s="17" t="s">
        <v>206</v>
      </c>
    </row>
    <row r="17" customFormat="false" ht="25.5" hidden="false" customHeight="true" outlineLevel="0" collapsed="false">
      <c r="A17" s="19" t="s">
        <v>209</v>
      </c>
      <c r="B17" s="18" t="s">
        <v>208</v>
      </c>
      <c r="C17" s="18" t="s">
        <v>5</v>
      </c>
      <c r="D17" s="20" t="s">
        <v>210</v>
      </c>
      <c r="E17" s="20" t="s">
        <v>211</v>
      </c>
    </row>
    <row r="18" customFormat="false" ht="25.5" hidden="false" customHeight="true" outlineLevel="0" collapsed="false">
      <c r="A18" s="16" t="s">
        <v>212</v>
      </c>
      <c r="B18" s="15" t="s">
        <v>213</v>
      </c>
      <c r="C18" s="15" t="s">
        <v>7</v>
      </c>
      <c r="D18" s="17" t="s">
        <v>214</v>
      </c>
      <c r="E18" s="17"/>
    </row>
    <row r="19" customFormat="false" ht="25.5" hidden="false" customHeight="true" outlineLevel="0" collapsed="false">
      <c r="A19" s="16" t="s">
        <v>215</v>
      </c>
      <c r="B19" s="15" t="s">
        <v>216</v>
      </c>
      <c r="C19" s="15" t="s">
        <v>7</v>
      </c>
      <c r="D19" s="17" t="s">
        <v>217</v>
      </c>
      <c r="E19" s="17"/>
    </row>
    <row r="20" customFormat="false" ht="25.5" hidden="false" customHeight="true" outlineLevel="0" collapsed="false">
      <c r="A20" s="16" t="s">
        <v>218</v>
      </c>
      <c r="B20" s="15" t="s">
        <v>219</v>
      </c>
      <c r="C20" s="15" t="s">
        <v>7</v>
      </c>
      <c r="D20" s="17" t="s">
        <v>217</v>
      </c>
      <c r="E20" s="17"/>
    </row>
    <row r="21" customFormat="false" ht="25.5" hidden="false" customHeight="true" outlineLevel="0" collapsed="false">
      <c r="A21" s="16" t="s">
        <v>220</v>
      </c>
      <c r="B21" s="15" t="s">
        <v>221</v>
      </c>
      <c r="C21" s="15" t="s">
        <v>7</v>
      </c>
      <c r="D21" s="17" t="s">
        <v>217</v>
      </c>
      <c r="E21" s="17"/>
    </row>
    <row r="22" customFormat="false" ht="25.5" hidden="false" customHeight="true" outlineLevel="0" collapsed="false">
      <c r="A22" s="16" t="s">
        <v>222</v>
      </c>
      <c r="B22" s="15" t="s">
        <v>223</v>
      </c>
      <c r="C22" s="15" t="s">
        <v>7</v>
      </c>
      <c r="D22" s="17" t="s">
        <v>224</v>
      </c>
      <c r="E22" s="17" t="s">
        <v>225</v>
      </c>
    </row>
    <row r="23" customFormat="false" ht="25.5" hidden="false" customHeight="true" outlineLevel="0" collapsed="false">
      <c r="A23" s="16" t="s">
        <v>226</v>
      </c>
      <c r="B23" s="24" t="s">
        <v>227</v>
      </c>
      <c r="C23" s="15" t="s">
        <v>7</v>
      </c>
      <c r="D23" s="17" t="s">
        <v>228</v>
      </c>
      <c r="E23" s="17" t="s">
        <v>229</v>
      </c>
    </row>
    <row r="24" customFormat="false" ht="25.5" hidden="false" customHeight="true" outlineLevel="0" collapsed="false">
      <c r="A24" s="13" t="s">
        <v>230</v>
      </c>
      <c r="B24" s="12" t="s">
        <v>231</v>
      </c>
      <c r="C24" s="12" t="s">
        <v>3</v>
      </c>
      <c r="D24" s="14" t="s">
        <v>232</v>
      </c>
      <c r="E24" s="14" t="s">
        <v>233</v>
      </c>
    </row>
    <row r="25" customFormat="false" ht="25.5" hidden="false" customHeight="true" outlineLevel="0" collapsed="false">
      <c r="A25" s="16" t="s">
        <v>234</v>
      </c>
      <c r="B25" s="15" t="s">
        <v>235</v>
      </c>
      <c r="C25" s="15" t="s">
        <v>7</v>
      </c>
      <c r="D25" s="17" t="s">
        <v>232</v>
      </c>
      <c r="E25" s="17"/>
    </row>
    <row r="26" customFormat="false" ht="25.5" hidden="false" customHeight="true" outlineLevel="0" collapsed="false">
      <c r="A26" s="13" t="s">
        <v>236</v>
      </c>
      <c r="B26" s="12" t="s">
        <v>237</v>
      </c>
      <c r="C26" s="12" t="s">
        <v>3</v>
      </c>
      <c r="D26" s="14" t="s">
        <v>232</v>
      </c>
      <c r="E26" s="14" t="s">
        <v>238</v>
      </c>
    </row>
    <row r="27" customFormat="false" ht="25.5" hidden="false" customHeight="true" outlineLevel="0" collapsed="false">
      <c r="A27" s="13" t="s">
        <v>239</v>
      </c>
      <c r="B27" s="12" t="s">
        <v>172</v>
      </c>
      <c r="C27" s="12" t="s">
        <v>3</v>
      </c>
      <c r="D27" s="14" t="s">
        <v>240</v>
      </c>
      <c r="E27" s="14"/>
    </row>
    <row r="28" customFormat="false" ht="25.5" hidden="false" customHeight="true" outlineLevel="0" collapsed="false">
      <c r="A28" s="13" t="s">
        <v>241</v>
      </c>
      <c r="B28" s="12" t="s">
        <v>242</v>
      </c>
      <c r="C28" s="12" t="s">
        <v>3</v>
      </c>
      <c r="D28" s="14" t="s">
        <v>243</v>
      </c>
      <c r="E28" s="14" t="s">
        <v>129</v>
      </c>
    </row>
    <row r="29" customFormat="false" ht="25.5" hidden="false" customHeight="true" outlineLevel="0" collapsed="false">
      <c r="A29" s="13" t="s">
        <v>244</v>
      </c>
      <c r="B29" s="12" t="s">
        <v>245</v>
      </c>
      <c r="C29" s="12" t="s">
        <v>3</v>
      </c>
      <c r="D29" s="14" t="s">
        <v>246</v>
      </c>
      <c r="E29" s="14" t="s">
        <v>129</v>
      </c>
    </row>
    <row r="30" customFormat="false" ht="25.5" hidden="false" customHeight="true" outlineLevel="0" collapsed="false">
      <c r="A30" s="13" t="s">
        <v>247</v>
      </c>
      <c r="B30" s="12" t="s">
        <v>248</v>
      </c>
      <c r="C30" s="12" t="s">
        <v>3</v>
      </c>
      <c r="D30" s="14" t="s">
        <v>249</v>
      </c>
      <c r="E30" s="14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5" min="4" style="0" width="10"/>
    <col collapsed="false" customWidth="true" hidden="false" outlineLevel="0" max="7" min="6" style="0" width="7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250</v>
      </c>
    </row>
    <row r="2" customFormat="false" ht="15" hidden="false" customHeight="false" outlineLevel="0" collapsed="false">
      <c r="A2" s="2" t="s">
        <v>251</v>
      </c>
    </row>
    <row r="4" customFormat="false" ht="15" hidden="false" customHeight="false" outlineLevel="0" collapsed="false">
      <c r="A4" s="9" t="s">
        <v>252</v>
      </c>
      <c r="B4" s="25" t="n">
        <v>600</v>
      </c>
    </row>
    <row r="5" customFormat="false" ht="15" hidden="false" customHeight="false" outlineLevel="0" collapsed="false">
      <c r="A5" s="9" t="s">
        <v>253</v>
      </c>
      <c r="B5" s="25" t="n">
        <v>720</v>
      </c>
    </row>
    <row r="6" customFormat="false" ht="15" hidden="false" customHeight="false" outlineLevel="0" collapsed="false">
      <c r="A6" s="9" t="s">
        <v>254</v>
      </c>
      <c r="B6" s="25" t="n">
        <v>560</v>
      </c>
    </row>
    <row r="7" customFormat="false" ht="15" hidden="false" customHeight="false" outlineLevel="0" collapsed="false">
      <c r="A7" s="9" t="s">
        <v>255</v>
      </c>
      <c r="B7" s="25" t="n">
        <v>18</v>
      </c>
    </row>
    <row r="8" customFormat="false" ht="15" hidden="false" customHeight="false" outlineLevel="0" collapsed="false">
      <c r="A8" s="9" t="s">
        <v>256</v>
      </c>
      <c r="B8" s="25" t="n">
        <v>1</v>
      </c>
    </row>
    <row r="9" customFormat="false" ht="15" hidden="false" customHeight="false" outlineLevel="0" collapsed="false">
      <c r="A9" s="9" t="s">
        <v>257</v>
      </c>
      <c r="B9" s="25" t="n">
        <v>32.03</v>
      </c>
    </row>
    <row r="10" customFormat="false" ht="15" hidden="false" customHeight="false" outlineLevel="0" collapsed="false">
      <c r="A10" s="9" t="s">
        <v>258</v>
      </c>
      <c r="B10" s="25" t="n">
        <v>10</v>
      </c>
    </row>
    <row r="11" customFormat="false" ht="15" hidden="false" customHeight="false" outlineLevel="0" collapsed="false">
      <c r="A11" s="9" t="s">
        <v>259</v>
      </c>
      <c r="B11" s="26" t="n">
        <v>92903.04</v>
      </c>
    </row>
    <row r="13" customFormat="false" ht="30" hidden="false" customHeight="true" outlineLevel="0" collapsed="false">
      <c r="A13" s="11" t="s">
        <v>260</v>
      </c>
      <c r="B13" s="11" t="s">
        <v>261</v>
      </c>
      <c r="C13" s="11" t="s">
        <v>262</v>
      </c>
      <c r="D13" s="11" t="s">
        <v>263</v>
      </c>
      <c r="E13" s="11" t="s">
        <v>264</v>
      </c>
      <c r="F13" s="11" t="s">
        <v>120</v>
      </c>
      <c r="G13" s="11" t="s">
        <v>265</v>
      </c>
      <c r="H13" s="11" t="s">
        <v>266</v>
      </c>
      <c r="I13" s="11" t="s">
        <v>267</v>
      </c>
      <c r="J13" s="11" t="s">
        <v>268</v>
      </c>
    </row>
    <row r="14" customFormat="false" ht="15" hidden="false" customHeight="false" outlineLevel="0" collapsed="false">
      <c r="A14" s="19" t="s">
        <v>269</v>
      </c>
      <c r="B14" s="27" t="s">
        <v>270</v>
      </c>
      <c r="C14" s="27" t="s">
        <v>271</v>
      </c>
      <c r="D14" s="18" t="n">
        <f aca="false">$B$6</f>
        <v>560</v>
      </c>
      <c r="E14" s="18" t="n">
        <f aca="false">$B$5</f>
        <v>720</v>
      </c>
      <c r="F14" s="18" t="s">
        <v>272</v>
      </c>
      <c r="G14" s="18" t="n">
        <v>18</v>
      </c>
      <c r="H14" s="28" t="n">
        <f aca="false">D14*E14/$B$11*F14</f>
        <v>8.68001736003472</v>
      </c>
      <c r="I14" s="18" t="s">
        <v>273</v>
      </c>
      <c r="J14" s="28" t="n">
        <f aca="false">IF(I14="Yes",2*(D14+E14)/1000*F14,0)</f>
        <v>5.12</v>
      </c>
    </row>
    <row r="15" customFormat="false" ht="15" hidden="false" customHeight="false" outlineLevel="0" collapsed="false">
      <c r="A15" s="19" t="s">
        <v>274</v>
      </c>
      <c r="B15" s="27" t="s">
        <v>275</v>
      </c>
      <c r="C15" s="27" t="s">
        <v>270</v>
      </c>
      <c r="D15" s="18" t="n">
        <f aca="false">$B$4-2*$B$7</f>
        <v>564</v>
      </c>
      <c r="E15" s="18" t="n">
        <f aca="false">$B$6</f>
        <v>560</v>
      </c>
      <c r="F15" s="18" t="s">
        <v>183</v>
      </c>
      <c r="G15" s="18" t="n">
        <v>18</v>
      </c>
      <c r="H15" s="28" t="n">
        <f aca="false">D15*E15/$B$11*F15</f>
        <v>3.3996734660136</v>
      </c>
      <c r="I15" s="18" t="s">
        <v>273</v>
      </c>
      <c r="J15" s="28" t="n">
        <f aca="false">IF(I15="Yes",2*(D15+E15)/1000*F15,0)</f>
        <v>2.248</v>
      </c>
    </row>
    <row r="16" customFormat="false" ht="15" hidden="false" customHeight="false" outlineLevel="0" collapsed="false">
      <c r="A16" s="19" t="s">
        <v>276</v>
      </c>
      <c r="B16" s="27" t="s">
        <v>275</v>
      </c>
      <c r="C16" s="27" t="s">
        <v>270</v>
      </c>
      <c r="D16" s="18" t="n">
        <f aca="false">$B$4-2*$B$7</f>
        <v>564</v>
      </c>
      <c r="E16" s="18" t="n">
        <f aca="false">$B$6</f>
        <v>560</v>
      </c>
      <c r="F16" s="18" t="s">
        <v>183</v>
      </c>
      <c r="G16" s="18" t="n">
        <v>18</v>
      </c>
      <c r="H16" s="28" t="n">
        <f aca="false">D16*E16/$B$11*F16</f>
        <v>3.3996734660136</v>
      </c>
      <c r="I16" s="18" t="s">
        <v>273</v>
      </c>
      <c r="J16" s="28" t="n">
        <f aca="false">IF(I16="Yes",2*(D16+E16)/1000*F16,0)</f>
        <v>2.248</v>
      </c>
    </row>
    <row r="17" customFormat="false" ht="15" hidden="false" customHeight="false" outlineLevel="0" collapsed="false">
      <c r="A17" s="19" t="s">
        <v>277</v>
      </c>
      <c r="B17" s="27" t="s">
        <v>278</v>
      </c>
      <c r="C17" s="27" t="s">
        <v>279</v>
      </c>
      <c r="D17" s="18" t="n">
        <f aca="false">$B$4-2*$B$7-1</f>
        <v>563</v>
      </c>
      <c r="E17" s="18" t="n">
        <f aca="false">$B$6-28</f>
        <v>532</v>
      </c>
      <c r="F17" s="18" t="n">
        <f aca="false">$B$8</f>
        <v>1</v>
      </c>
      <c r="G17" s="18" t="n">
        <v>18</v>
      </c>
      <c r="H17" s="28" t="n">
        <f aca="false">D17*E17/$B$11*F17</f>
        <v>3.22396339237123</v>
      </c>
      <c r="I17" s="18" t="s">
        <v>273</v>
      </c>
      <c r="J17" s="28" t="n">
        <f aca="false">IF(I17="Yes",2*(D17+E17)/1000*F17,0)</f>
        <v>2.19</v>
      </c>
    </row>
    <row r="18" customFormat="false" ht="15" hidden="false" customHeight="false" outlineLevel="0" collapsed="false">
      <c r="A18" s="13" t="s">
        <v>280</v>
      </c>
      <c r="B18" s="29" t="s">
        <v>281</v>
      </c>
      <c r="C18" s="29" t="s">
        <v>282</v>
      </c>
      <c r="D18" s="12" t="n">
        <f aca="false">$B$4-2*$B$7+9</f>
        <v>573</v>
      </c>
      <c r="E18" s="12" t="n">
        <f aca="false">$B$5-2*$B$7+9</f>
        <v>693</v>
      </c>
      <c r="F18" s="12" t="s">
        <v>183</v>
      </c>
      <c r="G18" s="12" t="n">
        <v>8</v>
      </c>
      <c r="H18" s="30" t="n">
        <f aca="false">D18*E18/$B$11*F18</f>
        <v>4.27423042346085</v>
      </c>
      <c r="I18" s="12" t="s">
        <v>283</v>
      </c>
      <c r="J18" s="30" t="n">
        <f aca="false">IF(I18="Yes",2*(D18+E18)/1000*F18,0)</f>
        <v>0</v>
      </c>
    </row>
    <row r="19" customFormat="false" ht="15" hidden="false" customHeight="false" outlineLevel="0" collapsed="false">
      <c r="A19" s="31" t="s">
        <v>284</v>
      </c>
      <c r="B19" s="32"/>
      <c r="C19" s="32"/>
      <c r="D19" s="32"/>
      <c r="E19" s="32"/>
      <c r="F19" s="32"/>
      <c r="G19" s="32"/>
      <c r="H19" s="33" t="n">
        <f aca="false">SUM(H14:H18)</f>
        <v>22.977558107894</v>
      </c>
      <c r="I19" s="32"/>
      <c r="J19" s="33" t="n">
        <f aca="false">SUM(J14:J18)</f>
        <v>11.806</v>
      </c>
    </row>
    <row r="21" customFormat="false" ht="15" hidden="false" customHeight="false" outlineLevel="0" collapsed="false">
      <c r="A21" s="10" t="s">
        <v>285</v>
      </c>
    </row>
    <row r="22" customFormat="false" ht="30" hidden="false" customHeight="true" outlineLevel="0" collapsed="false">
      <c r="A22" s="11" t="s">
        <v>286</v>
      </c>
      <c r="B22" s="11" t="s">
        <v>287</v>
      </c>
      <c r="C22" s="11" t="s">
        <v>120</v>
      </c>
      <c r="D22" s="11" t="s">
        <v>288</v>
      </c>
      <c r="E22" s="11" t="s">
        <v>289</v>
      </c>
    </row>
    <row r="23" customFormat="false" ht="15" hidden="false" customHeight="false" outlineLevel="0" collapsed="false">
      <c r="A23" s="19" t="s">
        <v>290</v>
      </c>
      <c r="B23" s="27" t="s">
        <v>291</v>
      </c>
      <c r="C23" s="28" t="n">
        <f aca="false">H19</f>
        <v>22.977558107894</v>
      </c>
      <c r="D23" s="18" t="s">
        <v>292</v>
      </c>
      <c r="E23" s="27" t="s">
        <v>293</v>
      </c>
    </row>
    <row r="24" customFormat="false" ht="15" hidden="false" customHeight="false" outlineLevel="0" collapsed="false">
      <c r="A24" s="19" t="s">
        <v>294</v>
      </c>
      <c r="B24" s="27" t="s">
        <v>295</v>
      </c>
      <c r="C24" s="28" t="n">
        <f aca="false">H19*(1+$B$10/100)/$B$9</f>
        <v>0.789113765803415</v>
      </c>
      <c r="D24" s="18" t="s">
        <v>296</v>
      </c>
      <c r="E24" s="27" t="s">
        <v>293</v>
      </c>
    </row>
    <row r="25" customFormat="false" ht="15" hidden="false" customHeight="false" outlineLevel="0" collapsed="false">
      <c r="A25" s="19" t="s">
        <v>297</v>
      </c>
      <c r="B25" s="27" t="s">
        <v>298</v>
      </c>
      <c r="C25" s="28" t="n">
        <f aca="false">J19</f>
        <v>11.806</v>
      </c>
      <c r="D25" s="18" t="s">
        <v>299</v>
      </c>
      <c r="E25" s="27" t="s">
        <v>293</v>
      </c>
    </row>
    <row r="26" customFormat="false" ht="15" hidden="false" customHeight="false" outlineLevel="0" collapsed="false">
      <c r="A26" s="19" t="s">
        <v>300</v>
      </c>
      <c r="B26" s="27" t="s">
        <v>298</v>
      </c>
      <c r="C26" s="28" t="n">
        <f aca="false">J19</f>
        <v>11.806</v>
      </c>
      <c r="D26" s="18" t="s">
        <v>299</v>
      </c>
      <c r="E26" s="27" t="s">
        <v>293</v>
      </c>
    </row>
    <row r="27" customFormat="false" ht="15" hidden="false" customHeight="false" outlineLevel="0" collapsed="false">
      <c r="A27" s="16" t="s">
        <v>301</v>
      </c>
      <c r="B27" s="34" t="s">
        <v>302</v>
      </c>
      <c r="C27" s="35" t="n">
        <f aca="false">H19*2</f>
        <v>45.955116215788</v>
      </c>
      <c r="D27" s="15" t="s">
        <v>292</v>
      </c>
      <c r="E27" s="34" t="s">
        <v>303</v>
      </c>
    </row>
    <row r="28" customFormat="false" ht="15" hidden="false" customHeight="false" outlineLevel="0" collapsed="false">
      <c r="A28" s="16" t="s">
        <v>212</v>
      </c>
      <c r="B28" s="34" t="s">
        <v>304</v>
      </c>
      <c r="C28" s="35" t="n">
        <f aca="false">H19*25*2</f>
        <v>1148.8779053947</v>
      </c>
      <c r="D28" s="15" t="s">
        <v>305</v>
      </c>
      <c r="E28" s="34" t="s">
        <v>303</v>
      </c>
    </row>
    <row r="29" customFormat="false" ht="15" hidden="false" customHeight="false" outlineLevel="0" collapsed="false">
      <c r="A29" s="16" t="s">
        <v>306</v>
      </c>
      <c r="B29" s="34" t="s">
        <v>307</v>
      </c>
      <c r="C29" s="35" t="n">
        <f aca="false">IF($B$4&lt;=150,2,IF($B$4&gt;=1050,6,4))</f>
        <v>4</v>
      </c>
      <c r="D29" s="15" t="s">
        <v>308</v>
      </c>
      <c r="E29" s="34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8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310</v>
      </c>
    </row>
    <row r="2" customFormat="false" ht="15" hidden="false" customHeight="false" outlineLevel="0" collapsed="false">
      <c r="A2" s="2" t="s">
        <v>311</v>
      </c>
    </row>
    <row r="4" customFormat="false" ht="15" hidden="false" customHeight="false" outlineLevel="0" collapsed="false">
      <c r="A4" s="9" t="s">
        <v>312</v>
      </c>
      <c r="B4" s="25" t="n">
        <v>600</v>
      </c>
    </row>
    <row r="5" customFormat="false" ht="15" hidden="false" customHeight="false" outlineLevel="0" collapsed="false">
      <c r="A5" s="9" t="s">
        <v>313</v>
      </c>
      <c r="B5" s="25" t="n">
        <v>720</v>
      </c>
    </row>
    <row r="6" customFormat="false" ht="15" hidden="false" customHeight="false" outlineLevel="0" collapsed="false">
      <c r="A6" s="9" t="s">
        <v>314</v>
      </c>
      <c r="B6" s="25" t="n">
        <v>1</v>
      </c>
    </row>
    <row r="7" customFormat="false" ht="15" hidden="false" customHeight="false" outlineLevel="0" collapsed="false">
      <c r="A7" s="9" t="s">
        <v>315</v>
      </c>
      <c r="B7" s="25" t="n">
        <v>50</v>
      </c>
    </row>
    <row r="8" customFormat="false" ht="15" hidden="false" customHeight="false" outlineLevel="0" collapsed="false">
      <c r="A8" s="9" t="s">
        <v>316</v>
      </c>
      <c r="B8" s="25" t="n">
        <v>25</v>
      </c>
    </row>
    <row r="9" customFormat="false" ht="15" hidden="false" customHeight="false" outlineLevel="0" collapsed="false">
      <c r="A9" s="9" t="s">
        <v>317</v>
      </c>
      <c r="B9" s="25" t="n">
        <v>15</v>
      </c>
    </row>
    <row r="10" customFormat="false" ht="15" hidden="false" customHeight="false" outlineLevel="0" collapsed="false">
      <c r="A10" s="9" t="s">
        <v>318</v>
      </c>
      <c r="B10" s="25" t="n">
        <v>30</v>
      </c>
    </row>
    <row r="11" customFormat="false" ht="15" hidden="false" customHeight="false" outlineLevel="0" collapsed="false">
      <c r="A11" s="9" t="s">
        <v>319</v>
      </c>
      <c r="B11" s="25" t="n">
        <v>50</v>
      </c>
    </row>
    <row r="12" customFormat="false" ht="15" hidden="false" customHeight="false" outlineLevel="0" collapsed="false">
      <c r="A12" s="9" t="s">
        <v>320</v>
      </c>
      <c r="B12" s="25" t="n">
        <v>5</v>
      </c>
    </row>
    <row r="13" customFormat="false" ht="15" hidden="false" customHeight="false" outlineLevel="0" collapsed="false">
      <c r="A13" s="9" t="s">
        <v>321</v>
      </c>
      <c r="B13" s="25" t="n">
        <v>8</v>
      </c>
    </row>
    <row r="14" customFormat="false" ht="15" hidden="false" customHeight="false" outlineLevel="0" collapsed="false">
      <c r="A14" s="9" t="s">
        <v>259</v>
      </c>
      <c r="B14" s="26" t="n">
        <v>92903.04</v>
      </c>
    </row>
    <row r="16" customFormat="false" ht="15" hidden="false" customHeight="false" outlineLevel="0" collapsed="false">
      <c r="A16" s="9" t="s">
        <v>322</v>
      </c>
      <c r="B16" s="36" t="n">
        <f aca="false">$B$4*$B$5/$B$14</f>
        <v>4.6500093000186</v>
      </c>
    </row>
    <row r="17" customFormat="false" ht="15" hidden="false" customHeight="false" outlineLevel="0" collapsed="false">
      <c r="A17" s="9" t="s">
        <v>323</v>
      </c>
      <c r="B17" s="36" t="n">
        <f aca="false">2*($B$4+$B$5)/1000</f>
        <v>2.64</v>
      </c>
    </row>
    <row r="19" customFormat="false" ht="30" hidden="false" customHeight="true" outlineLevel="0" collapsed="false">
      <c r="A19" s="11" t="s">
        <v>70</v>
      </c>
      <c r="B19" s="11" t="s">
        <v>324</v>
      </c>
      <c r="C19" s="11" t="s">
        <v>325</v>
      </c>
      <c r="D19" s="11" t="s">
        <v>120</v>
      </c>
      <c r="E19" s="11" t="s">
        <v>288</v>
      </c>
      <c r="F19" s="11" t="s">
        <v>42</v>
      </c>
    </row>
    <row r="20" customFormat="false" ht="15" hidden="false" customHeight="false" outlineLevel="0" collapsed="false">
      <c r="A20" s="19" t="s">
        <v>326</v>
      </c>
      <c r="B20" s="27" t="s">
        <v>327</v>
      </c>
      <c r="C20" s="27" t="s">
        <v>328</v>
      </c>
      <c r="D20" s="28" t="n">
        <f aca="false">$B$16*$B$6</f>
        <v>4.6500093000186</v>
      </c>
      <c r="E20" s="18" t="s">
        <v>292</v>
      </c>
      <c r="F20" s="20"/>
    </row>
    <row r="21" customFormat="false" ht="15" hidden="false" customHeight="false" outlineLevel="0" collapsed="false">
      <c r="A21" s="19"/>
      <c r="B21" s="27" t="s">
        <v>297</v>
      </c>
      <c r="C21" s="27" t="s">
        <v>329</v>
      </c>
      <c r="D21" s="28" t="n">
        <f aca="false">$B$17*$B$6</f>
        <v>2.64</v>
      </c>
      <c r="E21" s="18" t="s">
        <v>299</v>
      </c>
      <c r="F21" s="20" t="s">
        <v>330</v>
      </c>
    </row>
    <row r="22" customFormat="false" ht="15" hidden="false" customHeight="false" outlineLevel="0" collapsed="false">
      <c r="A22" s="19"/>
      <c r="B22" s="27" t="s">
        <v>300</v>
      </c>
      <c r="C22" s="27" t="s">
        <v>329</v>
      </c>
      <c r="D22" s="28" t="n">
        <f aca="false">$B$17*$B$6</f>
        <v>2.64</v>
      </c>
      <c r="E22" s="18" t="s">
        <v>299</v>
      </c>
      <c r="F22" s="20"/>
    </row>
    <row r="23" customFormat="false" ht="15" hidden="false" customHeight="false" outlineLevel="0" collapsed="false">
      <c r="A23" s="19" t="s">
        <v>331</v>
      </c>
      <c r="B23" s="27" t="s">
        <v>332</v>
      </c>
      <c r="C23" s="27" t="s">
        <v>328</v>
      </c>
      <c r="D23" s="28" t="n">
        <f aca="false">$B$16*$B$6</f>
        <v>4.6500093000186</v>
      </c>
      <c r="E23" s="18" t="s">
        <v>292</v>
      </c>
      <c r="F23" s="20" t="s">
        <v>333</v>
      </c>
    </row>
    <row r="24" customFormat="false" ht="15" hidden="false" customHeight="false" outlineLevel="0" collapsed="false">
      <c r="A24" s="19"/>
      <c r="B24" s="27" t="s">
        <v>334</v>
      </c>
      <c r="C24" s="27" t="s">
        <v>328</v>
      </c>
      <c r="D24" s="28" t="n">
        <f aca="false">$B$16*$B$6</f>
        <v>4.6500093000186</v>
      </c>
      <c r="E24" s="18" t="s">
        <v>292</v>
      </c>
      <c r="F24" s="20"/>
    </row>
    <row r="25" customFormat="false" ht="15" hidden="false" customHeight="false" outlineLevel="0" collapsed="false">
      <c r="A25" s="19"/>
      <c r="B25" s="27" t="s">
        <v>335</v>
      </c>
      <c r="C25" s="27" t="s">
        <v>328</v>
      </c>
      <c r="D25" s="28" t="n">
        <f aca="false">$B$16*$B$6</f>
        <v>4.6500093000186</v>
      </c>
      <c r="E25" s="18" t="s">
        <v>292</v>
      </c>
      <c r="F25" s="20"/>
    </row>
    <row r="26" customFormat="false" ht="15" hidden="false" customHeight="false" outlineLevel="0" collapsed="false">
      <c r="A26" s="19"/>
      <c r="B26" s="27" t="s">
        <v>212</v>
      </c>
      <c r="C26" s="27" t="s">
        <v>336</v>
      </c>
      <c r="D26" s="28" t="n">
        <f aca="false">$B$16*$B$8*2*$B$6</f>
        <v>232.50046500093</v>
      </c>
      <c r="E26" s="18" t="s">
        <v>305</v>
      </c>
      <c r="F26" s="20"/>
    </row>
    <row r="27" customFormat="false" ht="15" hidden="false" customHeight="false" outlineLevel="0" collapsed="false">
      <c r="A27" s="19"/>
      <c r="B27" s="27" t="s">
        <v>297</v>
      </c>
      <c r="C27" s="27" t="s">
        <v>329</v>
      </c>
      <c r="D27" s="28" t="n">
        <f aca="false">$B$17*$B$6</f>
        <v>2.64</v>
      </c>
      <c r="E27" s="18" t="s">
        <v>299</v>
      </c>
      <c r="F27" s="20"/>
    </row>
    <row r="28" customFormat="false" ht="15" hidden="false" customHeight="false" outlineLevel="0" collapsed="false">
      <c r="A28" s="19"/>
      <c r="B28" s="27" t="s">
        <v>300</v>
      </c>
      <c r="C28" s="27" t="s">
        <v>329</v>
      </c>
      <c r="D28" s="28" t="n">
        <f aca="false">$B$17*$B$6</f>
        <v>2.64</v>
      </c>
      <c r="E28" s="18" t="s">
        <v>299</v>
      </c>
      <c r="F28" s="20"/>
    </row>
    <row r="29" customFormat="false" ht="15" hidden="false" customHeight="false" outlineLevel="0" collapsed="false">
      <c r="A29" s="16" t="s">
        <v>337</v>
      </c>
      <c r="B29" s="34" t="s">
        <v>327</v>
      </c>
      <c r="C29" s="34" t="s">
        <v>328</v>
      </c>
      <c r="D29" s="35" t="n">
        <f aca="false">$B$16*$B$6</f>
        <v>4.6500093000186</v>
      </c>
      <c r="E29" s="15" t="s">
        <v>292</v>
      </c>
      <c r="F29" s="17" t="s">
        <v>338</v>
      </c>
    </row>
    <row r="30" customFormat="false" ht="15" hidden="false" customHeight="false" outlineLevel="0" collapsed="false">
      <c r="A30" s="16"/>
      <c r="B30" s="34" t="s">
        <v>224</v>
      </c>
      <c r="C30" s="34" t="s">
        <v>339</v>
      </c>
      <c r="D30" s="35" t="n">
        <f aca="false">($B$4+2*$B$7)*($B$5+2*$B$7)/$B$14*$B$6</f>
        <v>6.17848457919138</v>
      </c>
      <c r="E30" s="15" t="s">
        <v>292</v>
      </c>
      <c r="F30" s="17"/>
    </row>
    <row r="31" customFormat="false" ht="15" hidden="false" customHeight="false" outlineLevel="0" collapsed="false">
      <c r="A31" s="16"/>
      <c r="B31" s="34" t="s">
        <v>226</v>
      </c>
      <c r="C31" s="34" t="s">
        <v>328</v>
      </c>
      <c r="D31" s="35" t="n">
        <f aca="false">$B$16*$B$6</f>
        <v>4.6500093000186</v>
      </c>
      <c r="E31" s="15" t="s">
        <v>292</v>
      </c>
      <c r="F31" s="37" t="s">
        <v>340</v>
      </c>
    </row>
    <row r="32" customFormat="false" ht="15" hidden="false" customHeight="false" outlineLevel="0" collapsed="false">
      <c r="A32" s="16" t="s">
        <v>341</v>
      </c>
      <c r="B32" s="34" t="s">
        <v>327</v>
      </c>
      <c r="C32" s="34" t="s">
        <v>328</v>
      </c>
      <c r="D32" s="35" t="n">
        <f aca="false">$B$16*$B$6</f>
        <v>4.6500093000186</v>
      </c>
      <c r="E32" s="15" t="s">
        <v>292</v>
      </c>
      <c r="F32" s="17"/>
    </row>
    <row r="33" customFormat="false" ht="15" hidden="false" customHeight="false" outlineLevel="0" collapsed="false">
      <c r="A33" s="16"/>
      <c r="B33" s="34" t="s">
        <v>342</v>
      </c>
      <c r="C33" s="34" t="s">
        <v>343</v>
      </c>
      <c r="D33" s="35" t="n">
        <f aca="false">$B$16*$B$9*$B$6</f>
        <v>69.750139500279</v>
      </c>
      <c r="E33" s="15" t="s">
        <v>305</v>
      </c>
      <c r="F33" s="17"/>
    </row>
    <row r="34" customFormat="false" ht="15" hidden="false" customHeight="false" outlineLevel="0" collapsed="false">
      <c r="A34" s="16"/>
      <c r="B34" s="34" t="s">
        <v>344</v>
      </c>
      <c r="C34" s="34" t="s">
        <v>345</v>
      </c>
      <c r="D34" s="35" t="n">
        <f aca="false">$B$16*$B$10*$B$6</f>
        <v>139.500279000558</v>
      </c>
      <c r="E34" s="15" t="s">
        <v>305</v>
      </c>
      <c r="F34" s="17"/>
    </row>
    <row r="35" customFormat="false" ht="15" hidden="false" customHeight="false" outlineLevel="0" collapsed="false">
      <c r="A35" s="16"/>
      <c r="B35" s="34" t="s">
        <v>346</v>
      </c>
      <c r="C35" s="34" t="s">
        <v>347</v>
      </c>
      <c r="D35" s="35" t="n">
        <f aca="false">$B$16*$B$11*$B$6</f>
        <v>232.50046500093</v>
      </c>
      <c r="E35" s="15" t="s">
        <v>305</v>
      </c>
      <c r="F35" s="17"/>
    </row>
    <row r="36" customFormat="false" ht="15" hidden="false" customHeight="false" outlineLevel="0" collapsed="false">
      <c r="A36" s="16" t="s">
        <v>348</v>
      </c>
      <c r="B36" s="34" t="s">
        <v>349</v>
      </c>
      <c r="C36" s="34" t="s">
        <v>328</v>
      </c>
      <c r="D36" s="35" t="n">
        <f aca="false">$B$16*$B$6</f>
        <v>4.6500093000186</v>
      </c>
      <c r="E36" s="15" t="s">
        <v>292</v>
      </c>
      <c r="F36" s="17" t="s">
        <v>350</v>
      </c>
    </row>
    <row r="37" customFormat="false" ht="15" hidden="false" customHeight="false" outlineLevel="0" collapsed="false">
      <c r="A37" s="16"/>
      <c r="B37" s="34" t="s">
        <v>342</v>
      </c>
      <c r="C37" s="34" t="s">
        <v>351</v>
      </c>
      <c r="D37" s="35" t="n">
        <f aca="false">$B$16*$B$9*2*$B$6</f>
        <v>139.500279000558</v>
      </c>
      <c r="E37" s="15" t="s">
        <v>305</v>
      </c>
      <c r="F37" s="17"/>
    </row>
    <row r="38" customFormat="false" ht="15" hidden="false" customHeight="false" outlineLevel="0" collapsed="false">
      <c r="A38" s="16"/>
      <c r="B38" s="34" t="s">
        <v>344</v>
      </c>
      <c r="C38" s="34" t="s">
        <v>352</v>
      </c>
      <c r="D38" s="35" t="n">
        <f aca="false">$B$16*$B$10*2*$B$6</f>
        <v>279.000558001116</v>
      </c>
      <c r="E38" s="15" t="s">
        <v>305</v>
      </c>
      <c r="F38" s="17"/>
    </row>
    <row r="39" customFormat="false" ht="15" hidden="false" customHeight="false" outlineLevel="0" collapsed="false">
      <c r="A39" s="16"/>
      <c r="B39" s="34" t="s">
        <v>346</v>
      </c>
      <c r="C39" s="34" t="s">
        <v>353</v>
      </c>
      <c r="D39" s="35" t="n">
        <f aca="false">$B$16*$B$11*2*$B$6</f>
        <v>465.00093000186</v>
      </c>
      <c r="E39" s="15" t="s">
        <v>305</v>
      </c>
      <c r="F39" s="17"/>
    </row>
    <row r="40" customFormat="false" ht="15" hidden="false" customHeight="false" outlineLevel="0" collapsed="false">
      <c r="A40" s="13" t="s">
        <v>354</v>
      </c>
      <c r="B40" s="29" t="s">
        <v>355</v>
      </c>
      <c r="C40" s="29" t="s">
        <v>356</v>
      </c>
      <c r="D40" s="30" t="n">
        <f aca="false">($B$4-$B$12)*($B$5-$B$12)/$B$14*$B$6</f>
        <v>4.57923658902873</v>
      </c>
      <c r="E40" s="12" t="s">
        <v>292</v>
      </c>
      <c r="F40" s="14" t="s">
        <v>357</v>
      </c>
    </row>
    <row r="41" customFormat="false" ht="15" hidden="false" customHeight="false" outlineLevel="0" collapsed="false">
      <c r="A41" s="13"/>
      <c r="B41" s="29" t="s">
        <v>358</v>
      </c>
      <c r="C41" s="29" t="s">
        <v>359</v>
      </c>
      <c r="D41" s="30" t="n">
        <f aca="false">(2*$B$5+2*$B$4)/1000*$B$6</f>
        <v>2.64</v>
      </c>
      <c r="E41" s="12" t="s">
        <v>360</v>
      </c>
      <c r="F41" s="14" t="s">
        <v>361</v>
      </c>
    </row>
    <row r="42" customFormat="false" ht="15" hidden="false" customHeight="false" outlineLevel="0" collapsed="false">
      <c r="A42" s="13"/>
      <c r="B42" s="29" t="s">
        <v>362</v>
      </c>
      <c r="C42" s="29" t="s">
        <v>363</v>
      </c>
      <c r="D42" s="30" t="n">
        <f aca="false">4*$B$6</f>
        <v>4</v>
      </c>
      <c r="E42" s="12" t="s">
        <v>308</v>
      </c>
      <c r="F42" s="14"/>
    </row>
    <row r="43" customFormat="false" ht="15" hidden="false" customHeight="false" outlineLevel="0" collapsed="false">
      <c r="A43" s="13" t="s">
        <v>364</v>
      </c>
      <c r="B43" s="29" t="s">
        <v>355</v>
      </c>
      <c r="C43" s="29" t="s">
        <v>365</v>
      </c>
      <c r="D43" s="30" t="n">
        <f aca="false">($B$4-$B$13)*($B$5-$B$13)/$B$14*$B$6</f>
        <v>4.53703129628482</v>
      </c>
      <c r="E43" s="12" t="s">
        <v>292</v>
      </c>
      <c r="F43" s="14" t="s">
        <v>366</v>
      </c>
    </row>
    <row r="44" customFormat="false" ht="15" hidden="false" customHeight="false" outlineLevel="0" collapsed="false">
      <c r="A44" s="13"/>
      <c r="B44" s="29" t="s">
        <v>367</v>
      </c>
      <c r="C44" s="29" t="s">
        <v>359</v>
      </c>
      <c r="D44" s="30" t="n">
        <f aca="false">(2*$B$5+2*$B$4)/1000*$B$6</f>
        <v>2.64</v>
      </c>
      <c r="E44" s="12" t="s">
        <v>360</v>
      </c>
      <c r="F44" s="14" t="s">
        <v>368</v>
      </c>
    </row>
    <row r="45" customFormat="false" ht="15" hidden="false" customHeight="false" outlineLevel="0" collapsed="false">
      <c r="A45" s="13"/>
      <c r="B45" s="29" t="s">
        <v>362</v>
      </c>
      <c r="C45" s="29" t="s">
        <v>363</v>
      </c>
      <c r="D45" s="30" t="n">
        <f aca="false">4*$B$6</f>
        <v>4</v>
      </c>
      <c r="E45" s="12" t="s">
        <v>308</v>
      </c>
      <c r="F45" s="14"/>
    </row>
    <row r="47" customFormat="false" ht="15" hidden="false" customHeight="false" outlineLevel="0" collapsed="false">
      <c r="A47" s="38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48"/>
  </cols>
  <sheetData>
    <row r="1" customFormat="false" ht="17.35" hidden="false" customHeight="false" outlineLevel="0" collapsed="false">
      <c r="A1" s="1" t="s">
        <v>370</v>
      </c>
    </row>
    <row r="2" customFormat="false" ht="15" hidden="false" customHeight="false" outlineLevel="0" collapsed="false">
      <c r="A2" s="2" t="s">
        <v>371</v>
      </c>
    </row>
    <row r="4" customFormat="false" ht="30" hidden="false" customHeight="true" outlineLevel="0" collapsed="false">
      <c r="A4" s="11" t="s">
        <v>372</v>
      </c>
      <c r="B4" s="11" t="s">
        <v>373</v>
      </c>
      <c r="C4" s="11" t="s">
        <v>374</v>
      </c>
    </row>
    <row r="5" customFormat="false" ht="27.75" hidden="false" customHeight="true" outlineLevel="0" collapsed="false">
      <c r="A5" s="21" t="s">
        <v>375</v>
      </c>
      <c r="B5" s="23" t="s">
        <v>376</v>
      </c>
      <c r="C5" s="23" t="s">
        <v>377</v>
      </c>
    </row>
    <row r="6" customFormat="false" ht="27.75" hidden="false" customHeight="true" outlineLevel="0" collapsed="false">
      <c r="A6" s="21" t="s">
        <v>378</v>
      </c>
      <c r="B6" s="23" t="s">
        <v>379</v>
      </c>
      <c r="C6" s="23" t="s">
        <v>380</v>
      </c>
    </row>
    <row r="7" customFormat="false" ht="27.75" hidden="false" customHeight="true" outlineLevel="0" collapsed="false">
      <c r="A7" s="21" t="s">
        <v>381</v>
      </c>
      <c r="B7" s="23" t="s">
        <v>382</v>
      </c>
      <c r="C7" s="23" t="s">
        <v>383</v>
      </c>
    </row>
    <row r="8" customFormat="false" ht="27.75" hidden="false" customHeight="true" outlineLevel="0" collapsed="false">
      <c r="A8" s="21" t="s">
        <v>384</v>
      </c>
      <c r="B8" s="23" t="s">
        <v>385</v>
      </c>
      <c r="C8" s="23" t="s">
        <v>386</v>
      </c>
    </row>
    <row r="9" customFormat="false" ht="27.75" hidden="false" customHeight="true" outlineLevel="0" collapsed="false">
      <c r="A9" s="21" t="s">
        <v>387</v>
      </c>
      <c r="B9" s="23" t="s">
        <v>388</v>
      </c>
      <c r="C9" s="23" t="s">
        <v>389</v>
      </c>
    </row>
    <row r="10" customFormat="false" ht="27.75" hidden="false" customHeight="true" outlineLevel="0" collapsed="false">
      <c r="A10" s="21" t="s">
        <v>390</v>
      </c>
      <c r="B10" s="23" t="s">
        <v>391</v>
      </c>
      <c r="C10" s="23" t="s">
        <v>392</v>
      </c>
    </row>
    <row r="11" customFormat="false" ht="27.75" hidden="false" customHeight="true" outlineLevel="0" collapsed="false">
      <c r="A11" s="21" t="s">
        <v>393</v>
      </c>
      <c r="B11" s="23" t="s">
        <v>394</v>
      </c>
      <c r="C11" s="23" t="s">
        <v>395</v>
      </c>
    </row>
    <row r="12" customFormat="false" ht="27.75" hidden="false" customHeight="true" outlineLevel="0" collapsed="false">
      <c r="A12" s="21" t="s">
        <v>396</v>
      </c>
      <c r="B12" s="23" t="s">
        <v>397</v>
      </c>
      <c r="C12" s="23" t="s">
        <v>398</v>
      </c>
    </row>
    <row r="13" customFormat="false" ht="27.75" hidden="false" customHeight="true" outlineLevel="0" collapsed="false">
      <c r="A13" s="21" t="s">
        <v>399</v>
      </c>
      <c r="B13" s="23" t="s">
        <v>400</v>
      </c>
      <c r="C13" s="23" t="s">
        <v>401</v>
      </c>
    </row>
    <row r="14" customFormat="false" ht="27.75" hidden="false" customHeight="true" outlineLevel="0" collapsed="false">
      <c r="A14" s="21" t="s">
        <v>402</v>
      </c>
      <c r="B14" s="23" t="s">
        <v>403</v>
      </c>
      <c r="C14" s="23" t="s">
        <v>404</v>
      </c>
    </row>
    <row r="15" customFormat="false" ht="27.75" hidden="false" customHeight="true" outlineLevel="0" collapsed="false">
      <c r="A15" s="21" t="s">
        <v>405</v>
      </c>
      <c r="B15" s="23" t="s">
        <v>406</v>
      </c>
      <c r="C15" s="23" t="s">
        <v>407</v>
      </c>
    </row>
    <row r="16" customFormat="false" ht="27.75" hidden="false" customHeight="true" outlineLevel="0" collapsed="false">
      <c r="A16" s="21" t="s">
        <v>408</v>
      </c>
      <c r="B16" s="23" t="s">
        <v>409</v>
      </c>
      <c r="C16" s="23" t="s">
        <v>410</v>
      </c>
    </row>
    <row r="17" customFormat="false" ht="27.75" hidden="false" customHeight="true" outlineLevel="0" collapsed="false">
      <c r="A17" s="21" t="s">
        <v>411</v>
      </c>
      <c r="B17" s="23" t="s">
        <v>412</v>
      </c>
      <c r="C17" s="23" t="s">
        <v>380</v>
      </c>
    </row>
    <row r="18" customFormat="false" ht="27.75" hidden="false" customHeight="true" outlineLevel="0" collapsed="false">
      <c r="A18" s="21" t="s">
        <v>413</v>
      </c>
      <c r="B18" s="23" t="s">
        <v>414</v>
      </c>
      <c r="C18" s="23" t="s">
        <v>415</v>
      </c>
    </row>
    <row r="19" customFormat="false" ht="27.75" hidden="false" customHeight="true" outlineLevel="0" collapsed="false">
      <c r="A19" s="21" t="s">
        <v>416</v>
      </c>
      <c r="B19" s="23" t="s">
        <v>417</v>
      </c>
      <c r="C19" s="23" t="s">
        <v>418</v>
      </c>
    </row>
    <row r="20" customFormat="false" ht="27.75" hidden="false" customHeight="true" outlineLevel="0" collapsed="false">
      <c r="A20" s="21" t="s">
        <v>419</v>
      </c>
      <c r="B20" s="23" t="s">
        <v>420</v>
      </c>
      <c r="C20" s="23" t="s">
        <v>421</v>
      </c>
    </row>
    <row r="21" customFormat="false" ht="27.75" hidden="false" customHeight="true" outlineLevel="0" collapsed="false">
      <c r="A21" s="21" t="s">
        <v>422</v>
      </c>
      <c r="B21" s="23" t="s">
        <v>423</v>
      </c>
      <c r="C21" s="23" t="s">
        <v>424</v>
      </c>
    </row>
    <row r="22" customFormat="false" ht="27.75" hidden="false" customHeight="true" outlineLevel="0" collapsed="false">
      <c r="A22" s="21" t="s">
        <v>425</v>
      </c>
      <c r="B22" s="23" t="s">
        <v>426</v>
      </c>
      <c r="C22" s="23" t="s">
        <v>427</v>
      </c>
    </row>
    <row r="23" customFormat="false" ht="27.75" hidden="false" customHeight="true" outlineLevel="0" collapsed="false">
      <c r="A23" s="21" t="s">
        <v>428</v>
      </c>
      <c r="B23" s="23" t="s">
        <v>429</v>
      </c>
      <c r="C23" s="23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25</v>
      </c>
    </row>
    <row r="4" customFormat="false" ht="30" hidden="false" customHeight="true" outlineLevel="0" collapsed="false">
      <c r="A4" s="11" t="s">
        <v>37</v>
      </c>
      <c r="B4" s="11" t="s">
        <v>431</v>
      </c>
      <c r="C4" s="11" t="s">
        <v>432</v>
      </c>
      <c r="D4" s="11" t="s">
        <v>39</v>
      </c>
    </row>
    <row r="5" customFormat="false" ht="27.75" hidden="false" customHeight="true" outlineLevel="0" collapsed="false">
      <c r="A5" s="24" t="n">
        <v>1</v>
      </c>
      <c r="B5" s="37" t="s">
        <v>433</v>
      </c>
      <c r="C5" s="37" t="s">
        <v>434</v>
      </c>
      <c r="D5" s="37" t="s">
        <v>435</v>
      </c>
    </row>
    <row r="6" customFormat="false" ht="27.75" hidden="false" customHeight="true" outlineLevel="0" collapsed="false">
      <c r="A6" s="24" t="n">
        <v>2</v>
      </c>
      <c r="B6" s="37" t="s">
        <v>436</v>
      </c>
      <c r="C6" s="37" t="s">
        <v>437</v>
      </c>
      <c r="D6" s="37" t="s">
        <v>438</v>
      </c>
    </row>
    <row r="7" customFormat="false" ht="27.75" hidden="false" customHeight="true" outlineLevel="0" collapsed="false">
      <c r="A7" s="24" t="n">
        <v>3</v>
      </c>
      <c r="B7" s="37" t="s">
        <v>439</v>
      </c>
      <c r="C7" s="37" t="s">
        <v>440</v>
      </c>
      <c r="D7" s="37" t="s">
        <v>441</v>
      </c>
    </row>
    <row r="8" customFormat="false" ht="27.75" hidden="false" customHeight="true" outlineLevel="0" collapsed="false">
      <c r="A8" s="24" t="n">
        <v>4</v>
      </c>
      <c r="B8" s="37" t="s">
        <v>442</v>
      </c>
      <c r="C8" s="37" t="s">
        <v>443</v>
      </c>
      <c r="D8" s="37" t="s">
        <v>444</v>
      </c>
    </row>
    <row r="9" customFormat="false" ht="27.75" hidden="false" customHeight="true" outlineLevel="0" collapsed="false">
      <c r="A9" s="24" t="n">
        <v>5</v>
      </c>
      <c r="B9" s="37" t="s">
        <v>445</v>
      </c>
      <c r="C9" s="37" t="s">
        <v>446</v>
      </c>
      <c r="D9" s="37" t="s">
        <v>444</v>
      </c>
    </row>
    <row r="10" customFormat="false" ht="27.75" hidden="false" customHeight="true" outlineLevel="0" collapsed="false">
      <c r="A10" s="24" t="n">
        <v>6</v>
      </c>
      <c r="B10" s="37" t="s">
        <v>447</v>
      </c>
      <c r="C10" s="37" t="s">
        <v>448</v>
      </c>
      <c r="D10" s="37" t="s">
        <v>449</v>
      </c>
    </row>
    <row r="11" customFormat="false" ht="27.75" hidden="false" customHeight="true" outlineLevel="0" collapsed="false">
      <c r="A11" s="24" t="n">
        <v>7</v>
      </c>
      <c r="B11" s="37" t="s">
        <v>450</v>
      </c>
      <c r="C11" s="37" t="s">
        <v>451</v>
      </c>
      <c r="D11" s="37" t="s">
        <v>452</v>
      </c>
    </row>
    <row r="12" customFormat="false" ht="27.75" hidden="false" customHeight="true" outlineLevel="0" collapsed="false">
      <c r="A12" s="24" t="n">
        <v>8</v>
      </c>
      <c r="B12" s="37" t="s">
        <v>453</v>
      </c>
      <c r="C12" s="37" t="s">
        <v>454</v>
      </c>
      <c r="D12" s="37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2026-09-02T12:47:01Z</dcterms:created>
  <dc:creator>openpyxl</dc:creator>
  <dc:description/>
  <dc:language>en-US</dc:language>
  <cp:lastModifiedBy/>
  <dcterms:modified xsi:type="dcterms:W3CDTF">2026-09-02T12:47:01Z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
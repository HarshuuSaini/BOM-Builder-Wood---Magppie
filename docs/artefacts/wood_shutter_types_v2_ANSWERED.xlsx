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208"/>
  <workbookPr/>
  <mc:AlternateContent xmlns:mc="http://schemas.openxmlformats.org/markup-compatibility/2006">
    <mc:Choice Requires="x15">
      <x15ac:absPath xmlns:x15ac="http://schemas.microsoft.com/office/spreadsheetml/2010/11/ac" url="/Users/Apple/Downloads/"/>
    </mc:Choice>
  </mc:AlternateContent>
  <xr:revisionPtr revIDLastSave="0" documentId="13_ncr:1_{E63E65D9-B6FD-FF40-BF66-F2D2120C3176}" xr6:coauthVersionLast="47" xr6:coauthVersionMax="47" xr10:uidLastSave="{00000000-0000-0000-0000-000000000000}"/>
  <bookViews>
    <workbookView xWindow="0" yWindow="0" windowWidth="38400" windowHeight="21600" tabRatio="500" activeTab="3" xr2:uid="{00000000-000D-0000-FFFF-FFFF00000000}"/>
  </bookViews>
  <sheets>
    <sheet name="Shutter Types" sheetId="1" r:id="rId1"/>
    <sheet name="Shutter BOM" sheetId="2" r:id="rId2"/>
    <sheet name="Carcass Boards" sheetId="3" r:id="rId3"/>
    <sheet name="Still Open" sheetId="4" r:id="rId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F41" i="2" l="1"/>
  <c r="F40" i="2"/>
  <c r="F39" i="2"/>
  <c r="F28" i="2"/>
  <c r="F24" i="2"/>
  <c r="B15" i="2"/>
  <c r="F20" i="2" s="1"/>
  <c r="B14" i="2"/>
  <c r="F33" i="2" s="1"/>
  <c r="F34" i="2" l="1"/>
  <c r="F35" i="2"/>
  <c r="F36" i="2"/>
  <c r="F37" i="2"/>
  <c r="F21" i="2"/>
  <c r="F29" i="2"/>
  <c r="F22" i="2"/>
  <c r="F30" i="2"/>
  <c r="F38" i="2"/>
  <c r="F32" i="2"/>
  <c r="F25" i="2"/>
  <c r="F18" i="2"/>
  <c r="F26" i="2"/>
  <c r="F19" i="2"/>
  <c r="F27" i="2"/>
  <c r="F23" i="2"/>
  <c r="F31" i="2"/>
</calcChain>
</file>

<file path=xl/sharedStrings.xml><?xml version="1.0" encoding="utf-8"?>
<sst xmlns="http://schemas.openxmlformats.org/spreadsheetml/2006/main" count="244" uniqueCount="183">
  <si>
    <t>Shutter Types - CONFIRMED</t>
  </si>
  <si>
    <t>Updated from your answers. Orange cells changed from my first draft.</t>
  </si>
  <si>
    <t>Type</t>
  </si>
  <si>
    <t>Variant</t>
  </si>
  <si>
    <t>Board (core)</t>
  </si>
  <si>
    <t>Face Treatment</t>
  </si>
  <si>
    <t>Edge Treatment</t>
  </si>
  <si>
    <t>Key consumables</t>
  </si>
  <si>
    <t>1. Laminated</t>
  </si>
  <si>
    <t>Prelaminated</t>
  </si>
  <si>
    <t>18mm prelam board</t>
  </si>
  <si>
    <t>None - arrives laminated</t>
  </si>
  <si>
    <t>PVC edge band 2mm</t>
  </si>
  <si>
    <t>Edgeband adhesive only (RMT)</t>
  </si>
  <si>
    <t>Post-laminated</t>
  </si>
  <si>
    <t>16mm raw ply core -&gt; 18mm finished</t>
  </si>
  <si>
    <t>0.8mm laminate BOTH faces</t>
  </si>
  <si>
    <t>Laminate adhesive 25 g/sqft/side + edgeband adhesive</t>
  </si>
  <si>
    <t>2. Membrane</t>
  </si>
  <si>
    <t>Prelam</t>
  </si>
  <si>
    <t>Membrane vacuum-pressed</t>
  </si>
  <si>
    <t>Wrapped by membrane - NO band</t>
  </si>
  <si>
    <t>Membrane adhesive</t>
  </si>
  <si>
    <t>3. PU</t>
  </si>
  <si>
    <t>One side</t>
  </si>
  <si>
    <t>PU paint, 1 face</t>
  </si>
  <si>
    <t>Painted over - NO band</t>
  </si>
  <si>
    <t>Epoxy 15 + primer 40 + topcoat 70 g/sqft</t>
  </si>
  <si>
    <t>Both sides</t>
  </si>
  <si>
    <t>18mm raw board</t>
  </si>
  <si>
    <t>PU paint, 2 faces</t>
  </si>
  <si>
    <t>Epoxy 15 + primer 40 + topcoat 70 g/sqft, x2</t>
  </si>
  <si>
    <t>4. Glass</t>
  </si>
  <si>
    <t>Neon 50 / Neon 22</t>
  </si>
  <si>
    <t>n/a - glass in alu frame</t>
  </si>
  <si>
    <t>Glass panel in aluminium profile</t>
  </si>
  <si>
    <t>Aluminium profile frame</t>
  </si>
  <si>
    <t>Profile cuts + corner connectors + glass hinges</t>
  </si>
  <si>
    <t>Board type is a BRANCH in the BOM - it changes which raw item is consumed, not just a finish label.</t>
  </si>
  <si>
    <t>Per-shutter-leaf BOM quantities</t>
  </si>
  <si>
    <t>Edit the yellow cells. All Qty values are live formulas.</t>
  </si>
  <si>
    <t>Leaf Width (mm)</t>
  </si>
  <si>
    <t>Leaf Height (mm)</t>
  </si>
  <si>
    <t>Number of leaves</t>
  </si>
  <si>
    <t>Membrane oversize per edge (mm)</t>
  </si>
  <si>
    <t>Laminate adhesive (g/sqft/side)</t>
  </si>
  <si>
    <t>PU epoxy (g/sqft/side)</t>
  </si>
  <si>
    <t>PU base primer (g/sqft/side)</t>
  </si>
  <si>
    <t>PU top coat (g/sqft/side)</t>
  </si>
  <si>
    <t>mm2 per sqft</t>
  </si>
  <si>
    <t>Leaf area (sqft)</t>
  </si>
  <si>
    <t>Leaf perimeter (RMT)</t>
  </si>
  <si>
    <t>#</t>
  </si>
  <si>
    <t>Component</t>
  </si>
  <si>
    <t>Material spec</t>
  </si>
  <si>
    <t>Basis</t>
  </si>
  <si>
    <t>Qty</t>
  </si>
  <si>
    <t>UoM</t>
  </si>
  <si>
    <t>Note</t>
  </si>
  <si>
    <t>Prelam board 18mm</t>
  </si>
  <si>
    <t>18mm prelaminated board</t>
  </si>
  <si>
    <t>area x leaves</t>
  </si>
  <si>
    <t>sqft</t>
  </si>
  <si>
    <t>2mm PVC</t>
  </si>
  <si>
    <t>perimeter x leaves</t>
  </si>
  <si>
    <t>RMT</t>
  </si>
  <si>
    <t>Edgeband adhesive</t>
  </si>
  <si>
    <t>Hot-melt / EVA</t>
  </si>
  <si>
    <t>No sqft glue - confirmed</t>
  </si>
  <si>
    <t>Raw board 16mm</t>
  </si>
  <si>
    <t>16mm BWP plywood core</t>
  </si>
  <si>
    <t>Core is 16mm; 18mm is finished</t>
  </si>
  <si>
    <t>Laminate - outer face</t>
  </si>
  <si>
    <t>0.8mm laminate</t>
  </si>
  <si>
    <t>Laminate - inner face</t>
  </si>
  <si>
    <t>Laminate adhesive</t>
  </si>
  <si>
    <t>Fevicol SH / SR998</t>
  </si>
  <si>
    <t>25 g/sqft x 2 sides</t>
  </si>
  <si>
    <t>gm</t>
  </si>
  <si>
    <t>Membrane</t>
  </si>
  <si>
    <t>Prelam gives the inner face</t>
  </si>
  <si>
    <t>Membrane foil</t>
  </si>
  <si>
    <t>PVC membrane foil</t>
  </si>
  <si>
    <t>(W+100) x (H+100)</t>
  </si>
  <si>
    <t>+50mm/edge confirmed</t>
  </si>
  <si>
    <t>Membrane / PUR adhesive</t>
  </si>
  <si>
    <t>RATE STILL NEEDED (g/sqft)</t>
  </si>
  <si>
    <t>PU one side</t>
  </si>
  <si>
    <t>Prelam = unpainted inner face</t>
  </si>
  <si>
    <t>Epoxy coat</t>
  </si>
  <si>
    <t>Epoxy</t>
  </si>
  <si>
    <t>15 g/sqft x 1 side</t>
  </si>
  <si>
    <t>Base primer</t>
  </si>
  <si>
    <t>PU base primer</t>
  </si>
  <si>
    <t>40 g/sqft x 1 side</t>
  </si>
  <si>
    <t>Top coat</t>
  </si>
  <si>
    <t>PU top coat</t>
  </si>
  <si>
    <t>70 g/sqft x 1 side</t>
  </si>
  <si>
    <t>PU both sides</t>
  </si>
  <si>
    <t>Raw board 18mm</t>
  </si>
  <si>
    <t>18mm BWP plywood</t>
  </si>
  <si>
    <t>15 g/sqft x 2 sides</t>
  </si>
  <si>
    <t>40 g/sqft x 2 sides</t>
  </si>
  <si>
    <t>70 g/sqft x 2 sides</t>
  </si>
  <si>
    <t>Glass</t>
  </si>
  <si>
    <t>Glass panel</t>
  </si>
  <si>
    <t>Toughened glass - THICKNESS TBC</t>
  </si>
  <si>
    <t>inset area x leaves</t>
  </si>
  <si>
    <t>Needs Neon inset value</t>
  </si>
  <si>
    <t>Alu profile vertical</t>
  </si>
  <si>
    <t>2 cuts at leaf height</t>
  </si>
  <si>
    <t>mtr</t>
  </si>
  <si>
    <t>Alu profile horizontal</t>
  </si>
  <si>
    <t>2 cuts at leaf width</t>
  </si>
  <si>
    <t>Corner connectors</t>
  </si>
  <si>
    <t>Glass shutter corner bracket</t>
  </si>
  <si>
    <t>4 per leaf</t>
  </si>
  <si>
    <t>nos</t>
  </si>
  <si>
    <t>Carcass board options - the selectable field</t>
  </si>
  <si>
    <t>Each carcass option carries its own matched back-panel material.</t>
  </si>
  <si>
    <t>Option</t>
  </si>
  <si>
    <t>Carcass board</t>
  </si>
  <si>
    <t>Nominal t</t>
  </si>
  <si>
    <t>Extra lines on carcass panels</t>
  </si>
  <si>
    <t>Back panel material</t>
  </si>
  <si>
    <t>Back nominal t</t>
  </si>
  <si>
    <t>Extra lines on back</t>
  </si>
  <si>
    <t>A</t>
  </si>
  <si>
    <t>16mm BWP ply + 0.8mm laminate both faces</t>
  </si>
  <si>
    <t>Laminate x2 (sqft) + adhesive 25 g/sqft/side</t>
  </si>
  <si>
    <t>6mm ply + 0.8mm laminate both faces</t>
  </si>
  <si>
    <t>B</t>
  </si>
  <si>
    <t>18mm prelaminated MDF</t>
  </si>
  <si>
    <t>None - board arrives finished</t>
  </si>
  <si>
    <t>8mm prelaminated MDF</t>
  </si>
  <si>
    <t>None</t>
  </si>
  <si>
    <t>C</t>
  </si>
  <si>
    <t>18mm prelaminated particle board</t>
  </si>
  <si>
    <t>8mm prelaminated particle board</t>
  </si>
  <si>
    <t>Consequences for the builder</t>
  </si>
  <si>
    <t>- Back thickness is 8mm in every option - my earlier 6mm figure was wrong.</t>
  </si>
  <si>
    <t>- The 9mm back groove now reconciles: a 9mm groove houses an 8mm panel with clearance.</t>
  </si>
  <si>
    <t>- Panel formulas are unaffected - t = 18 nominal holds for all three options.</t>
  </si>
  <si>
    <t>- Back = (W - 2t + 9) x (H - 2t + 9) is unchanged; only its thickness moves 6 -&gt; 8.</t>
  </si>
  <si>
    <t>- Option A adds 4 extra BOM lines per carcass (2 laminate + adhesive, on panels and back).</t>
  </si>
  <si>
    <t>- Raw material key becomes carcass|&lt;option&gt;|&lt;finish&gt;|18 instead of carcass|&lt;finish&gt;|15.</t>
  </si>
  <si>
    <t>Remaining questions</t>
  </si>
  <si>
    <t>Topic</t>
  </si>
  <si>
    <t>What I still need</t>
  </si>
  <si>
    <t>Why it matters</t>
  </si>
  <si>
    <t>Neon profile naming</t>
  </si>
  <si>
    <t>Stone builder lists NEON20. You said Neon 50 / Neon 22. Same profile renamed, or three different ones?</t>
  </si>
  <si>
    <t>The design list and profile lookup key off this code</t>
  </si>
  <si>
    <t>Neon inset / frame</t>
  </si>
  <si>
    <t>The mm the glass sits inside the leaf, and the frame width, for Neon 50 and Neon 22</t>
  </si>
  <si>
    <t>Drives glass panel size: pw = w - inset, ph = h - inset</t>
  </si>
  <si>
    <t>Glass thickness</t>
  </si>
  <si>
    <t>5mm as in stone, or different for Neon 50 / 22?</t>
  </si>
  <si>
    <t>Raw glass line and the shutter code's thickness token</t>
  </si>
  <si>
    <t>Membrane adhesive rate</t>
  </si>
  <si>
    <t>g/sqft, like the 25 g/sqft you gave for laminate</t>
  </si>
  <si>
    <t>Currently the only consumable with no rate</t>
  </si>
  <si>
    <t>PU rates per side</t>
  </si>
  <si>
    <t>Confirm 15/40/70 g/sqft are PER SIDE (I have assumed so)</t>
  </si>
  <si>
    <t>Doubles the whole paint quantity if wrong</t>
  </si>
  <si>
    <t>Raw board for PU both sides</t>
  </si>
  <si>
    <t>16mm or 18mm raw core? Post-lam uses 16mm; PU has no laminate to add</t>
  </si>
  <si>
    <t>If 18mm, PU and post-lam draw different raw items</t>
  </si>
  <si>
    <t>Edge band thickness</t>
  </si>
  <si>
    <t>2mm on shutters confirmed. What about exposed carcass edges - 0.8mm or 2mm?</t>
  </si>
  <si>
    <t>Separate raw item and a separate RMT line</t>
  </si>
  <si>
    <t>Shutter field name</t>
  </si>
  <si>
    <t>Should the form field be 'Shutter Type' with these 6 options?</t>
  </si>
  <si>
    <t>Replaces the stone 'Shutter Profile Design' dropdown</t>
  </si>
  <si>
    <t xml:space="preserve"> 15/30/50 g/sqft are PER SIDE</t>
  </si>
  <si>
    <t>18 mm as different raw material</t>
  </si>
  <si>
    <t>Yes</t>
  </si>
  <si>
    <t>Neon 20 is correct, which is the same as stone builder. There is one more profile, Neon 50, in which the profile width is 50 mm.</t>
  </si>
  <si>
    <t>Stone thickness in both the profiles will be 5 mm</t>
  </si>
  <si>
    <t>In carcass and shutters, we do 0.8 mm edge band on all sides of all panels except the back. 
Also note that the cut list should show the panel sizes with the edge band because we cut them in the size of the finished panel. Then, on edge banding, we do the pre-milling to remove 0.8 mm and put the edge band of 0.8 mm. The size which is reduced by pre-milling becomes the same after edge banding.</t>
  </si>
  <si>
    <t xml:space="preserve">rate will be set later </t>
  </si>
  <si>
    <t>Answers</t>
  </si>
  <si>
    <t>Neon 50: inset 8mm and Neon 22 : inset 5mm.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</si>
</sst>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00"/>
  </numFmts>
  <fonts count="11" x14ac:knownFonts="1">
    <font>
      <sz val="11"/>
      <color theme="1"/>
      <name val="Calibri"/>
      <family val="2"/>
      <charset val="1"/>
    </font>
    <font>
      <sz val="10"/>
      <name val="Arial"/>
      <family val="2"/>
    </font>
    <font>
      <b/>
      <sz val="14"/>
      <color rgb="FF1C1A17"/>
      <name val="Arial"/>
      <family val="2"/>
    </font>
    <font>
      <i/>
      <sz val="9"/>
      <color rgb="FFC8521E"/>
      <name val="Arial"/>
      <family val="2"/>
    </font>
    <font>
      <b/>
      <sz val="10"/>
      <color rgb="FFFFFFFF"/>
      <name val="Arial"/>
      <family val="2"/>
    </font>
    <font>
      <b/>
      <sz val="10"/>
      <name val="Arial"/>
      <family val="2"/>
    </font>
    <font>
      <sz val="10"/>
      <name val="Arial"/>
      <family val="2"/>
    </font>
    <font>
      <i/>
      <sz val="9"/>
      <color rgb="FF7A7269"/>
      <name val="Arial"/>
      <family val="2"/>
    </font>
    <font>
      <sz val="10"/>
      <color rgb="FF0000FF"/>
      <name val="Arial"/>
      <family val="2"/>
    </font>
    <font>
      <b/>
      <sz val="11"/>
      <color rgb="FFC8521E"/>
      <name val="Arial"/>
      <family val="2"/>
    </font>
    <font>
      <b/>
      <sz val="13"/>
      <color rgb="FF1C1A17"/>
      <name val="Arial"/>
      <family val="2"/>
    </font>
  </fonts>
  <fills count="11">
    <fill>
      <patternFill patternType="none"/>
    </fill>
    <fill>
      <patternFill patternType="gray125"/>
    </fill>
    <fill>
      <patternFill patternType="solid">
        <fgColor rgb="FF1F5D6B"/>
        <bgColor rgb="FF008080"/>
      </patternFill>
    </fill>
    <fill>
      <patternFill patternType="solid">
        <fgColor rgb="FFEAF1F5"/>
        <bgColor rgb="FFF3EFF5"/>
      </patternFill>
    </fill>
    <fill>
      <patternFill patternType="solid">
        <fgColor rgb="FFFCE4D6"/>
        <bgColor rgb="FFFFF2CC"/>
      </patternFill>
    </fill>
    <fill>
      <patternFill patternType="solid">
        <fgColor rgb="FFF0EEE8"/>
        <bgColor rgb="FFF2F0EB"/>
      </patternFill>
    </fill>
    <fill>
      <patternFill patternType="solid">
        <fgColor rgb="FFF3EFF5"/>
        <bgColor rgb="FFF2F0EB"/>
      </patternFill>
    </fill>
    <fill>
      <patternFill patternType="solid">
        <fgColor rgb="FFE8F0E4"/>
        <bgColor rgb="FFF0EEE8"/>
      </patternFill>
    </fill>
    <fill>
      <patternFill patternType="solid">
        <fgColor rgb="FFFFFF00"/>
        <bgColor rgb="FFFFFF00"/>
      </patternFill>
    </fill>
    <fill>
      <patternFill patternType="solid">
        <fgColor rgb="FFF2F0EB"/>
        <bgColor rgb="FFF0EEE8"/>
      </patternFill>
    </fill>
    <fill>
      <patternFill patternType="solid">
        <fgColor rgb="FFFFF2CC"/>
        <bgColor rgb="FFFCE4D6"/>
      </patternFill>
    </fill>
  </fills>
  <borders count="3">
    <border>
      <left/>
      <right/>
      <top/>
      <bottom/>
      <diagonal/>
    </border>
    <border>
      <left style="thin">
        <color rgb="FFBFBFBF"/>
      </left>
      <right style="thin">
        <color rgb="FFBFBFBF"/>
      </right>
      <top style="thin">
        <color rgb="FFBFBFBF"/>
      </top>
      <bottom style="thin">
        <color rgb="FFBFBFBF"/>
      </bottom>
      <diagonal/>
    </border>
    <border>
      <left style="thin">
        <color rgb="FFBFBFBF"/>
      </left>
      <right style="thin">
        <color rgb="FFBFBFBF"/>
      </right>
      <top/>
      <bottom/>
      <diagonal/>
    </border>
  </borders>
  <cellStyleXfs count="1">
    <xf numFmtId="0" fontId="0" fillId="0" borderId="0"/>
  </cellStyleXfs>
  <cellXfs count="42">
    <xf numFmtId="0" fontId="0" fillId="0" borderId="0" xfId="0"/>
    <xf numFmtId="0" fontId="2" fillId="0" borderId="0" xfId="0" applyFont="1"/>
    <xf numFmtId="0" fontId="3" fillId="0" borderId="0" xfId="0" applyFont="1"/>
    <xf numFmtId="0" fontId="4" fillId="2" borderId="1" xfId="0" applyFont="1" applyFill="1" applyBorder="1" applyAlignment="1">
      <alignment horizontal="center" vertical="center" wrapText="1"/>
    </xf>
    <xf numFmtId="0" fontId="5" fillId="3" borderId="1" xfId="0" applyFont="1" applyFill="1" applyBorder="1" applyAlignment="1">
      <alignment horizontal="left" vertical="center"/>
    </xf>
    <xf numFmtId="0" fontId="6" fillId="3" borderId="1" xfId="0" applyFont="1" applyFill="1" applyBorder="1" applyAlignment="1">
      <alignment horizontal="left" vertical="center"/>
    </xf>
    <xf numFmtId="0" fontId="6" fillId="3" borderId="1" xfId="0" applyFont="1" applyFill="1" applyBorder="1" applyAlignment="1">
      <alignment horizontal="left" vertical="center" wrapText="1"/>
    </xf>
    <xf numFmtId="0" fontId="6" fillId="4" borderId="1" xfId="0" applyFont="1" applyFill="1" applyBorder="1" applyAlignment="1">
      <alignment horizontal="left" vertical="center" wrapText="1"/>
    </xf>
    <xf numFmtId="0" fontId="5" fillId="5" borderId="1" xfId="0" applyFont="1" applyFill="1" applyBorder="1" applyAlignment="1">
      <alignment horizontal="left" vertical="center"/>
    </xf>
    <xf numFmtId="0" fontId="6" fillId="5" borderId="1" xfId="0" applyFont="1" applyFill="1" applyBorder="1" applyAlignment="1">
      <alignment horizontal="left" vertical="center"/>
    </xf>
    <xf numFmtId="0" fontId="6" fillId="5" borderId="1" xfId="0" applyFont="1" applyFill="1" applyBorder="1" applyAlignment="1">
      <alignment horizontal="left" vertical="center" wrapText="1"/>
    </xf>
    <xf numFmtId="0" fontId="5" fillId="6" borderId="1" xfId="0" applyFont="1" applyFill="1" applyBorder="1" applyAlignment="1">
      <alignment horizontal="left" vertical="center"/>
    </xf>
    <xf numFmtId="0" fontId="6" fillId="6" borderId="1" xfId="0" applyFont="1" applyFill="1" applyBorder="1" applyAlignment="1">
      <alignment horizontal="left" vertical="center"/>
    </xf>
    <xf numFmtId="0" fontId="6" fillId="6" borderId="1" xfId="0" applyFont="1" applyFill="1" applyBorder="1" applyAlignment="1">
      <alignment horizontal="left" vertical="center" wrapText="1"/>
    </xf>
    <xf numFmtId="0" fontId="5" fillId="7" borderId="1" xfId="0" applyFont="1" applyFill="1" applyBorder="1" applyAlignment="1">
      <alignment horizontal="left" vertical="center"/>
    </xf>
    <xf numFmtId="0" fontId="6" fillId="7" borderId="1" xfId="0" applyFont="1" applyFill="1" applyBorder="1" applyAlignment="1">
      <alignment horizontal="left" vertical="center"/>
    </xf>
    <xf numFmtId="0" fontId="6" fillId="7" borderId="1" xfId="0" applyFont="1" applyFill="1" applyBorder="1" applyAlignment="1">
      <alignment horizontal="left" vertical="center" wrapText="1"/>
    </xf>
    <xf numFmtId="0" fontId="0" fillId="4" borderId="0" xfId="0" applyFill="1"/>
    <xf numFmtId="0" fontId="7" fillId="0" borderId="0" xfId="0" applyFont="1"/>
    <xf numFmtId="0" fontId="5" fillId="0" borderId="0" xfId="0" applyFont="1"/>
    <xf numFmtId="0" fontId="8" fillId="8" borderId="1" xfId="0" applyFont="1" applyFill="1" applyBorder="1"/>
    <xf numFmtId="0" fontId="8" fillId="9" borderId="1" xfId="0" applyFont="1" applyFill="1" applyBorder="1"/>
    <xf numFmtId="164" fontId="0" fillId="0" borderId="1" xfId="0" applyNumberFormat="1" applyBorder="1"/>
    <xf numFmtId="0" fontId="6" fillId="3" borderId="1" xfId="0" applyFont="1" applyFill="1" applyBorder="1" applyAlignment="1">
      <alignment horizontal="center"/>
    </xf>
    <xf numFmtId="164" fontId="6" fillId="3" borderId="1" xfId="0" applyNumberFormat="1" applyFont="1" applyFill="1" applyBorder="1" applyAlignment="1">
      <alignment horizontal="center"/>
    </xf>
    <xf numFmtId="0" fontId="6" fillId="5" borderId="1" xfId="0" applyFont="1" applyFill="1" applyBorder="1" applyAlignment="1">
      <alignment horizontal="center"/>
    </xf>
    <xf numFmtId="164" fontId="6" fillId="5" borderId="1" xfId="0" applyNumberFormat="1" applyFont="1" applyFill="1" applyBorder="1" applyAlignment="1">
      <alignment horizontal="center"/>
    </xf>
    <xf numFmtId="0" fontId="6" fillId="10" borderId="1" xfId="0" applyFont="1" applyFill="1" applyBorder="1" applyAlignment="1">
      <alignment horizontal="left" vertical="center" wrapText="1"/>
    </xf>
    <xf numFmtId="0" fontId="6" fillId="6" borderId="1" xfId="0" applyFont="1" applyFill="1" applyBorder="1" applyAlignment="1">
      <alignment horizontal="center"/>
    </xf>
    <xf numFmtId="164" fontId="6" fillId="6" borderId="1" xfId="0" applyNumberFormat="1" applyFont="1" applyFill="1" applyBorder="1" applyAlignment="1">
      <alignment horizontal="center"/>
    </xf>
    <xf numFmtId="0" fontId="6" fillId="7" borderId="1" xfId="0" applyFont="1" applyFill="1" applyBorder="1" applyAlignment="1">
      <alignment horizontal="center"/>
    </xf>
    <xf numFmtId="164" fontId="6" fillId="7" borderId="1" xfId="0" applyNumberFormat="1" applyFont="1" applyFill="1" applyBorder="1" applyAlignment="1">
      <alignment horizontal="center"/>
    </xf>
    <xf numFmtId="0" fontId="5" fillId="3" borderId="1" xfId="0" applyFont="1" applyFill="1" applyBorder="1" applyAlignment="1">
      <alignment horizontal="center"/>
    </xf>
    <xf numFmtId="0" fontId="5" fillId="5" borderId="1" xfId="0" applyFont="1" applyFill="1" applyBorder="1" applyAlignment="1">
      <alignment horizontal="center"/>
    </xf>
    <xf numFmtId="0" fontId="9" fillId="0" borderId="0" xfId="0" applyFont="1"/>
    <xf numFmtId="0" fontId="6" fillId="0" borderId="0" xfId="0" applyFont="1"/>
    <xf numFmtId="0" fontId="10" fillId="0" borderId="0" xfId="0" applyFont="1"/>
    <xf numFmtId="0" fontId="6" fillId="10" borderId="1" xfId="0" applyFont="1" applyFill="1" applyBorder="1" applyAlignment="1">
      <alignment horizontal="center" vertical="top"/>
    </xf>
    <xf numFmtId="0" fontId="6" fillId="10" borderId="1" xfId="0" applyFont="1" applyFill="1" applyBorder="1" applyAlignment="1">
      <alignment vertical="top" wrapText="1"/>
    </xf>
    <xf numFmtId="0" fontId="1" fillId="10" borderId="1" xfId="0" applyFont="1" applyFill="1" applyBorder="1" applyAlignment="1">
      <alignment vertical="top" wrapText="1"/>
    </xf>
    <xf numFmtId="0" fontId="0" fillId="0" borderId="0" xfId="0" applyAlignment="1">
      <alignment wrapText="1"/>
    </xf>
    <xf numFmtId="0" fontId="4" fillId="2" borderId="2"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F5D6B"/>
      <rgbColor rgb="FFBFBFBF"/>
      <rgbColor rgb="FF7A7269"/>
      <rgbColor rgb="FF9999FF"/>
      <rgbColor rgb="FF993366"/>
      <rgbColor rgb="FFFFF2CC"/>
      <rgbColor rgb="FFEAF1F5"/>
      <rgbColor rgb="FF660066"/>
      <rgbColor rgb="FFFF8080"/>
      <rgbColor rgb="FF0066CC"/>
      <rgbColor rgb="FFF3EFF5"/>
      <rgbColor rgb="FF000080"/>
      <rgbColor rgb="FFFF00FF"/>
      <rgbColor rgb="FFFFFF00"/>
      <rgbColor rgb="FF00FFFF"/>
      <rgbColor rgb="FF800080"/>
      <rgbColor rgb="FF800000"/>
      <rgbColor rgb="FF008080"/>
      <rgbColor rgb="FF0000FF"/>
      <rgbColor rgb="FF00CCFF"/>
      <rgbColor rgb="FFF2F0EB"/>
      <rgbColor rgb="FFE8F0E4"/>
      <rgbColor rgb="FFF0EEE8"/>
      <rgbColor rgb="FF99CCFF"/>
      <rgbColor rgb="FFFF99CC"/>
      <rgbColor rgb="FFCC99FF"/>
      <rgbColor rgb="FFFCE4D6"/>
      <rgbColor rgb="FF3366FF"/>
      <rgbColor rgb="FF33CCCC"/>
      <rgbColor rgb="FF99CC00"/>
      <rgbColor rgb="FFFFCC00"/>
      <rgbColor rgb="FFFF9900"/>
      <rgbColor rgb="FFC8521E"/>
      <rgbColor rgb="FF666699"/>
      <rgbColor rgb="FF969696"/>
      <rgbColor rgb="FF003366"/>
      <rgbColor rgb="FF339966"/>
      <rgbColor rgb="FF003300"/>
      <rgbColor rgb="FF1C1A17"/>
      <rgbColor rgb="FF993300"/>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12"/>
  <sheetViews>
    <sheetView zoomScaleNormal="100" workbookViewId="0"/>
  </sheetViews>
  <sheetFormatPr baseColWidth="10" defaultColWidth="8.6640625" defaultRowHeight="15" x14ac:dyDescent="0.2"/>
  <cols>
    <col min="1" max="1" width="16" customWidth="1"/>
    <col min="2" max="2" width="17" customWidth="1"/>
    <col min="3" max="3" width="24" customWidth="1"/>
    <col min="4" max="4" width="30" customWidth="1"/>
    <col min="5" max="5" width="26" customWidth="1"/>
    <col min="6" max="6" width="34" customWidth="1"/>
  </cols>
  <sheetData>
    <row r="1" spans="1:6" ht="18" x14ac:dyDescent="0.2">
      <c r="A1" s="1" t="s">
        <v>0</v>
      </c>
    </row>
    <row r="2" spans="1:6" x14ac:dyDescent="0.2">
      <c r="A2" s="2" t="s">
        <v>1</v>
      </c>
    </row>
    <row r="4" spans="1:6" ht="30" customHeight="1" x14ac:dyDescent="0.2">
      <c r="A4" s="3" t="s">
        <v>2</v>
      </c>
      <c r="B4" s="3" t="s">
        <v>3</v>
      </c>
      <c r="C4" s="3" t="s">
        <v>4</v>
      </c>
      <c r="D4" s="3" t="s">
        <v>5</v>
      </c>
      <c r="E4" s="3" t="s">
        <v>6</v>
      </c>
      <c r="F4" s="3" t="s">
        <v>7</v>
      </c>
    </row>
    <row r="5" spans="1:6" ht="30" customHeight="1" x14ac:dyDescent="0.2">
      <c r="A5" s="4" t="s">
        <v>8</v>
      </c>
      <c r="B5" s="5" t="s">
        <v>9</v>
      </c>
      <c r="C5" s="6" t="s">
        <v>10</v>
      </c>
      <c r="D5" s="6" t="s">
        <v>11</v>
      </c>
      <c r="E5" s="6" t="s">
        <v>12</v>
      </c>
      <c r="F5" s="6" t="s">
        <v>13</v>
      </c>
    </row>
    <row r="6" spans="1:6" ht="30" customHeight="1" x14ac:dyDescent="0.2">
      <c r="A6" s="4" t="s">
        <v>8</v>
      </c>
      <c r="B6" s="5" t="s">
        <v>14</v>
      </c>
      <c r="C6" s="7" t="s">
        <v>15</v>
      </c>
      <c r="D6" s="6" t="s">
        <v>16</v>
      </c>
      <c r="E6" s="6" t="s">
        <v>12</v>
      </c>
      <c r="F6" s="6" t="s">
        <v>17</v>
      </c>
    </row>
    <row r="7" spans="1:6" ht="30" customHeight="1" x14ac:dyDescent="0.2">
      <c r="A7" s="8" t="s">
        <v>18</v>
      </c>
      <c r="B7" s="9" t="s">
        <v>19</v>
      </c>
      <c r="C7" s="10" t="s">
        <v>10</v>
      </c>
      <c r="D7" s="10" t="s">
        <v>20</v>
      </c>
      <c r="E7" s="10" t="s">
        <v>21</v>
      </c>
      <c r="F7" s="10" t="s">
        <v>22</v>
      </c>
    </row>
    <row r="8" spans="1:6" ht="30" customHeight="1" x14ac:dyDescent="0.2">
      <c r="A8" s="11" t="s">
        <v>23</v>
      </c>
      <c r="B8" s="12" t="s">
        <v>24</v>
      </c>
      <c r="C8" s="13" t="s">
        <v>10</v>
      </c>
      <c r="D8" s="13" t="s">
        <v>25</v>
      </c>
      <c r="E8" s="13" t="s">
        <v>26</v>
      </c>
      <c r="F8" s="13" t="s">
        <v>27</v>
      </c>
    </row>
    <row r="9" spans="1:6" ht="30" customHeight="1" x14ac:dyDescent="0.2">
      <c r="A9" s="11" t="s">
        <v>23</v>
      </c>
      <c r="B9" s="12" t="s">
        <v>28</v>
      </c>
      <c r="C9" s="13" t="s">
        <v>29</v>
      </c>
      <c r="D9" s="13" t="s">
        <v>30</v>
      </c>
      <c r="E9" s="13" t="s">
        <v>26</v>
      </c>
      <c r="F9" s="13" t="s">
        <v>31</v>
      </c>
    </row>
    <row r="10" spans="1:6" ht="30" customHeight="1" x14ac:dyDescent="0.2">
      <c r="A10" s="14" t="s">
        <v>32</v>
      </c>
      <c r="B10" s="15" t="s">
        <v>33</v>
      </c>
      <c r="C10" s="7" t="s">
        <v>34</v>
      </c>
      <c r="D10" s="16" t="s">
        <v>35</v>
      </c>
      <c r="E10" s="16" t="s">
        <v>36</v>
      </c>
      <c r="F10" s="16" t="s">
        <v>37</v>
      </c>
    </row>
    <row r="11" spans="1:6" x14ac:dyDescent="0.2">
      <c r="C11" s="17"/>
    </row>
    <row r="12" spans="1:6" x14ac:dyDescent="0.2">
      <c r="A12" s="2" t="s">
        <v>38</v>
      </c>
    </row>
  </sheetData>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H41"/>
  <sheetViews>
    <sheetView zoomScaleNormal="100" workbookViewId="0"/>
  </sheetViews>
  <sheetFormatPr baseColWidth="10" defaultColWidth="8.6640625" defaultRowHeight="15" x14ac:dyDescent="0.2"/>
  <cols>
    <col min="1" max="1" width="17" customWidth="1"/>
    <col min="2" max="2" width="5" customWidth="1"/>
    <col min="3" max="3" width="28" customWidth="1"/>
    <col min="4" max="4" width="32" customWidth="1"/>
    <col min="5" max="5" width="26" customWidth="1"/>
    <col min="6" max="6" width="11" customWidth="1"/>
    <col min="7" max="7" width="8" customWidth="1"/>
    <col min="8" max="8" width="32" customWidth="1"/>
  </cols>
  <sheetData>
    <row r="1" spans="1:2" ht="18" x14ac:dyDescent="0.2">
      <c r="A1" s="1" t="s">
        <v>39</v>
      </c>
    </row>
    <row r="2" spans="1:2" x14ac:dyDescent="0.2">
      <c r="A2" s="18" t="s">
        <v>40</v>
      </c>
    </row>
    <row r="4" spans="1:2" x14ac:dyDescent="0.2">
      <c r="A4" s="19" t="s">
        <v>41</v>
      </c>
      <c r="B4" s="20">
        <v>600</v>
      </c>
    </row>
    <row r="5" spans="1:2" x14ac:dyDescent="0.2">
      <c r="A5" s="19" t="s">
        <v>42</v>
      </c>
      <c r="B5" s="20">
        <v>720</v>
      </c>
    </row>
    <row r="6" spans="1:2" x14ac:dyDescent="0.2">
      <c r="A6" s="19" t="s">
        <v>43</v>
      </c>
      <c r="B6" s="20">
        <v>1</v>
      </c>
    </row>
    <row r="7" spans="1:2" x14ac:dyDescent="0.2">
      <c r="A7" s="19" t="s">
        <v>44</v>
      </c>
      <c r="B7" s="20">
        <v>50</v>
      </c>
    </row>
    <row r="8" spans="1:2" x14ac:dyDescent="0.2">
      <c r="A8" s="19" t="s">
        <v>45</v>
      </c>
      <c r="B8" s="20">
        <v>25</v>
      </c>
    </row>
    <row r="9" spans="1:2" x14ac:dyDescent="0.2">
      <c r="A9" s="19" t="s">
        <v>46</v>
      </c>
      <c r="B9" s="20">
        <v>15</v>
      </c>
    </row>
    <row r="10" spans="1:2" x14ac:dyDescent="0.2">
      <c r="A10" s="19" t="s">
        <v>47</v>
      </c>
      <c r="B10" s="20">
        <v>40</v>
      </c>
    </row>
    <row r="11" spans="1:2" x14ac:dyDescent="0.2">
      <c r="A11" s="19" t="s">
        <v>48</v>
      </c>
      <c r="B11" s="20">
        <v>70</v>
      </c>
    </row>
    <row r="12" spans="1:2" x14ac:dyDescent="0.2">
      <c r="A12" s="19" t="s">
        <v>49</v>
      </c>
      <c r="B12" s="21">
        <v>92903.039999999994</v>
      </c>
    </row>
    <row r="14" spans="1:2" x14ac:dyDescent="0.2">
      <c r="A14" s="19" t="s">
        <v>50</v>
      </c>
      <c r="B14" s="22">
        <f>$B$4*$B$5/$B$12</f>
        <v>4.6500093000186</v>
      </c>
    </row>
    <row r="15" spans="1:2" x14ac:dyDescent="0.2">
      <c r="A15" s="19" t="s">
        <v>51</v>
      </c>
      <c r="B15" s="22">
        <f>2*($B$4+$B$5)/1000</f>
        <v>2.64</v>
      </c>
    </row>
    <row r="17" spans="1:8" ht="30" customHeight="1" x14ac:dyDescent="0.2">
      <c r="A17" s="3" t="s">
        <v>3</v>
      </c>
      <c r="B17" s="3" t="s">
        <v>52</v>
      </c>
      <c r="C17" s="3" t="s">
        <v>53</v>
      </c>
      <c r="D17" s="3" t="s">
        <v>54</v>
      </c>
      <c r="E17" s="3" t="s">
        <v>55</v>
      </c>
      <c r="F17" s="3" t="s">
        <v>56</v>
      </c>
      <c r="G17" s="3" t="s">
        <v>57</v>
      </c>
      <c r="H17" s="3" t="s">
        <v>58</v>
      </c>
    </row>
    <row r="18" spans="1:8" x14ac:dyDescent="0.2">
      <c r="A18" s="4" t="s">
        <v>9</v>
      </c>
      <c r="B18" s="23">
        <v>1</v>
      </c>
      <c r="C18" s="5" t="s">
        <v>59</v>
      </c>
      <c r="D18" s="5" t="s">
        <v>60</v>
      </c>
      <c r="E18" s="5" t="s">
        <v>61</v>
      </c>
      <c r="F18" s="24">
        <f>$B$14*$B$6</f>
        <v>4.6500093000186</v>
      </c>
      <c r="G18" s="23" t="s">
        <v>62</v>
      </c>
      <c r="H18" s="6"/>
    </row>
    <row r="19" spans="1:8" x14ac:dyDescent="0.2">
      <c r="A19" s="4"/>
      <c r="B19" s="23">
        <v>2</v>
      </c>
      <c r="C19" s="5" t="s">
        <v>12</v>
      </c>
      <c r="D19" s="5" t="s">
        <v>63</v>
      </c>
      <c r="E19" s="5" t="s">
        <v>64</v>
      </c>
      <c r="F19" s="24">
        <f>$B$15*$B$6</f>
        <v>2.64</v>
      </c>
      <c r="G19" s="23" t="s">
        <v>65</v>
      </c>
      <c r="H19" s="6"/>
    </row>
    <row r="20" spans="1:8" x14ac:dyDescent="0.2">
      <c r="A20" s="4"/>
      <c r="B20" s="23">
        <v>3</v>
      </c>
      <c r="C20" s="5" t="s">
        <v>66</v>
      </c>
      <c r="D20" s="5" t="s">
        <v>67</v>
      </c>
      <c r="E20" s="5" t="s">
        <v>64</v>
      </c>
      <c r="F20" s="24">
        <f>$B$15*$B$6</f>
        <v>2.64</v>
      </c>
      <c r="G20" s="23" t="s">
        <v>65</v>
      </c>
      <c r="H20" s="6" t="s">
        <v>68</v>
      </c>
    </row>
    <row r="21" spans="1:8" x14ac:dyDescent="0.2">
      <c r="A21" s="4" t="s">
        <v>14</v>
      </c>
      <c r="B21" s="23">
        <v>1</v>
      </c>
      <c r="C21" s="5" t="s">
        <v>69</v>
      </c>
      <c r="D21" s="5" t="s">
        <v>70</v>
      </c>
      <c r="E21" s="5" t="s">
        <v>61</v>
      </c>
      <c r="F21" s="24">
        <f>$B$14*$B$6</f>
        <v>4.6500093000186</v>
      </c>
      <c r="G21" s="23" t="s">
        <v>62</v>
      </c>
      <c r="H21" s="6" t="s">
        <v>71</v>
      </c>
    </row>
    <row r="22" spans="1:8" x14ac:dyDescent="0.2">
      <c r="A22" s="4"/>
      <c r="B22" s="23">
        <v>2</v>
      </c>
      <c r="C22" s="5" t="s">
        <v>72</v>
      </c>
      <c r="D22" s="5" t="s">
        <v>73</v>
      </c>
      <c r="E22" s="5" t="s">
        <v>61</v>
      </c>
      <c r="F22" s="24">
        <f>$B$14*$B$6</f>
        <v>4.6500093000186</v>
      </c>
      <c r="G22" s="23" t="s">
        <v>62</v>
      </c>
      <c r="H22" s="6"/>
    </row>
    <row r="23" spans="1:8" x14ac:dyDescent="0.2">
      <c r="A23" s="4"/>
      <c r="B23" s="23">
        <v>3</v>
      </c>
      <c r="C23" s="5" t="s">
        <v>74</v>
      </c>
      <c r="D23" s="5" t="s">
        <v>73</v>
      </c>
      <c r="E23" s="5" t="s">
        <v>61</v>
      </c>
      <c r="F23" s="24">
        <f>$B$14*$B$6</f>
        <v>4.6500093000186</v>
      </c>
      <c r="G23" s="23" t="s">
        <v>62</v>
      </c>
      <c r="H23" s="6"/>
    </row>
    <row r="24" spans="1:8" x14ac:dyDescent="0.2">
      <c r="A24" s="4"/>
      <c r="B24" s="23">
        <v>4</v>
      </c>
      <c r="C24" s="5" t="s">
        <v>75</v>
      </c>
      <c r="D24" s="5" t="s">
        <v>76</v>
      </c>
      <c r="E24" s="5" t="s">
        <v>77</v>
      </c>
      <c r="F24" s="24">
        <f>$B$14*$B$8*2*$B$6</f>
        <v>232.50046500093001</v>
      </c>
      <c r="G24" s="23" t="s">
        <v>78</v>
      </c>
      <c r="H24" s="6"/>
    </row>
    <row r="25" spans="1:8" x14ac:dyDescent="0.2">
      <c r="A25" s="4"/>
      <c r="B25" s="23">
        <v>5</v>
      </c>
      <c r="C25" s="5" t="s">
        <v>12</v>
      </c>
      <c r="D25" s="5" t="s">
        <v>63</v>
      </c>
      <c r="E25" s="5" t="s">
        <v>64</v>
      </c>
      <c r="F25" s="24">
        <f>$B$15*$B$6</f>
        <v>2.64</v>
      </c>
      <c r="G25" s="23" t="s">
        <v>65</v>
      </c>
      <c r="H25" s="6"/>
    </row>
    <row r="26" spans="1:8" x14ac:dyDescent="0.2">
      <c r="A26" s="4"/>
      <c r="B26" s="23">
        <v>6</v>
      </c>
      <c r="C26" s="5" t="s">
        <v>66</v>
      </c>
      <c r="D26" s="5" t="s">
        <v>67</v>
      </c>
      <c r="E26" s="5" t="s">
        <v>64</v>
      </c>
      <c r="F26" s="24">
        <f>$B$15*$B$6</f>
        <v>2.64</v>
      </c>
      <c r="G26" s="23" t="s">
        <v>65</v>
      </c>
      <c r="H26" s="6"/>
    </row>
    <row r="27" spans="1:8" x14ac:dyDescent="0.2">
      <c r="A27" s="8" t="s">
        <v>79</v>
      </c>
      <c r="B27" s="25">
        <v>1</v>
      </c>
      <c r="C27" s="9" t="s">
        <v>59</v>
      </c>
      <c r="D27" s="9" t="s">
        <v>60</v>
      </c>
      <c r="E27" s="9" t="s">
        <v>61</v>
      </c>
      <c r="F27" s="26">
        <f>$B$14*$B$6</f>
        <v>4.6500093000186</v>
      </c>
      <c r="G27" s="25" t="s">
        <v>62</v>
      </c>
      <c r="H27" s="10" t="s">
        <v>80</v>
      </c>
    </row>
    <row r="28" spans="1:8" x14ac:dyDescent="0.2">
      <c r="A28" s="8"/>
      <c r="B28" s="25">
        <v>2</v>
      </c>
      <c r="C28" s="9" t="s">
        <v>81</v>
      </c>
      <c r="D28" s="9" t="s">
        <v>82</v>
      </c>
      <c r="E28" s="9" t="s">
        <v>83</v>
      </c>
      <c r="F28" s="26">
        <f>($B$4+2*$B$7)*($B$5+2*$B$7)/$B$12*$B$6</f>
        <v>6.1784845791913812</v>
      </c>
      <c r="G28" s="25" t="s">
        <v>62</v>
      </c>
      <c r="H28" s="10" t="s">
        <v>84</v>
      </c>
    </row>
    <row r="29" spans="1:8" x14ac:dyDescent="0.2">
      <c r="A29" s="8"/>
      <c r="B29" s="25">
        <v>3</v>
      </c>
      <c r="C29" s="9" t="s">
        <v>22</v>
      </c>
      <c r="D29" s="9" t="s">
        <v>85</v>
      </c>
      <c r="E29" s="9" t="s">
        <v>61</v>
      </c>
      <c r="F29" s="26">
        <f>$B$14*$B$6</f>
        <v>4.6500093000186</v>
      </c>
      <c r="G29" s="25" t="s">
        <v>62</v>
      </c>
      <c r="H29" s="27" t="s">
        <v>86</v>
      </c>
    </row>
    <row r="30" spans="1:8" x14ac:dyDescent="0.2">
      <c r="A30" s="11" t="s">
        <v>87</v>
      </c>
      <c r="B30" s="28">
        <v>1</v>
      </c>
      <c r="C30" s="12" t="s">
        <v>59</v>
      </c>
      <c r="D30" s="12" t="s">
        <v>60</v>
      </c>
      <c r="E30" s="12" t="s">
        <v>61</v>
      </c>
      <c r="F30" s="29">
        <f>$B$14*$B$6</f>
        <v>4.6500093000186</v>
      </c>
      <c r="G30" s="28" t="s">
        <v>62</v>
      </c>
      <c r="H30" s="13" t="s">
        <v>88</v>
      </c>
    </row>
    <row r="31" spans="1:8" x14ac:dyDescent="0.2">
      <c r="A31" s="11"/>
      <c r="B31" s="28">
        <v>2</v>
      </c>
      <c r="C31" s="12" t="s">
        <v>89</v>
      </c>
      <c r="D31" s="12" t="s">
        <v>90</v>
      </c>
      <c r="E31" s="12" t="s">
        <v>91</v>
      </c>
      <c r="F31" s="29">
        <f>$B$14*$B$9*$B$6</f>
        <v>69.750139500279005</v>
      </c>
      <c r="G31" s="28" t="s">
        <v>78</v>
      </c>
      <c r="H31" s="13"/>
    </row>
    <row r="32" spans="1:8" x14ac:dyDescent="0.2">
      <c r="A32" s="11"/>
      <c r="B32" s="28">
        <v>3</v>
      </c>
      <c r="C32" s="12" t="s">
        <v>92</v>
      </c>
      <c r="D32" s="12" t="s">
        <v>93</v>
      </c>
      <c r="E32" s="12" t="s">
        <v>94</v>
      </c>
      <c r="F32" s="29">
        <f>$B$14*$B$10*$B$6</f>
        <v>186.00037200074399</v>
      </c>
      <c r="G32" s="28" t="s">
        <v>78</v>
      </c>
      <c r="H32" s="13"/>
    </row>
    <row r="33" spans="1:8" x14ac:dyDescent="0.2">
      <c r="A33" s="11"/>
      <c r="B33" s="28">
        <v>4</v>
      </c>
      <c r="C33" s="12" t="s">
        <v>95</v>
      </c>
      <c r="D33" s="12" t="s">
        <v>96</v>
      </c>
      <c r="E33" s="12" t="s">
        <v>97</v>
      </c>
      <c r="F33" s="29">
        <f>$B$14*$B$11*$B$6</f>
        <v>325.500651001302</v>
      </c>
      <c r="G33" s="28" t="s">
        <v>78</v>
      </c>
      <c r="H33" s="13"/>
    </row>
    <row r="34" spans="1:8" x14ac:dyDescent="0.2">
      <c r="A34" s="11" t="s">
        <v>98</v>
      </c>
      <c r="B34" s="28">
        <v>1</v>
      </c>
      <c r="C34" s="12" t="s">
        <v>99</v>
      </c>
      <c r="D34" s="12" t="s">
        <v>100</v>
      </c>
      <c r="E34" s="12" t="s">
        <v>61</v>
      </c>
      <c r="F34" s="29">
        <f>$B$14*$B$6</f>
        <v>4.6500093000186</v>
      </c>
      <c r="G34" s="28" t="s">
        <v>62</v>
      </c>
      <c r="H34" s="13"/>
    </row>
    <row r="35" spans="1:8" x14ac:dyDescent="0.2">
      <c r="A35" s="11"/>
      <c r="B35" s="28">
        <v>2</v>
      </c>
      <c r="C35" s="12" t="s">
        <v>89</v>
      </c>
      <c r="D35" s="12" t="s">
        <v>90</v>
      </c>
      <c r="E35" s="12" t="s">
        <v>101</v>
      </c>
      <c r="F35" s="29">
        <f>$B$14*$B$9*2*$B$6</f>
        <v>139.50027900055801</v>
      </c>
      <c r="G35" s="28" t="s">
        <v>78</v>
      </c>
      <c r="H35" s="13"/>
    </row>
    <row r="36" spans="1:8" x14ac:dyDescent="0.2">
      <c r="A36" s="11"/>
      <c r="B36" s="28">
        <v>3</v>
      </c>
      <c r="C36" s="12" t="s">
        <v>92</v>
      </c>
      <c r="D36" s="12" t="s">
        <v>93</v>
      </c>
      <c r="E36" s="12" t="s">
        <v>102</v>
      </c>
      <c r="F36" s="29">
        <f>$B$14*$B$10*2*$B$6</f>
        <v>372.00074400148799</v>
      </c>
      <c r="G36" s="28" t="s">
        <v>78</v>
      </c>
      <c r="H36" s="13"/>
    </row>
    <row r="37" spans="1:8" x14ac:dyDescent="0.2">
      <c r="A37" s="11"/>
      <c r="B37" s="28">
        <v>4</v>
      </c>
      <c r="C37" s="12" t="s">
        <v>95</v>
      </c>
      <c r="D37" s="12" t="s">
        <v>96</v>
      </c>
      <c r="E37" s="12" t="s">
        <v>103</v>
      </c>
      <c r="F37" s="29">
        <f>$B$14*$B$11*2*$B$6</f>
        <v>651.00130200260401</v>
      </c>
      <c r="G37" s="28" t="s">
        <v>78</v>
      </c>
      <c r="H37" s="13"/>
    </row>
    <row r="38" spans="1:8" x14ac:dyDescent="0.2">
      <c r="A38" s="14" t="s">
        <v>104</v>
      </c>
      <c r="B38" s="30">
        <v>1</v>
      </c>
      <c r="C38" s="15" t="s">
        <v>105</v>
      </c>
      <c r="D38" s="15" t="s">
        <v>106</v>
      </c>
      <c r="E38" s="15" t="s">
        <v>107</v>
      </c>
      <c r="F38" s="31">
        <f>$B$14*$B$6</f>
        <v>4.6500093000186</v>
      </c>
      <c r="G38" s="30" t="s">
        <v>62</v>
      </c>
      <c r="H38" s="27" t="s">
        <v>108</v>
      </c>
    </row>
    <row r="39" spans="1:8" x14ac:dyDescent="0.2">
      <c r="A39" s="14"/>
      <c r="B39" s="30">
        <v>2</v>
      </c>
      <c r="C39" s="15" t="s">
        <v>109</v>
      </c>
      <c r="D39" s="15" t="s">
        <v>33</v>
      </c>
      <c r="E39" s="15" t="s">
        <v>110</v>
      </c>
      <c r="F39" s="31">
        <f>$B$5/1000*2*$B$6</f>
        <v>1.44</v>
      </c>
      <c r="G39" s="30" t="s">
        <v>111</v>
      </c>
      <c r="H39" s="16"/>
    </row>
    <row r="40" spans="1:8" x14ac:dyDescent="0.2">
      <c r="A40" s="14"/>
      <c r="B40" s="30">
        <v>3</v>
      </c>
      <c r="C40" s="15" t="s">
        <v>112</v>
      </c>
      <c r="D40" s="15" t="s">
        <v>33</v>
      </c>
      <c r="E40" s="15" t="s">
        <v>113</v>
      </c>
      <c r="F40" s="31">
        <f>$B$4/1000*2*$B$6</f>
        <v>1.2</v>
      </c>
      <c r="G40" s="30" t="s">
        <v>111</v>
      </c>
      <c r="H40" s="16"/>
    </row>
    <row r="41" spans="1:8" x14ac:dyDescent="0.2">
      <c r="A41" s="14"/>
      <c r="B41" s="30">
        <v>4</v>
      </c>
      <c r="C41" s="15" t="s">
        <v>114</v>
      </c>
      <c r="D41" s="15" t="s">
        <v>115</v>
      </c>
      <c r="E41" s="15" t="s">
        <v>116</v>
      </c>
      <c r="F41" s="31">
        <f>4*$B$6</f>
        <v>4</v>
      </c>
      <c r="G41" s="30" t="s">
        <v>117</v>
      </c>
      <c r="H41" s="16"/>
    </row>
  </sheetData>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G15"/>
  <sheetViews>
    <sheetView zoomScaleNormal="100" workbookViewId="0"/>
  </sheetViews>
  <sheetFormatPr baseColWidth="10" defaultColWidth="8.6640625" defaultRowHeight="15" x14ac:dyDescent="0.2"/>
  <cols>
    <col min="1" max="1" width="10" customWidth="1"/>
    <col min="2" max="2" width="34" customWidth="1"/>
    <col min="3" max="3" width="11" customWidth="1"/>
    <col min="4" max="4" width="40" customWidth="1"/>
    <col min="5" max="5" width="34" customWidth="1"/>
    <col min="6" max="6" width="12" customWidth="1"/>
    <col min="7" max="7" width="34" customWidth="1"/>
  </cols>
  <sheetData>
    <row r="1" spans="1:7" ht="18" x14ac:dyDescent="0.2">
      <c r="A1" s="1" t="s">
        <v>118</v>
      </c>
    </row>
    <row r="2" spans="1:7" x14ac:dyDescent="0.2">
      <c r="A2" s="18" t="s">
        <v>119</v>
      </c>
    </row>
    <row r="4" spans="1:7" ht="30" customHeight="1" x14ac:dyDescent="0.2">
      <c r="A4" s="3" t="s">
        <v>120</v>
      </c>
      <c r="B4" s="3" t="s">
        <v>121</v>
      </c>
      <c r="C4" s="3" t="s">
        <v>122</v>
      </c>
      <c r="D4" s="3" t="s">
        <v>123</v>
      </c>
      <c r="E4" s="3" t="s">
        <v>124</v>
      </c>
      <c r="F4" s="3" t="s">
        <v>125</v>
      </c>
      <c r="G4" s="3" t="s">
        <v>126</v>
      </c>
    </row>
    <row r="5" spans="1:7" ht="31.5" customHeight="1" x14ac:dyDescent="0.2">
      <c r="A5" s="32" t="s">
        <v>127</v>
      </c>
      <c r="B5" s="6" t="s">
        <v>128</v>
      </c>
      <c r="C5" s="23">
        <v>18</v>
      </c>
      <c r="D5" s="6" t="s">
        <v>129</v>
      </c>
      <c r="E5" s="6" t="s">
        <v>130</v>
      </c>
      <c r="F5" s="23">
        <v>8</v>
      </c>
      <c r="G5" s="6" t="s">
        <v>129</v>
      </c>
    </row>
    <row r="6" spans="1:7" ht="31.5" customHeight="1" x14ac:dyDescent="0.2">
      <c r="A6" s="33" t="s">
        <v>131</v>
      </c>
      <c r="B6" s="10" t="s">
        <v>132</v>
      </c>
      <c r="C6" s="25">
        <v>18</v>
      </c>
      <c r="D6" s="10" t="s">
        <v>133</v>
      </c>
      <c r="E6" s="10" t="s">
        <v>134</v>
      </c>
      <c r="F6" s="25">
        <v>8</v>
      </c>
      <c r="G6" s="10" t="s">
        <v>135</v>
      </c>
    </row>
    <row r="7" spans="1:7" ht="31.5" customHeight="1" x14ac:dyDescent="0.2">
      <c r="A7" s="33" t="s">
        <v>136</v>
      </c>
      <c r="B7" s="10" t="s">
        <v>137</v>
      </c>
      <c r="C7" s="25">
        <v>18</v>
      </c>
      <c r="D7" s="10" t="s">
        <v>133</v>
      </c>
      <c r="E7" s="10" t="s">
        <v>138</v>
      </c>
      <c r="F7" s="25">
        <v>8</v>
      </c>
      <c r="G7" s="10" t="s">
        <v>135</v>
      </c>
    </row>
    <row r="9" spans="1:7" x14ac:dyDescent="0.2">
      <c r="A9" s="34" t="s">
        <v>139</v>
      </c>
    </row>
    <row r="10" spans="1:7" x14ac:dyDescent="0.2">
      <c r="A10" s="35" t="s">
        <v>140</v>
      </c>
    </row>
    <row r="11" spans="1:7" x14ac:dyDescent="0.2">
      <c r="A11" s="35" t="s">
        <v>141</v>
      </c>
    </row>
    <row r="12" spans="1:7" x14ac:dyDescent="0.2">
      <c r="A12" s="35" t="s">
        <v>142</v>
      </c>
    </row>
    <row r="13" spans="1:7" x14ac:dyDescent="0.2">
      <c r="A13" s="35" t="s">
        <v>143</v>
      </c>
    </row>
    <row r="14" spans="1:7" x14ac:dyDescent="0.2">
      <c r="A14" s="35" t="s">
        <v>144</v>
      </c>
    </row>
    <row r="15" spans="1:7" x14ac:dyDescent="0.2">
      <c r="A15" s="35" t="s">
        <v>145</v>
      </c>
    </row>
  </sheetData>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1"/>
  <sheetViews>
    <sheetView tabSelected="1" topLeftCell="D1" zoomScale="190" zoomScaleNormal="100" workbookViewId="0">
      <selection activeCell="E10" sqref="E10"/>
    </sheetView>
  </sheetViews>
  <sheetFormatPr baseColWidth="10" defaultColWidth="8.6640625" defaultRowHeight="15" x14ac:dyDescent="0.2"/>
  <cols>
    <col min="1" max="1" width="5" customWidth="1"/>
    <col min="2" max="2" width="22" customWidth="1"/>
    <col min="3" max="4" width="46" customWidth="1"/>
    <col min="5" max="5" width="98.1640625" bestFit="1" customWidth="1"/>
  </cols>
  <sheetData>
    <row r="1" spans="1:5" ht="17" x14ac:dyDescent="0.2">
      <c r="A1" s="36" t="s">
        <v>146</v>
      </c>
    </row>
    <row r="3" spans="1:5" ht="30" customHeight="1" x14ac:dyDescent="0.2">
      <c r="A3" s="3" t="s">
        <v>52</v>
      </c>
      <c r="B3" s="3" t="s">
        <v>147</v>
      </c>
      <c r="C3" s="3" t="s">
        <v>148</v>
      </c>
      <c r="D3" s="3" t="s">
        <v>149</v>
      </c>
      <c r="E3" s="41" t="s">
        <v>181</v>
      </c>
    </row>
    <row r="4" spans="1:5" ht="33.75" customHeight="1" x14ac:dyDescent="0.2">
      <c r="A4" s="37">
        <v>1</v>
      </c>
      <c r="B4" s="38" t="s">
        <v>150</v>
      </c>
      <c r="C4" s="38" t="s">
        <v>151</v>
      </c>
      <c r="D4" s="38" t="s">
        <v>152</v>
      </c>
      <c r="E4" t="s">
        <v>177</v>
      </c>
    </row>
    <row r="5" spans="1:5" ht="33.75" customHeight="1" x14ac:dyDescent="0.2">
      <c r="A5" s="37">
        <v>2</v>
      </c>
      <c r="B5" s="38" t="s">
        <v>153</v>
      </c>
      <c r="C5" s="38" t="s">
        <v>154</v>
      </c>
      <c r="D5" s="38" t="s">
        <v>155</v>
      </c>
      <c r="E5" t="s">
        <v>182</v>
      </c>
    </row>
    <row r="6" spans="1:5" ht="33.75" customHeight="1" x14ac:dyDescent="0.2">
      <c r="A6" s="37">
        <v>3</v>
      </c>
      <c r="B6" s="38" t="s">
        <v>156</v>
      </c>
      <c r="C6" s="38" t="s">
        <v>157</v>
      </c>
      <c r="D6" s="38" t="s">
        <v>158</v>
      </c>
      <c r="E6" t="s">
        <v>178</v>
      </c>
    </row>
    <row r="7" spans="1:5" ht="33.75" customHeight="1" x14ac:dyDescent="0.2">
      <c r="A7" s="37">
        <v>4</v>
      </c>
      <c r="B7" s="38" t="s">
        <v>159</v>
      </c>
      <c r="C7" s="38" t="s">
        <v>160</v>
      </c>
      <c r="D7" s="38" t="s">
        <v>161</v>
      </c>
      <c r="E7" t="s">
        <v>180</v>
      </c>
    </row>
    <row r="8" spans="1:5" ht="33.75" customHeight="1" x14ac:dyDescent="0.2">
      <c r="A8" s="37">
        <v>5</v>
      </c>
      <c r="B8" s="38" t="s">
        <v>162</v>
      </c>
      <c r="C8" s="39" t="s">
        <v>163</v>
      </c>
      <c r="D8" s="38" t="s">
        <v>164</v>
      </c>
      <c r="E8" t="s">
        <v>174</v>
      </c>
    </row>
    <row r="9" spans="1:5" ht="33.75" customHeight="1" x14ac:dyDescent="0.2">
      <c r="A9" s="37">
        <v>6</v>
      </c>
      <c r="B9" s="38" t="s">
        <v>165</v>
      </c>
      <c r="C9" s="38" t="s">
        <v>166</v>
      </c>
      <c r="D9" s="38" t="s">
        <v>167</v>
      </c>
      <c r="E9" t="s">
        <v>175</v>
      </c>
    </row>
    <row r="10" spans="1:5" ht="80" x14ac:dyDescent="0.2">
      <c r="A10" s="37">
        <v>7</v>
      </c>
      <c r="B10" s="38" t="s">
        <v>168</v>
      </c>
      <c r="C10" s="38" t="s">
        <v>169</v>
      </c>
      <c r="D10" s="38" t="s">
        <v>170</v>
      </c>
      <c r="E10" s="40" t="s">
        <v>179</v>
      </c>
    </row>
    <row r="11" spans="1:5" ht="33.75" customHeight="1" x14ac:dyDescent="0.2">
      <c r="A11" s="37">
        <v>8</v>
      </c>
      <c r="B11" s="38" t="s">
        <v>171</v>
      </c>
      <c r="C11" s="38" t="s">
        <v>172</v>
      </c>
      <c r="D11" s="38" t="s">
        <v>173</v>
      </c>
      <c r="E11" t="s">
        <v>176</v>
      </c>
    </row>
  </sheetData>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Macintosh Excel</Application>
  <DocSecurity>0</DocSecurity>
  <ScaleCrop>false</ScaleCrop>
  <HeadingPairs>
    <vt:vector size="2" baseType="variant">
      <vt:variant>
        <vt:lpstr>Worksheets</vt:lpstr>
      </vt:variant>
      <vt:variant>
        <vt:i4>4</vt:i4>
      </vt:variant>
    </vt:vector>
  </HeadingPairs>
  <TitlesOfParts>
    <vt:vector size="4" baseType="lpstr">
      <vt:lpstr>Shutter Types</vt:lpstr>
      <vt:lpstr>Shutter BOM</vt:lpstr>
      <vt:lpstr>Carcass Boards</vt:lpstr>
      <vt:lpstr>Still Open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Harshuu</cp:lastModifiedBy>
  <cp:revision>0</cp:revision>
  <dcterms:created xsi:type="dcterms:W3CDTF">2026-09-02T11:48:10Z</dcterms:created>
  <dcterms:modified xsi:type="dcterms:W3CDTF">2026-09-02T12:10:06Z</dcterms:modified>
  <dc:language>en-US</dc:language>
</cp:coreProperties>
</file>
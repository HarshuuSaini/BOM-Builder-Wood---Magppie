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D93A0496-A084-6E4F-B2AA-CC0B57D570A0}" xr6:coauthVersionLast="47" xr6:coauthVersionMax="47" xr10:uidLastSave="{00000000-0000-0000-0000-000000000000}"/>
  <bookViews>
    <workbookView xWindow="0" yWindow="0" windowWidth="38400" windowHeight="21600" tabRatio="500" activeTab="2" xr2:uid="{00000000-000D-0000-FFFF-FFFF00000000}"/>
  </bookViews>
  <sheets>
    <sheet name="Shutter Types" sheetId="1" r:id="rId1"/>
    <sheet name="BOM Logic" sheetId="2" r:id="rId2"/>
    <sheet name="Open Ques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2" l="1"/>
  <c r="B11" i="2"/>
  <c r="F16" i="2" s="1"/>
  <c r="B10" i="2"/>
  <c r="F29" i="2" s="1"/>
  <c r="F22" i="2" l="1"/>
  <c r="F20" i="2"/>
  <c r="F23" i="2"/>
  <c r="F25" i="2"/>
  <c r="F26" i="2"/>
  <c r="F21" i="2"/>
  <c r="F14" i="2"/>
  <c r="F15" i="2"/>
  <c r="F17" i="2"/>
  <c r="F18" i="2"/>
  <c r="F19" i="2"/>
  <c r="F27" i="2"/>
  <c r="F28" i="2"/>
</calcChain>
</file>

<file path=xl/sharedStrings.xml><?xml version="1.0" encoding="utf-8"?>
<sst xmlns="http://schemas.openxmlformats.org/spreadsheetml/2006/main" count="189" uniqueCount="131">
  <si>
    <t>Shutter Types - my reading of the handwritten note</t>
  </si>
  <si>
    <t>Five buildable variants across three types. 'Board' resolves to either PRELAM or RAW depending on variant.</t>
  </si>
  <si>
    <t>Type</t>
  </si>
  <si>
    <t>Variant</t>
  </si>
  <si>
    <t>Board Type</t>
  </si>
  <si>
    <t>Face Treatment</t>
  </si>
  <si>
    <t>Edge Treatment</t>
  </si>
  <si>
    <t>Consumables</t>
  </si>
  <si>
    <t>Glue UoM</t>
  </si>
  <si>
    <t>1. Laminated</t>
  </si>
  <si>
    <t>Prelaminated</t>
  </si>
  <si>
    <t>Prelam board</t>
  </si>
  <si>
    <t>None - board arrives laminated</t>
  </si>
  <si>
    <t>PVC edge band 2mm</t>
  </si>
  <si>
    <t>Edgeband adhesive</t>
  </si>
  <si>
    <t>RMT</t>
  </si>
  <si>
    <t>Post-laminated</t>
  </si>
  <si>
    <t>RAW board</t>
  </si>
  <si>
    <t>Laminate pasted (outer + liner)</t>
  </si>
  <si>
    <t>Laminate adhesive + edgeband adhesive</t>
  </si>
  <si>
    <t>Sqft + RMT</t>
  </si>
  <si>
    <t>2. Membrane</t>
  </si>
  <si>
    <t>Prelam</t>
  </si>
  <si>
    <t>Membrane vacuum-pressed</t>
  </si>
  <si>
    <t>Wrapped by membrane - no band</t>
  </si>
  <si>
    <t>Membrane adhesive</t>
  </si>
  <si>
    <t>Sqft</t>
  </si>
  <si>
    <t>3. PU</t>
  </si>
  <si>
    <t>One side</t>
  </si>
  <si>
    <t>PU paint, 1 face</t>
  </si>
  <si>
    <t>Painted over - no band</t>
  </si>
  <si>
    <t>Primer / base / top coat</t>
  </si>
  <si>
    <t>Both sides</t>
  </si>
  <si>
    <t>PU paint, 2 faces</t>
  </si>
  <si>
    <t>Board type is a BRANCH in the BOM, not a finish attribute - it changes which raw item is consumed.</t>
  </si>
  <si>
    <t>Per-shutter-leaf BOM quantities</t>
  </si>
  <si>
    <t>Edit the yellow cells. Every Qty below is a live formula driven by them.</t>
  </si>
  <si>
    <t>Leaf Width (mm)</t>
  </si>
  <si>
    <t>Leaf Height (mm)</t>
  </si>
  <si>
    <t>Number of leaves</t>
  </si>
  <si>
    <t>Membrane oversize per edge (mm)</t>
  </si>
  <si>
    <t>Sheet constant: mm2 per sqft</t>
  </si>
  <si>
    <t>Leaf area (sqft)</t>
  </si>
  <si>
    <t>Leaf perimeter (RMT)</t>
  </si>
  <si>
    <t>#</t>
  </si>
  <si>
    <t>Component</t>
  </si>
  <si>
    <t>Material spec</t>
  </si>
  <si>
    <t>Quantity formula</t>
  </si>
  <si>
    <t>Qty</t>
  </si>
  <si>
    <t>UoM</t>
  </si>
  <si>
    <t>Note</t>
  </si>
  <si>
    <t>Prelam board 18mm</t>
  </si>
  <si>
    <t>18mm BWP prelaminated ply</t>
  </si>
  <si>
    <t>area x leaves</t>
  </si>
  <si>
    <t>sqft</t>
  </si>
  <si>
    <t>2mm PVC, front edges</t>
  </si>
  <si>
    <t>perimeter x leaves</t>
  </si>
  <si>
    <t>Hot-melt / EVA</t>
  </si>
  <si>
    <t>Note reads '+ Glue (RMT)'</t>
  </si>
  <si>
    <t>Raw board 18mm</t>
  </si>
  <si>
    <t>18mm BWP plywood</t>
  </si>
  <si>
    <t>Laminate - outer face</t>
  </si>
  <si>
    <t>1.0mm decorative laminate</t>
  </si>
  <si>
    <t>Laminate - liner face</t>
  </si>
  <si>
    <t>0.8mm liner laminate</t>
  </si>
  <si>
    <t>Confirm: note says 'Laminates' plural</t>
  </si>
  <si>
    <t>Laminate adhesive</t>
  </si>
  <si>
    <t>Fevicol SH / SR998</t>
  </si>
  <si>
    <t>area x 2 faces x leaves</t>
  </si>
  <si>
    <t>Note reads '+ Glue (Sqft)'</t>
  </si>
  <si>
    <t>Membrane</t>
  </si>
  <si>
    <t>Prelam gives the inner face</t>
  </si>
  <si>
    <t>Membrane foil</t>
  </si>
  <si>
    <t>PVC membrane foil</t>
  </si>
  <si>
    <t>oversized area x leaves</t>
  </si>
  <si>
    <t>Includes press grip allowance</t>
  </si>
  <si>
    <t>Membrane / PUR adhesive</t>
  </si>
  <si>
    <t>PU one side</t>
  </si>
  <si>
    <t>Prelam gives the unpainted inner face</t>
  </si>
  <si>
    <t>PU paint system</t>
  </si>
  <si>
    <t>Primer + base + top, 1 face</t>
  </si>
  <si>
    <t>area x 1 face x leaves</t>
  </si>
  <si>
    <t>PU both sides</t>
  </si>
  <si>
    <t>Primer + base + top, 2 faces</t>
  </si>
  <si>
    <t>What I inferred - please confirm or correct</t>
  </si>
  <si>
    <t>Topic</t>
  </si>
  <si>
    <t>What the note shows</t>
  </si>
  <si>
    <t>What I assumed</t>
  </si>
  <si>
    <t>Need from you</t>
  </si>
  <si>
    <t>Edge banding</t>
  </si>
  <si>
    <t>Edgeband listed ONLY under 1. Laminated</t>
  </si>
  <si>
    <t>Membrane wraps its own edges; PU is painted over the edge - neither gets a band</t>
  </si>
  <si>
    <t>Post-lam laminates</t>
  </si>
  <si>
    <t>'(Raw Board + Laminates)' - plural</t>
  </si>
  <si>
    <t>Two laminates: 1mm decorative outer + 0.8mm liner inner</t>
  </si>
  <si>
    <t>Glue split</t>
  </si>
  <si>
    <t>'+Glue (RMT)' on prelam, '+Glue (Sqft)' on post-lam</t>
  </si>
  <si>
    <t>RMT = edgeband adhesive; Sqft = laminate pasting adhesive. Two separate lines</t>
  </si>
  <si>
    <t>PU one side board</t>
  </si>
  <si>
    <t>'Prelam' written above 'Board'</t>
  </si>
  <si>
    <t>PU one-side uses a PRELAM board so the inner face needs no paint</t>
  </si>
  <si>
    <t>Laminate adhesive qty</t>
  </si>
  <si>
    <t>Not specified</t>
  </si>
  <si>
    <t>2 x leaf area for post-lam (both faces get glued)</t>
  </si>
  <si>
    <t>Membrane oversize</t>
  </si>
  <si>
    <t>+50mm each edge for the press grip</t>
  </si>
  <si>
    <t>PU paint consumption</t>
  </si>
  <si>
    <t>Charged per sqft per face</t>
  </si>
  <si>
    <t>Give litres or kg per sqft if you cost it that way</t>
  </si>
  <si>
    <t>Carcass vs shutter</t>
  </si>
  <si>
    <t>Note covers shutters only</t>
  </si>
  <si>
    <t>Carcass stays 18mm BWP + 6mm ply back regardless of shutter type</t>
  </si>
  <si>
    <t>Missing type</t>
  </si>
  <si>
    <t>No glass or open-frame shutter listed</t>
  </si>
  <si>
    <t>Glass families (WGL/SHFG/LGL) still need a shutter definition</t>
  </si>
  <si>
    <t>Tell me how glass doors are built in wood</t>
  </si>
  <si>
    <t>The glass shutters are made with an aluminium profile. Generally, it is either Neon 50 or Neon 22, the same as used in stone kitchen</t>
  </si>
  <si>
    <t>Answer</t>
  </si>
  <si>
    <t xml:space="preserve">Confirm no edge banding on Membrane and PU </t>
  </si>
  <si>
    <t>Yes</t>
  </si>
  <si>
    <t>Confirm both, and the thicknesses.</t>
  </si>
  <si>
    <r>
      <t>Confirm - and whether prelam also needs a sqft glue.</t>
    </r>
    <r>
      <rPr>
        <b/>
        <sz val="10"/>
        <rFont val="Arial"/>
        <family val="2"/>
      </rPr>
      <t xml:space="preserve"> </t>
    </r>
  </si>
  <si>
    <t>NO</t>
  </si>
  <si>
    <t xml:space="preserve">Confirm, and give a coverage rate if you have one (e.g. gm/sqft) </t>
  </si>
  <si>
    <t>25gm / sqft / side</t>
  </si>
  <si>
    <t xml:space="preserve">Confirm </t>
  </si>
  <si>
    <t xml:space="preserve">Confirm the allowance your vendor needs. </t>
  </si>
  <si>
    <t>As per your assumption it is correct.</t>
  </si>
  <si>
    <t>The carcase can be made from:
•⁠  ⁠post-laminated plywood that will be 16 mm plywood plus two faces of 0.8 mm laminate pasted with glue
•⁠  ⁠18 mm pre-laminated MDF
•⁠  ⁠18 mm pre-laminated particle board
In all cases, the back can also be different. In MDF and particle board, generally they are pre-laminated MDF or pre-laminated particle board of 8 mm thickness. In ply, it will also be 8 mm, but it will be 6 mm plywood plus 0.8 mm laminate on both sides</t>
  </si>
  <si>
    <t>This is done in three layers Epoxy, Base primer and top coat 
In this, the consumption of epoxy will be 15 g/sq ft. Base primer will be 40 g/sq ft, and top coat will be 70 g/sq ft.</t>
  </si>
  <si>
    <t>Two laminates:  0.8mm both sides .Total Thickness after lamination will become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</si>
</sst>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C1A17"/>
      <name val="Arial"/>
      <family val="2"/>
    </font>
    <font>
      <i/>
      <sz val="9"/>
      <color rgb="FF7A726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C8521E"/>
      <name val="Arial"/>
      <family val="2"/>
    </font>
    <font>
      <sz val="10"/>
      <color rgb="FF0000FF"/>
      <name val="Arial"/>
      <family val="2"/>
    </font>
    <font>
      <b/>
      <sz val="13"/>
      <color rgb="FF1C1A1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EAF1F5"/>
        <bgColor rgb="FFF3EFF5"/>
      </patternFill>
    </fill>
    <fill>
      <patternFill patternType="solid">
        <fgColor rgb="FFF0EEE8"/>
        <bgColor rgb="FFF2F0EB"/>
      </patternFill>
    </fill>
    <fill>
      <patternFill patternType="solid">
        <fgColor rgb="FFF3EFF5"/>
        <bgColor rgb="FFF2F0EB"/>
      </patternFill>
    </fill>
    <fill>
      <patternFill patternType="solid">
        <fgColor rgb="FFFFFF00"/>
        <bgColor rgb="FFFFFF00"/>
      </patternFill>
    </fill>
    <fill>
      <patternFill patternType="solid">
        <fgColor rgb="FFF2F0EB"/>
        <bgColor rgb="FFF0EEE8"/>
      </patternFill>
    </fill>
    <fill>
      <patternFill patternType="solid">
        <fgColor rgb="FFFFF2CC"/>
        <bgColor rgb="FFF2F0E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8" fillId="6" borderId="1" xfId="0" applyFont="1" applyFill="1" applyBorder="1"/>
    <xf numFmtId="0" fontId="8" fillId="7" borderId="1" xfId="0" applyFont="1" applyFill="1" applyBorder="1"/>
    <xf numFmtId="164" fontId="5" fillId="0" borderId="1" xfId="0" applyNumberFormat="1" applyFont="1" applyBorder="1"/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B"/>
      <rgbColor rgb="FFF0EEE8"/>
      <rgbColor rgb="FFF3EF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2" zoomScale="144" zoomScaleNormal="100" workbookViewId="0"/>
  </sheetViews>
  <sheetFormatPr baseColWidth="10" defaultColWidth="8.6640625" defaultRowHeight="15" x14ac:dyDescent="0.2"/>
  <cols>
    <col min="1" max="1" width="16" customWidth="1"/>
    <col min="2" max="2" width="18" customWidth="1"/>
    <col min="3" max="3" width="16" customWidth="1"/>
    <col min="4" max="4" width="26" customWidth="1"/>
    <col min="5" max="5" width="24" customWidth="1"/>
    <col min="6" max="6" width="30" customWidth="1"/>
    <col min="7" max="7" width="12" customWidth="1"/>
  </cols>
  <sheetData>
    <row r="1" spans="1:7" ht="18" x14ac:dyDescent="0.2">
      <c r="A1" s="1" t="s">
        <v>0</v>
      </c>
    </row>
    <row r="2" spans="1:7" x14ac:dyDescent="0.2">
      <c r="A2" s="2" t="s">
        <v>1</v>
      </c>
    </row>
    <row r="4" spans="1:7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7.75" customHeight="1" x14ac:dyDescent="0.2">
      <c r="A5" s="4" t="s">
        <v>9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spans="1:7" ht="27.75" customHeight="1" x14ac:dyDescent="0.2">
      <c r="A6" s="4" t="s">
        <v>9</v>
      </c>
      <c r="B6" s="4" t="s">
        <v>16</v>
      </c>
      <c r="C6" s="6" t="s">
        <v>17</v>
      </c>
      <c r="D6" s="4" t="s">
        <v>18</v>
      </c>
      <c r="E6" s="4" t="s">
        <v>13</v>
      </c>
      <c r="F6" s="4" t="s">
        <v>19</v>
      </c>
      <c r="G6" s="5" t="s">
        <v>20</v>
      </c>
    </row>
    <row r="7" spans="1:7" ht="27.75" customHeight="1" x14ac:dyDescent="0.2">
      <c r="A7" s="7" t="s">
        <v>21</v>
      </c>
      <c r="B7" s="7" t="s">
        <v>22</v>
      </c>
      <c r="C7" s="8" t="s">
        <v>11</v>
      </c>
      <c r="D7" s="7" t="s">
        <v>23</v>
      </c>
      <c r="E7" s="7" t="s">
        <v>24</v>
      </c>
      <c r="F7" s="7" t="s">
        <v>25</v>
      </c>
      <c r="G7" s="8" t="s">
        <v>26</v>
      </c>
    </row>
    <row r="8" spans="1:7" ht="27.75" customHeight="1" x14ac:dyDescent="0.2">
      <c r="A8" s="9" t="s">
        <v>27</v>
      </c>
      <c r="B8" s="9" t="s">
        <v>28</v>
      </c>
      <c r="C8" s="10" t="s">
        <v>11</v>
      </c>
      <c r="D8" s="9" t="s">
        <v>29</v>
      </c>
      <c r="E8" s="9" t="s">
        <v>30</v>
      </c>
      <c r="F8" s="9" t="s">
        <v>31</v>
      </c>
      <c r="G8" s="10" t="s">
        <v>26</v>
      </c>
    </row>
    <row r="9" spans="1:7" ht="27.75" customHeight="1" x14ac:dyDescent="0.2">
      <c r="A9" s="9" t="s">
        <v>27</v>
      </c>
      <c r="B9" s="9" t="s">
        <v>32</v>
      </c>
      <c r="C9" s="11" t="s">
        <v>17</v>
      </c>
      <c r="D9" s="9" t="s">
        <v>33</v>
      </c>
      <c r="E9" s="9" t="s">
        <v>30</v>
      </c>
      <c r="F9" s="9" t="s">
        <v>31</v>
      </c>
      <c r="G9" s="10" t="s">
        <v>26</v>
      </c>
    </row>
    <row r="11" spans="1:7" x14ac:dyDescent="0.2">
      <c r="A11" s="1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5" customWidth="1"/>
    <col min="3" max="3" width="30" customWidth="1"/>
    <col min="4" max="4" width="34" customWidth="1"/>
    <col min="5" max="5" width="30" customWidth="1"/>
    <col min="6" max="6" width="11" customWidth="1"/>
    <col min="7" max="7" width="9" customWidth="1"/>
    <col min="8" max="8" width="34" customWidth="1"/>
  </cols>
  <sheetData>
    <row r="1" spans="1:8" ht="18" x14ac:dyDescent="0.2">
      <c r="A1" s="1" t="s">
        <v>35</v>
      </c>
    </row>
    <row r="2" spans="1:8" x14ac:dyDescent="0.2">
      <c r="A2" s="2" t="s">
        <v>36</v>
      </c>
    </row>
    <row r="4" spans="1:8" x14ac:dyDescent="0.2">
      <c r="A4" s="13" t="s">
        <v>37</v>
      </c>
      <c r="B4" s="14">
        <v>600</v>
      </c>
    </row>
    <row r="5" spans="1:8" x14ac:dyDescent="0.2">
      <c r="A5" s="13" t="s">
        <v>38</v>
      </c>
      <c r="B5" s="14">
        <v>720</v>
      </c>
    </row>
    <row r="6" spans="1:8" x14ac:dyDescent="0.2">
      <c r="A6" s="13" t="s">
        <v>39</v>
      </c>
      <c r="B6" s="14">
        <v>1</v>
      </c>
    </row>
    <row r="7" spans="1:8" x14ac:dyDescent="0.2">
      <c r="A7" s="13" t="s">
        <v>40</v>
      </c>
      <c r="B7" s="14">
        <v>50</v>
      </c>
    </row>
    <row r="8" spans="1:8" x14ac:dyDescent="0.2">
      <c r="A8" s="13" t="s">
        <v>41</v>
      </c>
      <c r="B8" s="15">
        <v>92903.039999999994</v>
      </c>
    </row>
    <row r="10" spans="1:8" x14ac:dyDescent="0.2">
      <c r="A10" s="13" t="s">
        <v>42</v>
      </c>
      <c r="B10" s="16">
        <f>$B$4*$B$5/$B$8</f>
        <v>4.6500093000186</v>
      </c>
    </row>
    <row r="11" spans="1:8" x14ac:dyDescent="0.2">
      <c r="A11" s="13" t="s">
        <v>43</v>
      </c>
      <c r="B11" s="16">
        <f>2*($B$4+$B$5)/1000</f>
        <v>2.64</v>
      </c>
    </row>
    <row r="13" spans="1:8" ht="30" customHeight="1" x14ac:dyDescent="0.2">
      <c r="A13" s="3" t="s">
        <v>3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49</v>
      </c>
      <c r="H13" s="3" t="s">
        <v>50</v>
      </c>
    </row>
    <row r="14" spans="1:8" x14ac:dyDescent="0.2">
      <c r="A14" s="17" t="s">
        <v>10</v>
      </c>
      <c r="B14" s="18">
        <v>1</v>
      </c>
      <c r="C14" s="19" t="s">
        <v>51</v>
      </c>
      <c r="D14" s="19" t="s">
        <v>52</v>
      </c>
      <c r="E14" s="19" t="s">
        <v>53</v>
      </c>
      <c r="F14" s="20">
        <f>$B$10*$B$6</f>
        <v>4.6500093000186</v>
      </c>
      <c r="G14" s="18" t="s">
        <v>54</v>
      </c>
      <c r="H14" s="4"/>
    </row>
    <row r="15" spans="1:8" x14ac:dyDescent="0.2">
      <c r="A15" s="17"/>
      <c r="B15" s="18">
        <v>2</v>
      </c>
      <c r="C15" s="19" t="s">
        <v>13</v>
      </c>
      <c r="D15" s="19" t="s">
        <v>55</v>
      </c>
      <c r="E15" s="19" t="s">
        <v>56</v>
      </c>
      <c r="F15" s="20">
        <f>$B$11*$B$6</f>
        <v>2.64</v>
      </c>
      <c r="G15" s="18" t="s">
        <v>15</v>
      </c>
      <c r="H15" s="4"/>
    </row>
    <row r="16" spans="1:8" x14ac:dyDescent="0.2">
      <c r="A16" s="17"/>
      <c r="B16" s="18">
        <v>3</v>
      </c>
      <c r="C16" s="19" t="s">
        <v>14</v>
      </c>
      <c r="D16" s="19" t="s">
        <v>57</v>
      </c>
      <c r="E16" s="19" t="s">
        <v>56</v>
      </c>
      <c r="F16" s="20">
        <f>$B$11*$B$6</f>
        <v>2.64</v>
      </c>
      <c r="G16" s="18" t="s">
        <v>15</v>
      </c>
      <c r="H16" s="21" t="s">
        <v>58</v>
      </c>
    </row>
    <row r="17" spans="1:8" x14ac:dyDescent="0.2">
      <c r="A17" s="17" t="s">
        <v>16</v>
      </c>
      <c r="B17" s="18">
        <v>1</v>
      </c>
      <c r="C17" s="19" t="s">
        <v>59</v>
      </c>
      <c r="D17" s="19" t="s">
        <v>60</v>
      </c>
      <c r="E17" s="19" t="s">
        <v>53</v>
      </c>
      <c r="F17" s="20">
        <f>$B$10*$B$6</f>
        <v>4.6500093000186</v>
      </c>
      <c r="G17" s="18" t="s">
        <v>54</v>
      </c>
      <c r="H17" s="4"/>
    </row>
    <row r="18" spans="1:8" x14ac:dyDescent="0.2">
      <c r="A18" s="17"/>
      <c r="B18" s="18">
        <v>2</v>
      </c>
      <c r="C18" s="19" t="s">
        <v>61</v>
      </c>
      <c r="D18" s="19" t="s">
        <v>62</v>
      </c>
      <c r="E18" s="19" t="s">
        <v>53</v>
      </c>
      <c r="F18" s="20">
        <f>$B$10*$B$6</f>
        <v>4.6500093000186</v>
      </c>
      <c r="G18" s="18" t="s">
        <v>54</v>
      </c>
      <c r="H18" s="4"/>
    </row>
    <row r="19" spans="1:8" x14ac:dyDescent="0.2">
      <c r="A19" s="17"/>
      <c r="B19" s="18">
        <v>3</v>
      </c>
      <c r="C19" s="19" t="s">
        <v>63</v>
      </c>
      <c r="D19" s="19" t="s">
        <v>64</v>
      </c>
      <c r="E19" s="19" t="s">
        <v>53</v>
      </c>
      <c r="F19" s="20">
        <f>$B$10*$B$6</f>
        <v>4.6500093000186</v>
      </c>
      <c r="G19" s="18" t="s">
        <v>54</v>
      </c>
      <c r="H19" s="21" t="s">
        <v>65</v>
      </c>
    </row>
    <row r="20" spans="1:8" x14ac:dyDescent="0.2">
      <c r="A20" s="17"/>
      <c r="B20" s="18">
        <v>4</v>
      </c>
      <c r="C20" s="19" t="s">
        <v>66</v>
      </c>
      <c r="D20" s="19" t="s">
        <v>67</v>
      </c>
      <c r="E20" s="19" t="s">
        <v>68</v>
      </c>
      <c r="F20" s="20">
        <f>$B$10*2*$B$6</f>
        <v>9.3000186000372</v>
      </c>
      <c r="G20" s="18" t="s">
        <v>54</v>
      </c>
      <c r="H20" s="21" t="s">
        <v>69</v>
      </c>
    </row>
    <row r="21" spans="1:8" x14ac:dyDescent="0.2">
      <c r="A21" s="17"/>
      <c r="B21" s="18">
        <v>5</v>
      </c>
      <c r="C21" s="19" t="s">
        <v>13</v>
      </c>
      <c r="D21" s="19" t="s">
        <v>55</v>
      </c>
      <c r="E21" s="19" t="s">
        <v>56</v>
      </c>
      <c r="F21" s="20">
        <f>$B$11*$B$6</f>
        <v>2.64</v>
      </c>
      <c r="G21" s="18" t="s">
        <v>15</v>
      </c>
      <c r="H21" s="4"/>
    </row>
    <row r="22" spans="1:8" x14ac:dyDescent="0.2">
      <c r="A22" s="17"/>
      <c r="B22" s="18">
        <v>6</v>
      </c>
      <c r="C22" s="19" t="s">
        <v>14</v>
      </c>
      <c r="D22" s="19" t="s">
        <v>57</v>
      </c>
      <c r="E22" s="19" t="s">
        <v>56</v>
      </c>
      <c r="F22" s="20">
        <f>$B$11*$B$6</f>
        <v>2.64</v>
      </c>
      <c r="G22" s="18" t="s">
        <v>15</v>
      </c>
      <c r="H22" s="4"/>
    </row>
    <row r="23" spans="1:8" x14ac:dyDescent="0.2">
      <c r="A23" s="22" t="s">
        <v>70</v>
      </c>
      <c r="B23" s="23">
        <v>1</v>
      </c>
      <c r="C23" s="24" t="s">
        <v>51</v>
      </c>
      <c r="D23" s="24" t="s">
        <v>52</v>
      </c>
      <c r="E23" s="24" t="s">
        <v>53</v>
      </c>
      <c r="F23" s="25">
        <f>$B$10*$B$6</f>
        <v>4.6500093000186</v>
      </c>
      <c r="G23" s="23" t="s">
        <v>54</v>
      </c>
      <c r="H23" s="21" t="s">
        <v>71</v>
      </c>
    </row>
    <row r="24" spans="1:8" x14ac:dyDescent="0.2">
      <c r="A24" s="22"/>
      <c r="B24" s="23">
        <v>2</v>
      </c>
      <c r="C24" s="24" t="s">
        <v>72</v>
      </c>
      <c r="D24" s="24" t="s">
        <v>73</v>
      </c>
      <c r="E24" s="24" t="s">
        <v>74</v>
      </c>
      <c r="F24" s="25">
        <f>($B$4+2*$B$7)*($B$5+2*$B$7)/$B$8*$B$6</f>
        <v>6.1784845791913812</v>
      </c>
      <c r="G24" s="23" t="s">
        <v>54</v>
      </c>
      <c r="H24" s="21" t="s">
        <v>75</v>
      </c>
    </row>
    <row r="25" spans="1:8" x14ac:dyDescent="0.2">
      <c r="A25" s="22"/>
      <c r="B25" s="23">
        <v>3</v>
      </c>
      <c r="C25" s="24" t="s">
        <v>25</v>
      </c>
      <c r="D25" s="24" t="s">
        <v>76</v>
      </c>
      <c r="E25" s="24" t="s">
        <v>53</v>
      </c>
      <c r="F25" s="25">
        <f>$B$10*$B$6</f>
        <v>4.6500093000186</v>
      </c>
      <c r="G25" s="23" t="s">
        <v>54</v>
      </c>
      <c r="H25" s="7"/>
    </row>
    <row r="26" spans="1:8" x14ac:dyDescent="0.2">
      <c r="A26" s="26" t="s">
        <v>77</v>
      </c>
      <c r="B26" s="27">
        <v>1</v>
      </c>
      <c r="C26" s="28" t="s">
        <v>51</v>
      </c>
      <c r="D26" s="28" t="s">
        <v>52</v>
      </c>
      <c r="E26" s="28" t="s">
        <v>53</v>
      </c>
      <c r="F26" s="29">
        <f>$B$10*$B$6</f>
        <v>4.6500093000186</v>
      </c>
      <c r="G26" s="27" t="s">
        <v>54</v>
      </c>
      <c r="H26" s="21" t="s">
        <v>78</v>
      </c>
    </row>
    <row r="27" spans="1:8" x14ac:dyDescent="0.2">
      <c r="A27" s="26"/>
      <c r="B27" s="27">
        <v>2</v>
      </c>
      <c r="C27" s="28" t="s">
        <v>79</v>
      </c>
      <c r="D27" s="28" t="s">
        <v>80</v>
      </c>
      <c r="E27" s="28" t="s">
        <v>81</v>
      </c>
      <c r="F27" s="29">
        <f>$B$10*$B$6</f>
        <v>4.6500093000186</v>
      </c>
      <c r="G27" s="27" t="s">
        <v>54</v>
      </c>
      <c r="H27" s="9"/>
    </row>
    <row r="28" spans="1:8" x14ac:dyDescent="0.2">
      <c r="A28" s="26" t="s">
        <v>82</v>
      </c>
      <c r="B28" s="27">
        <v>1</v>
      </c>
      <c r="C28" s="28" t="s">
        <v>59</v>
      </c>
      <c r="D28" s="28" t="s">
        <v>60</v>
      </c>
      <c r="E28" s="28" t="s">
        <v>53</v>
      </c>
      <c r="F28" s="29">
        <f>$B$10*$B$6</f>
        <v>4.6500093000186</v>
      </c>
      <c r="G28" s="27" t="s">
        <v>54</v>
      </c>
      <c r="H28" s="9"/>
    </row>
    <row r="29" spans="1:8" x14ac:dyDescent="0.2">
      <c r="A29" s="26"/>
      <c r="B29" s="27">
        <v>2</v>
      </c>
      <c r="C29" s="28" t="s">
        <v>79</v>
      </c>
      <c r="D29" s="28" t="s">
        <v>83</v>
      </c>
      <c r="E29" s="28" t="s">
        <v>68</v>
      </c>
      <c r="F29" s="29">
        <f>$B$10*2*$B$6</f>
        <v>9.3000186000372</v>
      </c>
      <c r="G29" s="27" t="s">
        <v>54</v>
      </c>
      <c r="H29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topLeftCell="C1" zoomScale="170" zoomScaleNormal="100" workbookViewId="0">
      <selection activeCell="D5" sqref="D5"/>
    </sheetView>
  </sheetViews>
  <sheetFormatPr baseColWidth="10" defaultColWidth="8.6640625" defaultRowHeight="15" x14ac:dyDescent="0.2"/>
  <cols>
    <col min="1" max="1" width="45.33203125" bestFit="1" customWidth="1"/>
    <col min="2" max="2" width="18.83203125" bestFit="1" customWidth="1"/>
    <col min="3" max="4" width="37.83203125" bestFit="1" customWidth="1"/>
    <col min="5" max="5" width="40.83203125" bestFit="1" customWidth="1"/>
    <col min="6" max="6" width="101.33203125" bestFit="1" customWidth="1"/>
  </cols>
  <sheetData>
    <row r="1" spans="1:6" ht="17" x14ac:dyDescent="0.2">
      <c r="A1" s="30" t="s">
        <v>84</v>
      </c>
    </row>
    <row r="3" spans="1:6" ht="30" customHeight="1" x14ac:dyDescent="0.2">
      <c r="A3" s="3" t="s">
        <v>44</v>
      </c>
      <c r="B3" s="3" t="s">
        <v>85</v>
      </c>
      <c r="C3" s="3" t="s">
        <v>86</v>
      </c>
      <c r="D3" s="3" t="s">
        <v>87</v>
      </c>
      <c r="E3" s="3" t="s">
        <v>88</v>
      </c>
      <c r="F3" s="34" t="s">
        <v>117</v>
      </c>
    </row>
    <row r="4" spans="1:6" ht="31.5" customHeight="1" x14ac:dyDescent="0.2">
      <c r="A4" s="31">
        <v>1</v>
      </c>
      <c r="B4" s="32" t="s">
        <v>89</v>
      </c>
      <c r="C4" s="32" t="s">
        <v>90</v>
      </c>
      <c r="D4" s="32" t="s">
        <v>91</v>
      </c>
      <c r="E4" s="33" t="s">
        <v>118</v>
      </c>
      <c r="F4" t="s">
        <v>119</v>
      </c>
    </row>
    <row r="5" spans="1:6" ht="31.5" customHeight="1" x14ac:dyDescent="0.2">
      <c r="A5" s="31">
        <v>2</v>
      </c>
      <c r="B5" s="32" t="s">
        <v>92</v>
      </c>
      <c r="C5" s="32" t="s">
        <v>93</v>
      </c>
      <c r="D5" s="32" t="s">
        <v>94</v>
      </c>
      <c r="E5" s="33" t="s">
        <v>120</v>
      </c>
      <c r="F5" t="s">
        <v>130</v>
      </c>
    </row>
    <row r="6" spans="1:6" ht="31.5" customHeight="1" x14ac:dyDescent="0.2">
      <c r="A6" s="31">
        <v>3</v>
      </c>
      <c r="B6" s="32" t="s">
        <v>95</v>
      </c>
      <c r="C6" s="32" t="s">
        <v>96</v>
      </c>
      <c r="D6" s="32" t="s">
        <v>97</v>
      </c>
      <c r="E6" s="33" t="s">
        <v>121</v>
      </c>
      <c r="F6" t="s">
        <v>122</v>
      </c>
    </row>
    <row r="7" spans="1:6" ht="31.5" customHeight="1" x14ac:dyDescent="0.2">
      <c r="A7" s="31">
        <v>4</v>
      </c>
      <c r="B7" s="32" t="s">
        <v>98</v>
      </c>
      <c r="C7" s="32" t="s">
        <v>99</v>
      </c>
      <c r="D7" s="32" t="s">
        <v>100</v>
      </c>
      <c r="E7" s="33" t="s">
        <v>125</v>
      </c>
      <c r="F7" t="s">
        <v>119</v>
      </c>
    </row>
    <row r="8" spans="1:6" ht="31.5" customHeight="1" x14ac:dyDescent="0.2">
      <c r="A8" s="31">
        <v>5</v>
      </c>
      <c r="B8" s="32" t="s">
        <v>101</v>
      </c>
      <c r="C8" s="32" t="s">
        <v>102</v>
      </c>
      <c r="D8" s="32" t="s">
        <v>103</v>
      </c>
      <c r="E8" s="33" t="s">
        <v>123</v>
      </c>
      <c r="F8" t="s">
        <v>124</v>
      </c>
    </row>
    <row r="9" spans="1:6" ht="31.5" customHeight="1" x14ac:dyDescent="0.2">
      <c r="A9" s="31">
        <v>6</v>
      </c>
      <c r="B9" s="32" t="s">
        <v>104</v>
      </c>
      <c r="C9" s="32" t="s">
        <v>102</v>
      </c>
      <c r="D9" s="32" t="s">
        <v>105</v>
      </c>
      <c r="E9" s="33" t="s">
        <v>126</v>
      </c>
      <c r="F9" t="s">
        <v>127</v>
      </c>
    </row>
    <row r="10" spans="1:6" ht="48" x14ac:dyDescent="0.2">
      <c r="A10" s="31">
        <v>7</v>
      </c>
      <c r="B10" s="32" t="s">
        <v>106</v>
      </c>
      <c r="C10" s="32" t="s">
        <v>102</v>
      </c>
      <c r="D10" s="32" t="s">
        <v>107</v>
      </c>
      <c r="E10" s="33" t="s">
        <v>108</v>
      </c>
      <c r="F10" s="35" t="s">
        <v>129</v>
      </c>
    </row>
    <row r="11" spans="1:6" ht="128" x14ac:dyDescent="0.2">
      <c r="A11" s="31">
        <v>8</v>
      </c>
      <c r="B11" s="32" t="s">
        <v>109</v>
      </c>
      <c r="C11" s="32" t="s">
        <v>110</v>
      </c>
      <c r="D11" s="32" t="s">
        <v>111</v>
      </c>
      <c r="E11" s="33" t="s">
        <v>115</v>
      </c>
      <c r="F11" s="36" t="s">
        <v>128</v>
      </c>
    </row>
    <row r="12" spans="1:6" ht="28" x14ac:dyDescent="0.2">
      <c r="A12" s="31">
        <v>9</v>
      </c>
      <c r="B12" s="32" t="s">
        <v>112</v>
      </c>
      <c r="C12" s="32" t="s">
        <v>113</v>
      </c>
      <c r="D12" s="32" t="s">
        <v>114</v>
      </c>
      <c r="E12" s="33" t="s">
        <v>115</v>
      </c>
      <c r="F12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Shutter Types</vt:lpstr>
      <vt:lpstr>BOM Logic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Harshuu</cp:lastModifiedBy>
  <cp:revision>0</cp:revision>
  <dcterms:created xsi:type="dcterms:W3CDTF">2026-09-02T10:10:50Z</dcterms:created>
  <dcterms:modified xsi:type="dcterms:W3CDTF">2026-09-02T11:45:21Z</dcterms:modified>
  <dc:language>en-US</dc:language>
</cp:coreProperties>
</file>
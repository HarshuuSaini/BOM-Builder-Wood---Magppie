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4F564961-9A77-4F4A-96A1-3F13ACF72DE3}" xr6:coauthVersionLast="47" xr6:coauthVersionMax="47" xr10:uidLastSave="{00000000-0000-0000-0000-000000000000}"/>
  <bookViews>
    <workbookView xWindow="0" yWindow="0" windowWidth="38400" windowHeight="21600" tabRatio="500" activeTab="3" xr2:uid="{00000000-000D-0000-FFFF-FFFF00000000}"/>
  </bookViews>
  <sheets>
    <sheet name="Shutter Types" sheetId="1" r:id="rId1"/>
    <sheet name="Shutter BOM" sheetId="2" r:id="rId2"/>
    <sheet name="Carcass BOM" sheetId="3" r:id="rId3"/>
    <sheet name="Still Ope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6" i="3" l="1"/>
  <c r="E16" i="3"/>
  <c r="D16" i="3"/>
  <c r="H16" i="3" s="1"/>
  <c r="J15" i="3"/>
  <c r="H15" i="3"/>
  <c r="F15" i="3"/>
  <c r="E15" i="3"/>
  <c r="D15" i="3"/>
  <c r="J14" i="3"/>
  <c r="E14" i="3"/>
  <c r="D14" i="3"/>
  <c r="H14" i="3" s="1"/>
  <c r="J13" i="3"/>
  <c r="E13" i="3"/>
  <c r="D13" i="3"/>
  <c r="H13" i="3" s="1"/>
  <c r="J12" i="3"/>
  <c r="J17" i="3" s="1"/>
  <c r="E12" i="3"/>
  <c r="D12" i="3"/>
  <c r="H12" i="3" s="1"/>
  <c r="F47" i="2"/>
  <c r="F46" i="2"/>
  <c r="F45" i="2"/>
  <c r="F44" i="2"/>
  <c r="F43" i="2"/>
  <c r="F42" i="2"/>
  <c r="F41" i="2"/>
  <c r="F40" i="2"/>
  <c r="F39" i="2"/>
  <c r="F33" i="2"/>
  <c r="F32" i="2"/>
  <c r="F31" i="2"/>
  <c r="F25" i="2"/>
  <c r="F24" i="2"/>
  <c r="F23" i="2"/>
  <c r="B19" i="2"/>
  <c r="B18" i="2"/>
  <c r="B17" i="2"/>
  <c r="F30" i="2" s="1"/>
  <c r="B16" i="2"/>
  <c r="F38" i="2" s="1"/>
  <c r="C22" i="3" l="1"/>
  <c r="C21" i="3"/>
  <c r="H17" i="3"/>
  <c r="F26" i="2"/>
  <c r="F34" i="2"/>
  <c r="F27" i="2"/>
  <c r="F35" i="2"/>
  <c r="F28" i="2"/>
  <c r="F36" i="2"/>
  <c r="F29" i="2"/>
  <c r="F37" i="2"/>
  <c r="F22" i="2"/>
  <c r="C24" i="3" l="1"/>
  <c r="C23" i="3"/>
</calcChain>
</file>

<file path=xl/sharedStrings.xml><?xml version="1.0" encoding="utf-8"?>
<sst xmlns="http://schemas.openxmlformats.org/spreadsheetml/2006/main" count="284" uniqueCount="198">
  <si>
    <t>Shutter Type - the form field (replaces stone 'Shutter Profile Design')</t>
  </si>
  <si>
    <t>Six selectable options. Orange = changed this round.</t>
  </si>
  <si>
    <t>Option</t>
  </si>
  <si>
    <t>Board (core)</t>
  </si>
  <si>
    <t>Face Treatment</t>
  </si>
  <si>
    <t>Edge Band</t>
  </si>
  <si>
    <t>Key consumables</t>
  </si>
  <si>
    <t>Laminated - Prelaminated</t>
  </si>
  <si>
    <t>18mm prelam board</t>
  </si>
  <si>
    <t>None - arrives laminated</t>
  </si>
  <si>
    <t>0.8mm, all edges</t>
  </si>
  <si>
    <t>Edgeband adhesive (RMT)</t>
  </si>
  <si>
    <t>Laminated - Post-laminated</t>
  </si>
  <si>
    <t>16mm raw ply core</t>
  </si>
  <si>
    <t>0.8mm laminate BOTH faces</t>
  </si>
  <si>
    <t>Laminate adhesive 25 g/sqft/side + edgeband adhesive</t>
  </si>
  <si>
    <t>Membrane - Prelam</t>
  </si>
  <si>
    <t>Membrane vacuum-pressed</t>
  </si>
  <si>
    <t>NONE - membrane wraps</t>
  </si>
  <si>
    <t>Membrane adhesive (rate TBC)</t>
  </si>
  <si>
    <t>PU - One side</t>
  </si>
  <si>
    <t>PU paint, 1 face</t>
  </si>
  <si>
    <t>NONE - painted over</t>
  </si>
  <si>
    <t>Epoxy 15 + primer 30 + topcoat 50 g/sqft</t>
  </si>
  <si>
    <t>PU - Both sides</t>
  </si>
  <si>
    <t>18mm raw board</t>
  </si>
  <si>
    <t>PU paint, 2 faces</t>
  </si>
  <si>
    <t>Epoxy 15 + primer 30 + topcoat 50 g/sqft, x2</t>
  </si>
  <si>
    <t>Glass - Neon 20 / Neon 50</t>
  </si>
  <si>
    <t>5mm toughened glass</t>
  </si>
  <si>
    <t>Glass in aluminium profile</t>
  </si>
  <si>
    <t>n/a - alu frame</t>
  </si>
  <si>
    <t>Profile cuts + corner connectors</t>
  </si>
  <si>
    <t>CONFLICT: you confirmed no band on Membrane/PU, then said 0.8mm on all panels. Yellow cells show my reading - please settle. See 'Still Open' #1.</t>
  </si>
  <si>
    <t>Per-shutter-leaf BOM quantities</t>
  </si>
  <si>
    <t>Edit the yellow cells. All Qty values are live formulas.</t>
  </si>
  <si>
    <t>Leaf Width (mm)</t>
  </si>
  <si>
    <t>Leaf Height (mm)</t>
  </si>
  <si>
    <t>Number of leaves</t>
  </si>
  <si>
    <t>Membrane oversize per edge (mm)</t>
  </si>
  <si>
    <t>Laminate adhesive (g/sqft/side)</t>
  </si>
  <si>
    <t>PU epoxy (g/sqft/side)</t>
  </si>
  <si>
    <t>CHANGED this round</t>
  </si>
  <si>
    <t>PU base primer (g/sqft/side)</t>
  </si>
  <si>
    <t>PU top coat (g/sqft/side)</t>
  </si>
  <si>
    <t>Neon 20 inset (mm)</t>
  </si>
  <si>
    <t>Neon 50 inset (mm)</t>
  </si>
  <si>
    <t>mm2 per sqft</t>
  </si>
  <si>
    <t>Leaf area (sqft)</t>
  </si>
  <si>
    <t>Leaf perimeter (RMT)</t>
  </si>
  <si>
    <t>Neon 20 glass area (sqft)</t>
  </si>
  <si>
    <t>Neon 50 glass area (sqft)</t>
  </si>
  <si>
    <t>Variant</t>
  </si>
  <si>
    <t>#</t>
  </si>
  <si>
    <t>Component</t>
  </si>
  <si>
    <t>Material spec</t>
  </si>
  <si>
    <t>Basis</t>
  </si>
  <si>
    <t>Qty</t>
  </si>
  <si>
    <t>UoM</t>
  </si>
  <si>
    <t>Note</t>
  </si>
  <si>
    <t>Prelaminated</t>
  </si>
  <si>
    <t>Prelam board 18mm</t>
  </si>
  <si>
    <t>18mm prelaminated board</t>
  </si>
  <si>
    <t>area x leaves</t>
  </si>
  <si>
    <t>sqft</t>
  </si>
  <si>
    <t>Edge band 0.8mm</t>
  </si>
  <si>
    <t>0.8mm PVC, all 4 edges</t>
  </si>
  <si>
    <t>perimeter x leaves</t>
  </si>
  <si>
    <t>RMT</t>
  </si>
  <si>
    <t>No size deduction - pre-milled</t>
  </si>
  <si>
    <t>Edgeband adhesive</t>
  </si>
  <si>
    <t>Hot-melt / EVA</t>
  </si>
  <si>
    <t>Post-laminated</t>
  </si>
  <si>
    <t>Raw board 16mm</t>
  </si>
  <si>
    <t>16mm BWP plywood core</t>
  </si>
  <si>
    <t>16mm core -&gt; 18mm finished</t>
  </si>
  <si>
    <t>Laminate - outer face</t>
  </si>
  <si>
    <t>0.8mm laminate</t>
  </si>
  <si>
    <t>Laminate - inner face</t>
  </si>
  <si>
    <t>Laminate adhesive</t>
  </si>
  <si>
    <t>Fevicol SH / SR998</t>
  </si>
  <si>
    <t>25 g/sqft x 2 sides</t>
  </si>
  <si>
    <t>gm</t>
  </si>
  <si>
    <t>Membrane</t>
  </si>
  <si>
    <t>Prelam gives inner face</t>
  </si>
  <si>
    <t>Membrane foil</t>
  </si>
  <si>
    <t>PVC membrane foil</t>
  </si>
  <si>
    <t>(W+100) x (H+100)</t>
  </si>
  <si>
    <t>+50mm/edge</t>
  </si>
  <si>
    <t>Membrane adhesive</t>
  </si>
  <si>
    <t>Membrane / PUR adhesive</t>
  </si>
  <si>
    <t>RATE TBC - you will set later</t>
  </si>
  <si>
    <t>PU one side</t>
  </si>
  <si>
    <t>Prelam = unpainted inner face</t>
  </si>
  <si>
    <t>Epoxy coat</t>
  </si>
  <si>
    <t>Epoxy</t>
  </si>
  <si>
    <t>15 g/sqft x 1 side</t>
  </si>
  <si>
    <t>Base primer</t>
  </si>
  <si>
    <t>PU base primer</t>
  </si>
  <si>
    <t>30 g/sqft x 1 side</t>
  </si>
  <si>
    <t>Rate changed 40 -&gt; 30</t>
  </si>
  <si>
    <t>Top coat</t>
  </si>
  <si>
    <t>PU top coat</t>
  </si>
  <si>
    <t>50 g/sqft x 1 side</t>
  </si>
  <si>
    <t>Rate changed 70 -&gt; 50</t>
  </si>
  <si>
    <t>PU both sides</t>
  </si>
  <si>
    <t>Raw board 18mm</t>
  </si>
  <si>
    <t>18mm BWP plywood</t>
  </si>
  <si>
    <t>Distinct item from 16mm post-lam core</t>
  </si>
  <si>
    <t>15 g/sqft x 2 sides</t>
  </si>
  <si>
    <t>30 g/sqft x 2 sides</t>
  </si>
  <si>
    <t>50 g/sqft x 2 sides</t>
  </si>
  <si>
    <t>Glass - Neon 20</t>
  </si>
  <si>
    <t>Glass panel 5mm</t>
  </si>
  <si>
    <t>Toughened glass 5mm</t>
  </si>
  <si>
    <t>(W-5) x (H-5)</t>
  </si>
  <si>
    <t>inset 5mm</t>
  </si>
  <si>
    <t>Alu profile Neon 20</t>
  </si>
  <si>
    <t>Neon 20, frame 25mm</t>
  </si>
  <si>
    <t>2 x H + 2 x W</t>
  </si>
  <si>
    <t>mtr</t>
  </si>
  <si>
    <t>Frame width to confirm</t>
  </si>
  <si>
    <t>Corner connectors</t>
  </si>
  <si>
    <t>Glass corner bracket</t>
  </si>
  <si>
    <t>4 per leaf</t>
  </si>
  <si>
    <t>nos</t>
  </si>
  <si>
    <t>Glass - Neon 50</t>
  </si>
  <si>
    <t>(W-8) x (H-8)</t>
  </si>
  <si>
    <t>inset 8mm</t>
  </si>
  <si>
    <t>Alu profile Neon 50</t>
  </si>
  <si>
    <t>Neon 50, frame 50mm</t>
  </si>
  <si>
    <t>Carcass panel list + edge banding</t>
  </si>
  <si>
    <t>Cut sizes are FINISHED sizes - pre-milling removes 0.8mm, the band restores it. No deduction.</t>
  </si>
  <si>
    <t>Cabinet Width W (mm)</t>
  </si>
  <si>
    <t>Cabinet Height H (mm)</t>
  </si>
  <si>
    <t>Cabinet Depth D (mm)</t>
  </si>
  <si>
    <t>Carcass thickness t (mm)</t>
  </si>
  <si>
    <t>Shelf count</t>
  </si>
  <si>
    <t>Panel</t>
  </si>
  <si>
    <t>Width formula</t>
  </si>
  <si>
    <t>Height formula</t>
  </si>
  <si>
    <t>Cut W</t>
  </si>
  <si>
    <t>Cut H</t>
  </si>
  <si>
    <t>Thk</t>
  </si>
  <si>
    <t>Area (sqft)</t>
  </si>
  <si>
    <t>Band?</t>
  </si>
  <si>
    <t>Band (RMT)</t>
  </si>
  <si>
    <t>Side LH/RH</t>
  </si>
  <si>
    <t>D</t>
  </si>
  <si>
    <t>H</t>
  </si>
  <si>
    <t>Yes</t>
  </si>
  <si>
    <t>Top</t>
  </si>
  <si>
    <t>W - 2t</t>
  </si>
  <si>
    <t>Bottom</t>
  </si>
  <si>
    <t>Shelf</t>
  </si>
  <si>
    <t>W - 2t - 1</t>
  </si>
  <si>
    <t>D - 28</t>
  </si>
  <si>
    <t>Back</t>
  </si>
  <si>
    <t>W - 2t + 9</t>
  </si>
  <si>
    <t>H - 2t + 9</t>
  </si>
  <si>
    <t>No</t>
  </si>
  <si>
    <t>TOTAL</t>
  </si>
  <si>
    <t>Consumables driven by the totals above</t>
  </si>
  <si>
    <t>Consumable</t>
  </si>
  <si>
    <t>Applies to</t>
  </si>
  <si>
    <t>sum of banded perimeters</t>
  </si>
  <si>
    <t>All options</t>
  </si>
  <si>
    <t>Laminate 0.8mm x2 faces</t>
  </si>
  <si>
    <t>panel area x 2</t>
  </si>
  <si>
    <t>Option A only</t>
  </si>
  <si>
    <t>Remaining questions</t>
  </si>
  <si>
    <t>Topic</t>
  </si>
  <si>
    <t>The issue</t>
  </si>
  <si>
    <t>My working assumption</t>
  </si>
  <si>
    <t>Edge band conflict</t>
  </si>
  <si>
    <t>You confirmed NO band on Membrane and PU, then said 0.8mm on all panels in carcass and shutters. Both cannot hold for a membrane or PU door.</t>
  </si>
  <si>
    <t>Carcass panels + laminated shutters get 0.8mm; membrane and PU get none</t>
  </si>
  <si>
    <t>All 4 edges, or front only?</t>
  </si>
  <si>
    <t>'All sides of all panels' taken literally bands the rear edge of a side panel against the wall. That is 11.8 RMT per cabinet vs about 2.8 for front edges only.</t>
  </si>
  <si>
    <t>Taken literally - all 4 edges, as written</t>
  </si>
  <si>
    <t>Neon 50 frame width</t>
  </si>
  <si>
    <t>You gave the inset (8mm) and said the profile is 50mm wide. Stone stores a separate 'frame' token (25 for Neon 20).</t>
  </si>
  <si>
    <t>Frame = 50 for Neon 50, 25 for Neon 20</t>
  </si>
  <si>
    <t>Which families use Neon 50</t>
  </si>
  <si>
    <t>Stone has 7 glass families. Is Neon 50 available on all, or only some?</t>
  </si>
  <si>
    <t>Both profiles offered on all glass families</t>
  </si>
  <si>
    <t>Membrane adhesive rate</t>
  </si>
  <si>
    <t>Still to be set.</t>
  </si>
  <si>
    <t>Placeholder - formula ready, rate blank</t>
  </si>
  <si>
    <t>Back panel edge band</t>
  </si>
  <si>
    <t>Back is excluded from banding. Confirm that is because it sits in a groove and no edge shows.</t>
  </si>
  <si>
    <t>No band on back, any option</t>
  </si>
  <si>
    <t>Shelf edge band</t>
  </si>
  <si>
    <t>A shelf shows its front edge only, but 'all panels' would band all four.</t>
  </si>
  <si>
    <t>All 4 edges, per #2</t>
  </si>
  <si>
    <t xml:space="preserve">Your assumption is correct. </t>
  </si>
  <si>
    <t>will define it later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</si>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</sst>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C1A17"/>
      <name val="Arial"/>
      <family val="2"/>
    </font>
    <font>
      <i/>
      <sz val="9"/>
      <color rgb="FFC8521E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7A7269"/>
      <name val="Arial"/>
      <family val="2"/>
    </font>
    <font>
      <sz val="10"/>
      <color rgb="FF0000FF"/>
      <name val="Arial"/>
      <family val="2"/>
    </font>
    <font>
      <b/>
      <sz val="11"/>
      <color rgb="FFC8521E"/>
      <name val="Arial"/>
      <family val="2"/>
    </font>
    <font>
      <b/>
      <sz val="13"/>
      <color rgb="FF1C1A17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5D6B"/>
        <bgColor rgb="FF008080"/>
      </patternFill>
    </fill>
    <fill>
      <patternFill patternType="solid">
        <fgColor rgb="FFEAF1F5"/>
        <bgColor rgb="FFF3EFF5"/>
      </patternFill>
    </fill>
    <fill>
      <patternFill patternType="solid">
        <fgColor rgb="FFF0EEE8"/>
        <bgColor rgb="FFF2F0EB"/>
      </patternFill>
    </fill>
    <fill>
      <patternFill patternType="solid">
        <fgColor rgb="FFFFF2CC"/>
        <bgColor rgb="FFFCE4D6"/>
      </patternFill>
    </fill>
    <fill>
      <patternFill patternType="solid">
        <fgColor rgb="FFF3EFF5"/>
        <bgColor rgb="FFF2F0EB"/>
      </patternFill>
    </fill>
    <fill>
      <patternFill patternType="solid">
        <fgColor rgb="FFFCE4D6"/>
        <bgColor rgb="FFFFF2CC"/>
      </patternFill>
    </fill>
    <fill>
      <patternFill patternType="solid">
        <fgColor rgb="FFE8F0E4"/>
        <bgColor rgb="FFF0EEE8"/>
      </patternFill>
    </fill>
    <fill>
      <patternFill patternType="solid">
        <fgColor rgb="FFFFFF00"/>
        <bgColor rgb="FFFFFF00"/>
      </patternFill>
    </fill>
    <fill>
      <patternFill patternType="solid">
        <fgColor rgb="FFF2F0EB"/>
        <bgColor rgb="FFF0EEE8"/>
      </patternFill>
    </fill>
    <fill>
      <patternFill patternType="solid">
        <fgColor rgb="FFDDE7ED"/>
        <bgColor rgb="FFE8F0E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0" fontId="7" fillId="0" borderId="0" xfId="0" applyFont="1"/>
    <xf numFmtId="0" fontId="5" fillId="0" borderId="0" xfId="0" applyFont="1"/>
    <xf numFmtId="0" fontId="8" fillId="9" borderId="1" xfId="0" applyFont="1" applyFill="1" applyBorder="1"/>
    <xf numFmtId="0" fontId="8" fillId="10" borderId="1" xfId="0" applyFont="1" applyFill="1" applyBorder="1"/>
    <xf numFmtId="164" fontId="0" fillId="0" borderId="1" xfId="0" applyNumberFormat="1" applyBorder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center"/>
    </xf>
    <xf numFmtId="164" fontId="5" fillId="11" borderId="1" xfId="0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D6B"/>
      <rgbColor rgb="FFBFBFBF"/>
      <rgbColor rgb="FF7A7269"/>
      <rgbColor rgb="FF9999FF"/>
      <rgbColor rgb="FF993366"/>
      <rgbColor rgb="FFFFF2CC"/>
      <rgbColor rgb="FFEAF1F5"/>
      <rgbColor rgb="FF660066"/>
      <rgbColor rgb="FFFF8080"/>
      <rgbColor rgb="FF0066CC"/>
      <rgbColor rgb="FFF0E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7ED"/>
      <rgbColor rgb="FFE8F0E4"/>
      <rgbColor rgb="FFF2F0EB"/>
      <rgbColor rgb="FFF3EFF5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8521E"/>
      <rgbColor rgb="FF666699"/>
      <rgbColor rgb="FF969696"/>
      <rgbColor rgb="FF003366"/>
      <rgbColor rgb="FF339966"/>
      <rgbColor rgb="FF003300"/>
      <rgbColor rgb="FF1C1A17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zoomScaleNormal="100" workbookViewId="0"/>
  </sheetViews>
  <sheetFormatPr baseColWidth="10" defaultColWidth="8.6640625" defaultRowHeight="15" x14ac:dyDescent="0.2"/>
  <cols>
    <col min="1" max="1" width="24" customWidth="1"/>
    <col min="2" max="2" width="32" customWidth="1"/>
    <col min="3" max="3" width="28" customWidth="1"/>
    <col min="4" max="4" width="22" customWidth="1"/>
    <col min="5" max="5" width="40" customWidth="1"/>
  </cols>
  <sheetData>
    <row r="1" spans="1:5" ht="18" x14ac:dyDescent="0.2">
      <c r="A1" s="1" t="s">
        <v>0</v>
      </c>
    </row>
    <row r="2" spans="1:5" x14ac:dyDescent="0.2">
      <c r="A2" s="2" t="s">
        <v>1</v>
      </c>
    </row>
    <row r="4" spans="1:5" ht="30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7.75" customHeight="1" x14ac:dyDescent="0.2">
      <c r="A5" s="4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spans="1:5" ht="27.75" customHeight="1" x14ac:dyDescent="0.2">
      <c r="A6" s="4" t="s">
        <v>12</v>
      </c>
      <c r="B6" s="5" t="s">
        <v>13</v>
      </c>
      <c r="C6" s="5" t="s">
        <v>14</v>
      </c>
      <c r="D6" s="5" t="s">
        <v>10</v>
      </c>
      <c r="E6" s="5" t="s">
        <v>15</v>
      </c>
    </row>
    <row r="7" spans="1:5" ht="27.75" customHeight="1" x14ac:dyDescent="0.2">
      <c r="A7" s="6" t="s">
        <v>16</v>
      </c>
      <c r="B7" s="7" t="s">
        <v>8</v>
      </c>
      <c r="C7" s="7" t="s">
        <v>17</v>
      </c>
      <c r="D7" s="8" t="s">
        <v>18</v>
      </c>
      <c r="E7" s="7" t="s">
        <v>19</v>
      </c>
    </row>
    <row r="8" spans="1:5" ht="27.75" customHeight="1" x14ac:dyDescent="0.2">
      <c r="A8" s="9" t="s">
        <v>20</v>
      </c>
      <c r="B8" s="10" t="s">
        <v>8</v>
      </c>
      <c r="C8" s="10" t="s">
        <v>21</v>
      </c>
      <c r="D8" s="8" t="s">
        <v>22</v>
      </c>
      <c r="E8" s="11" t="s">
        <v>23</v>
      </c>
    </row>
    <row r="9" spans="1:5" ht="27.75" customHeight="1" x14ac:dyDescent="0.2">
      <c r="A9" s="9" t="s">
        <v>24</v>
      </c>
      <c r="B9" s="10" t="s">
        <v>25</v>
      </c>
      <c r="C9" s="10" t="s">
        <v>26</v>
      </c>
      <c r="D9" s="8" t="s">
        <v>22</v>
      </c>
      <c r="E9" s="11" t="s">
        <v>27</v>
      </c>
    </row>
    <row r="10" spans="1:5" ht="27.75" customHeight="1" x14ac:dyDescent="0.2">
      <c r="A10" s="12" t="s">
        <v>28</v>
      </c>
      <c r="B10" s="13" t="s">
        <v>29</v>
      </c>
      <c r="C10" s="13" t="s">
        <v>30</v>
      </c>
      <c r="D10" s="13" t="s">
        <v>31</v>
      </c>
      <c r="E10" s="13" t="s">
        <v>32</v>
      </c>
    </row>
    <row r="12" spans="1:5" x14ac:dyDescent="0.2">
      <c r="A12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2" width="5" customWidth="1"/>
    <col min="3" max="3" width="26" customWidth="1"/>
    <col min="4" max="4" width="30" customWidth="1"/>
    <col min="5" max="5" width="26" customWidth="1"/>
    <col min="6" max="6" width="11" customWidth="1"/>
    <col min="7" max="7" width="8" customWidth="1"/>
    <col min="8" max="8" width="30" customWidth="1"/>
  </cols>
  <sheetData>
    <row r="1" spans="1:3" ht="18" x14ac:dyDescent="0.2">
      <c r="A1" s="1" t="s">
        <v>34</v>
      </c>
    </row>
    <row r="2" spans="1:3" x14ac:dyDescent="0.2">
      <c r="A2" s="14" t="s">
        <v>35</v>
      </c>
    </row>
    <row r="4" spans="1:3" x14ac:dyDescent="0.2">
      <c r="A4" s="15" t="s">
        <v>36</v>
      </c>
      <c r="B4" s="16">
        <v>600</v>
      </c>
    </row>
    <row r="5" spans="1:3" x14ac:dyDescent="0.2">
      <c r="A5" s="15" t="s">
        <v>37</v>
      </c>
      <c r="B5" s="16">
        <v>720</v>
      </c>
    </row>
    <row r="6" spans="1:3" x14ac:dyDescent="0.2">
      <c r="A6" s="15" t="s">
        <v>38</v>
      </c>
      <c r="B6" s="16">
        <v>1</v>
      </c>
    </row>
    <row r="7" spans="1:3" x14ac:dyDescent="0.2">
      <c r="A7" s="15" t="s">
        <v>39</v>
      </c>
      <c r="B7" s="16">
        <v>50</v>
      </c>
    </row>
    <row r="8" spans="1:3" x14ac:dyDescent="0.2">
      <c r="A8" s="15" t="s">
        <v>40</v>
      </c>
      <c r="B8" s="16">
        <v>25</v>
      </c>
    </row>
    <row r="9" spans="1:3" x14ac:dyDescent="0.2">
      <c r="A9" s="15" t="s">
        <v>41</v>
      </c>
      <c r="B9" s="16">
        <v>15</v>
      </c>
      <c r="C9" s="2" t="s">
        <v>42</v>
      </c>
    </row>
    <row r="10" spans="1:3" x14ac:dyDescent="0.2">
      <c r="A10" s="15" t="s">
        <v>43</v>
      </c>
      <c r="B10" s="16">
        <v>30</v>
      </c>
      <c r="C10" s="2" t="s">
        <v>42</v>
      </c>
    </row>
    <row r="11" spans="1:3" x14ac:dyDescent="0.2">
      <c r="A11" s="15" t="s">
        <v>44</v>
      </c>
      <c r="B11" s="16">
        <v>50</v>
      </c>
      <c r="C11" s="2" t="s">
        <v>42</v>
      </c>
    </row>
    <row r="12" spans="1:3" x14ac:dyDescent="0.2">
      <c r="A12" s="15" t="s">
        <v>45</v>
      </c>
      <c r="B12" s="16">
        <v>5</v>
      </c>
    </row>
    <row r="13" spans="1:3" x14ac:dyDescent="0.2">
      <c r="A13" s="15" t="s">
        <v>46</v>
      </c>
      <c r="B13" s="16">
        <v>8</v>
      </c>
    </row>
    <row r="14" spans="1:3" x14ac:dyDescent="0.2">
      <c r="A14" s="15" t="s">
        <v>47</v>
      </c>
      <c r="B14" s="17">
        <v>92903.039999999994</v>
      </c>
    </row>
    <row r="16" spans="1:3" x14ac:dyDescent="0.2">
      <c r="A16" s="15" t="s">
        <v>48</v>
      </c>
      <c r="B16" s="18">
        <f>$B$4*$B$5/$B$14</f>
        <v>4.6500093000186</v>
      </c>
    </row>
    <row r="17" spans="1:8" x14ac:dyDescent="0.2">
      <c r="A17" s="15" t="s">
        <v>49</v>
      </c>
      <c r="B17" s="18">
        <f>2*($B$4+$B$5)/1000</f>
        <v>2.64</v>
      </c>
    </row>
    <row r="18" spans="1:8" x14ac:dyDescent="0.2">
      <c r="A18" s="15" t="s">
        <v>50</v>
      </c>
      <c r="B18" s="18">
        <f>($B$4-$B$12)*($B$5-$B$12)/$B$14</f>
        <v>4.5792365890287341</v>
      </c>
    </row>
    <row r="19" spans="1:8" x14ac:dyDescent="0.2">
      <c r="A19" s="15" t="s">
        <v>51</v>
      </c>
      <c r="B19" s="18">
        <f>($B$4-$B$13)*($B$5-$B$13)/$B$14</f>
        <v>4.5370312962848152</v>
      </c>
    </row>
    <row r="21" spans="1:8" ht="30" customHeight="1" x14ac:dyDescent="0.2">
      <c r="A21" s="3" t="s">
        <v>52</v>
      </c>
      <c r="B21" s="3" t="s">
        <v>53</v>
      </c>
      <c r="C21" s="3" t="s">
        <v>54</v>
      </c>
      <c r="D21" s="3" t="s">
        <v>55</v>
      </c>
      <c r="E21" s="3" t="s">
        <v>56</v>
      </c>
      <c r="F21" s="3" t="s">
        <v>57</v>
      </c>
      <c r="G21" s="3" t="s">
        <v>58</v>
      </c>
      <c r="H21" s="3" t="s">
        <v>59</v>
      </c>
    </row>
    <row r="22" spans="1:8" x14ac:dyDescent="0.2">
      <c r="A22" s="4" t="s">
        <v>60</v>
      </c>
      <c r="B22" s="19">
        <v>1</v>
      </c>
      <c r="C22" s="20" t="s">
        <v>61</v>
      </c>
      <c r="D22" s="20" t="s">
        <v>62</v>
      </c>
      <c r="E22" s="20" t="s">
        <v>63</v>
      </c>
      <c r="F22" s="21">
        <f>$B$16*$B$6</f>
        <v>4.6500093000186</v>
      </c>
      <c r="G22" s="19" t="s">
        <v>64</v>
      </c>
      <c r="H22" s="5"/>
    </row>
    <row r="23" spans="1:8" x14ac:dyDescent="0.2">
      <c r="A23" s="4"/>
      <c r="B23" s="19">
        <v>2</v>
      </c>
      <c r="C23" s="20" t="s">
        <v>65</v>
      </c>
      <c r="D23" s="20" t="s">
        <v>66</v>
      </c>
      <c r="E23" s="20" t="s">
        <v>67</v>
      </c>
      <c r="F23" s="21">
        <f>$B$17*$B$6</f>
        <v>2.64</v>
      </c>
      <c r="G23" s="19" t="s">
        <v>68</v>
      </c>
      <c r="H23" s="5" t="s">
        <v>69</v>
      </c>
    </row>
    <row r="24" spans="1:8" x14ac:dyDescent="0.2">
      <c r="A24" s="4"/>
      <c r="B24" s="19">
        <v>3</v>
      </c>
      <c r="C24" s="20" t="s">
        <v>70</v>
      </c>
      <c r="D24" s="20" t="s">
        <v>71</v>
      </c>
      <c r="E24" s="20" t="s">
        <v>67</v>
      </c>
      <c r="F24" s="21">
        <f>$B$17*$B$6</f>
        <v>2.64</v>
      </c>
      <c r="G24" s="19" t="s">
        <v>68</v>
      </c>
      <c r="H24" s="5"/>
    </row>
    <row r="25" spans="1:8" x14ac:dyDescent="0.2">
      <c r="A25" s="4" t="s">
        <v>72</v>
      </c>
      <c r="B25" s="19">
        <v>1</v>
      </c>
      <c r="C25" s="20" t="s">
        <v>73</v>
      </c>
      <c r="D25" s="20" t="s">
        <v>74</v>
      </c>
      <c r="E25" s="20" t="s">
        <v>63</v>
      </c>
      <c r="F25" s="21">
        <f>$B$16*$B$6</f>
        <v>4.6500093000186</v>
      </c>
      <c r="G25" s="19" t="s">
        <v>64</v>
      </c>
      <c r="H25" s="5" t="s">
        <v>75</v>
      </c>
    </row>
    <row r="26" spans="1:8" x14ac:dyDescent="0.2">
      <c r="A26" s="4"/>
      <c r="B26" s="19">
        <v>2</v>
      </c>
      <c r="C26" s="20" t="s">
        <v>76</v>
      </c>
      <c r="D26" s="20" t="s">
        <v>77</v>
      </c>
      <c r="E26" s="20" t="s">
        <v>63</v>
      </c>
      <c r="F26" s="21">
        <f>$B$16*$B$6</f>
        <v>4.6500093000186</v>
      </c>
      <c r="G26" s="19" t="s">
        <v>64</v>
      </c>
      <c r="H26" s="5"/>
    </row>
    <row r="27" spans="1:8" x14ac:dyDescent="0.2">
      <c r="A27" s="4"/>
      <c r="B27" s="19">
        <v>3</v>
      </c>
      <c r="C27" s="20" t="s">
        <v>78</v>
      </c>
      <c r="D27" s="20" t="s">
        <v>77</v>
      </c>
      <c r="E27" s="20" t="s">
        <v>63</v>
      </c>
      <c r="F27" s="21">
        <f>$B$16*$B$6</f>
        <v>4.6500093000186</v>
      </c>
      <c r="G27" s="19" t="s">
        <v>64</v>
      </c>
      <c r="H27" s="5"/>
    </row>
    <row r="28" spans="1:8" x14ac:dyDescent="0.2">
      <c r="A28" s="4"/>
      <c r="B28" s="19">
        <v>4</v>
      </c>
      <c r="C28" s="20" t="s">
        <v>79</v>
      </c>
      <c r="D28" s="20" t="s">
        <v>80</v>
      </c>
      <c r="E28" s="20" t="s">
        <v>81</v>
      </c>
      <c r="F28" s="21">
        <f>$B$16*$B$8*2*$B$6</f>
        <v>232.50046500093001</v>
      </c>
      <c r="G28" s="19" t="s">
        <v>82</v>
      </c>
      <c r="H28" s="5"/>
    </row>
    <row r="29" spans="1:8" x14ac:dyDescent="0.2">
      <c r="A29" s="4"/>
      <c r="B29" s="19">
        <v>5</v>
      </c>
      <c r="C29" s="20" t="s">
        <v>65</v>
      </c>
      <c r="D29" s="20" t="s">
        <v>66</v>
      </c>
      <c r="E29" s="20" t="s">
        <v>67</v>
      </c>
      <c r="F29" s="21">
        <f>$B$17*$B$6</f>
        <v>2.64</v>
      </c>
      <c r="G29" s="19" t="s">
        <v>68</v>
      </c>
      <c r="H29" s="5"/>
    </row>
    <row r="30" spans="1:8" x14ac:dyDescent="0.2">
      <c r="A30" s="4"/>
      <c r="B30" s="19">
        <v>6</v>
      </c>
      <c r="C30" s="20" t="s">
        <v>70</v>
      </c>
      <c r="D30" s="20" t="s">
        <v>71</v>
      </c>
      <c r="E30" s="20" t="s">
        <v>67</v>
      </c>
      <c r="F30" s="21">
        <f>$B$17*$B$6</f>
        <v>2.64</v>
      </c>
      <c r="G30" s="19" t="s">
        <v>68</v>
      </c>
      <c r="H30" s="5"/>
    </row>
    <row r="31" spans="1:8" x14ac:dyDescent="0.2">
      <c r="A31" s="6" t="s">
        <v>83</v>
      </c>
      <c r="B31" s="22">
        <v>1</v>
      </c>
      <c r="C31" s="23" t="s">
        <v>61</v>
      </c>
      <c r="D31" s="23" t="s">
        <v>62</v>
      </c>
      <c r="E31" s="23" t="s">
        <v>63</v>
      </c>
      <c r="F31" s="24">
        <f>$B$16*$B$6</f>
        <v>4.6500093000186</v>
      </c>
      <c r="G31" s="22" t="s">
        <v>64</v>
      </c>
      <c r="H31" s="7" t="s">
        <v>84</v>
      </c>
    </row>
    <row r="32" spans="1:8" x14ac:dyDescent="0.2">
      <c r="A32" s="6"/>
      <c r="B32" s="22">
        <v>2</v>
      </c>
      <c r="C32" s="23" t="s">
        <v>85</v>
      </c>
      <c r="D32" s="23" t="s">
        <v>86</v>
      </c>
      <c r="E32" s="23" t="s">
        <v>87</v>
      </c>
      <c r="F32" s="24">
        <f>($B$4+2*$B$7)*($B$5+2*$B$7)/$B$14*$B$6</f>
        <v>6.1784845791913812</v>
      </c>
      <c r="G32" s="22" t="s">
        <v>64</v>
      </c>
      <c r="H32" s="7" t="s">
        <v>88</v>
      </c>
    </row>
    <row r="33" spans="1:8" x14ac:dyDescent="0.2">
      <c r="A33" s="6"/>
      <c r="B33" s="22">
        <v>3</v>
      </c>
      <c r="C33" s="23" t="s">
        <v>89</v>
      </c>
      <c r="D33" s="23" t="s">
        <v>90</v>
      </c>
      <c r="E33" s="23" t="s">
        <v>63</v>
      </c>
      <c r="F33" s="24">
        <f>$B$16*$B$6</f>
        <v>4.6500093000186</v>
      </c>
      <c r="G33" s="22" t="s">
        <v>64</v>
      </c>
      <c r="H33" s="8" t="s">
        <v>91</v>
      </c>
    </row>
    <row r="34" spans="1:8" x14ac:dyDescent="0.2">
      <c r="A34" s="9" t="s">
        <v>92</v>
      </c>
      <c r="B34" s="25">
        <v>1</v>
      </c>
      <c r="C34" s="26" t="s">
        <v>61</v>
      </c>
      <c r="D34" s="26" t="s">
        <v>62</v>
      </c>
      <c r="E34" s="26" t="s">
        <v>63</v>
      </c>
      <c r="F34" s="27">
        <f>$B$16*$B$6</f>
        <v>4.6500093000186</v>
      </c>
      <c r="G34" s="25" t="s">
        <v>64</v>
      </c>
      <c r="H34" s="10" t="s">
        <v>93</v>
      </c>
    </row>
    <row r="35" spans="1:8" x14ac:dyDescent="0.2">
      <c r="A35" s="9"/>
      <c r="B35" s="25">
        <v>2</v>
      </c>
      <c r="C35" s="26" t="s">
        <v>94</v>
      </c>
      <c r="D35" s="26" t="s">
        <v>95</v>
      </c>
      <c r="E35" s="26" t="s">
        <v>96</v>
      </c>
      <c r="F35" s="27">
        <f>$B$16*$B$9*$B$6</f>
        <v>69.750139500279005</v>
      </c>
      <c r="G35" s="25" t="s">
        <v>82</v>
      </c>
      <c r="H35" s="10"/>
    </row>
    <row r="36" spans="1:8" x14ac:dyDescent="0.2">
      <c r="A36" s="9"/>
      <c r="B36" s="25">
        <v>3</v>
      </c>
      <c r="C36" s="26" t="s">
        <v>97</v>
      </c>
      <c r="D36" s="26" t="s">
        <v>98</v>
      </c>
      <c r="E36" s="26" t="s">
        <v>99</v>
      </c>
      <c r="F36" s="27">
        <f>$B$16*$B$10*$B$6</f>
        <v>139.50027900055801</v>
      </c>
      <c r="G36" s="25" t="s">
        <v>82</v>
      </c>
      <c r="H36" s="11" t="s">
        <v>100</v>
      </c>
    </row>
    <row r="37" spans="1:8" x14ac:dyDescent="0.2">
      <c r="A37" s="9"/>
      <c r="B37" s="25">
        <v>4</v>
      </c>
      <c r="C37" s="26" t="s">
        <v>101</v>
      </c>
      <c r="D37" s="26" t="s">
        <v>102</v>
      </c>
      <c r="E37" s="26" t="s">
        <v>103</v>
      </c>
      <c r="F37" s="27">
        <f>$B$16*$B$11*$B$6</f>
        <v>232.50046500093001</v>
      </c>
      <c r="G37" s="25" t="s">
        <v>82</v>
      </c>
      <c r="H37" s="11" t="s">
        <v>104</v>
      </c>
    </row>
    <row r="38" spans="1:8" ht="28" x14ac:dyDescent="0.2">
      <c r="A38" s="9" t="s">
        <v>105</v>
      </c>
      <c r="B38" s="25">
        <v>1</v>
      </c>
      <c r="C38" s="26" t="s">
        <v>106</v>
      </c>
      <c r="D38" s="26" t="s">
        <v>107</v>
      </c>
      <c r="E38" s="26" t="s">
        <v>63</v>
      </c>
      <c r="F38" s="27">
        <f>$B$16*$B$6</f>
        <v>4.6500093000186</v>
      </c>
      <c r="G38" s="25" t="s">
        <v>64</v>
      </c>
      <c r="H38" s="10" t="s">
        <v>108</v>
      </c>
    </row>
    <row r="39" spans="1:8" x14ac:dyDescent="0.2">
      <c r="A39" s="9"/>
      <c r="B39" s="25">
        <v>2</v>
      </c>
      <c r="C39" s="26" t="s">
        <v>94</v>
      </c>
      <c r="D39" s="26" t="s">
        <v>95</v>
      </c>
      <c r="E39" s="26" t="s">
        <v>109</v>
      </c>
      <c r="F39" s="27">
        <f>$B$16*$B$9*2*$B$6</f>
        <v>139.50027900055801</v>
      </c>
      <c r="G39" s="25" t="s">
        <v>82</v>
      </c>
      <c r="H39" s="10"/>
    </row>
    <row r="40" spans="1:8" x14ac:dyDescent="0.2">
      <c r="A40" s="9"/>
      <c r="B40" s="25">
        <v>3</v>
      </c>
      <c r="C40" s="26" t="s">
        <v>97</v>
      </c>
      <c r="D40" s="26" t="s">
        <v>98</v>
      </c>
      <c r="E40" s="26" t="s">
        <v>110</v>
      </c>
      <c r="F40" s="27">
        <f>$B$16*$B$10*2*$B$6</f>
        <v>279.00055800111602</v>
      </c>
      <c r="G40" s="25" t="s">
        <v>82</v>
      </c>
      <c r="H40" s="10"/>
    </row>
    <row r="41" spans="1:8" x14ac:dyDescent="0.2">
      <c r="A41" s="9"/>
      <c r="B41" s="25">
        <v>4</v>
      </c>
      <c r="C41" s="26" t="s">
        <v>101</v>
      </c>
      <c r="D41" s="26" t="s">
        <v>102</v>
      </c>
      <c r="E41" s="26" t="s">
        <v>111</v>
      </c>
      <c r="F41" s="27">
        <f>$B$16*$B$11*2*$B$6</f>
        <v>465.00093000186001</v>
      </c>
      <c r="G41" s="25" t="s">
        <v>82</v>
      </c>
      <c r="H41" s="10"/>
    </row>
    <row r="42" spans="1:8" x14ac:dyDescent="0.2">
      <c r="A42" s="12" t="s">
        <v>112</v>
      </c>
      <c r="B42" s="28">
        <v>1</v>
      </c>
      <c r="C42" s="29" t="s">
        <v>113</v>
      </c>
      <c r="D42" s="29" t="s">
        <v>114</v>
      </c>
      <c r="E42" s="29" t="s">
        <v>115</v>
      </c>
      <c r="F42" s="30">
        <f>$B$18*$B$6</f>
        <v>4.5792365890287341</v>
      </c>
      <c r="G42" s="28" t="s">
        <v>64</v>
      </c>
      <c r="H42" s="13" t="s">
        <v>116</v>
      </c>
    </row>
    <row r="43" spans="1:8" x14ac:dyDescent="0.2">
      <c r="A43" s="12"/>
      <c r="B43" s="28">
        <v>2</v>
      </c>
      <c r="C43" s="29" t="s">
        <v>117</v>
      </c>
      <c r="D43" s="29" t="s">
        <v>118</v>
      </c>
      <c r="E43" s="29" t="s">
        <v>119</v>
      </c>
      <c r="F43" s="30">
        <f>(2*$B$5+2*$B$4)/1000*$B$6</f>
        <v>2.64</v>
      </c>
      <c r="G43" s="28" t="s">
        <v>120</v>
      </c>
      <c r="H43" s="8" t="s">
        <v>121</v>
      </c>
    </row>
    <row r="44" spans="1:8" x14ac:dyDescent="0.2">
      <c r="A44" s="12"/>
      <c r="B44" s="28">
        <v>3</v>
      </c>
      <c r="C44" s="29" t="s">
        <v>122</v>
      </c>
      <c r="D44" s="29" t="s">
        <v>123</v>
      </c>
      <c r="E44" s="29" t="s">
        <v>124</v>
      </c>
      <c r="F44" s="30">
        <f>4*$B$6</f>
        <v>4</v>
      </c>
      <c r="G44" s="28" t="s">
        <v>125</v>
      </c>
      <c r="H44" s="13"/>
    </row>
    <row r="45" spans="1:8" x14ac:dyDescent="0.2">
      <c r="A45" s="12" t="s">
        <v>126</v>
      </c>
      <c r="B45" s="28">
        <v>1</v>
      </c>
      <c r="C45" s="29" t="s">
        <v>113</v>
      </c>
      <c r="D45" s="29" t="s">
        <v>114</v>
      </c>
      <c r="E45" s="29" t="s">
        <v>127</v>
      </c>
      <c r="F45" s="30">
        <f>$B$19*$B$6</f>
        <v>4.5370312962848152</v>
      </c>
      <c r="G45" s="28" t="s">
        <v>64</v>
      </c>
      <c r="H45" s="13" t="s">
        <v>128</v>
      </c>
    </row>
    <row r="46" spans="1:8" x14ac:dyDescent="0.2">
      <c r="A46" s="12"/>
      <c r="B46" s="28">
        <v>2</v>
      </c>
      <c r="C46" s="29" t="s">
        <v>129</v>
      </c>
      <c r="D46" s="29" t="s">
        <v>130</v>
      </c>
      <c r="E46" s="29" t="s">
        <v>119</v>
      </c>
      <c r="F46" s="30">
        <f>(2*$B$5+2*$B$4)/1000*$B$6</f>
        <v>2.64</v>
      </c>
      <c r="G46" s="28" t="s">
        <v>120</v>
      </c>
      <c r="H46" s="13"/>
    </row>
    <row r="47" spans="1:8" x14ac:dyDescent="0.2">
      <c r="A47" s="12"/>
      <c r="B47" s="28">
        <v>3</v>
      </c>
      <c r="C47" s="29" t="s">
        <v>122</v>
      </c>
      <c r="D47" s="29" t="s">
        <v>123</v>
      </c>
      <c r="E47" s="29" t="s">
        <v>124</v>
      </c>
      <c r="F47" s="30">
        <f>4*$B$6</f>
        <v>4</v>
      </c>
      <c r="G47" s="28" t="s">
        <v>125</v>
      </c>
      <c r="H47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24" customWidth="1"/>
    <col min="3" max="3" width="26" customWidth="1"/>
    <col min="4" max="5" width="10" customWidth="1"/>
    <col min="6" max="7" width="7" customWidth="1"/>
    <col min="8" max="8" width="13" customWidth="1"/>
    <col min="9" max="9" width="9" customWidth="1"/>
    <col min="10" max="10" width="13" customWidth="1"/>
  </cols>
  <sheetData>
    <row r="1" spans="1:10" ht="18" x14ac:dyDescent="0.2">
      <c r="A1" s="1" t="s">
        <v>131</v>
      </c>
    </row>
    <row r="2" spans="1:10" x14ac:dyDescent="0.2">
      <c r="A2" s="2" t="s">
        <v>132</v>
      </c>
    </row>
    <row r="4" spans="1:10" x14ac:dyDescent="0.2">
      <c r="A4" s="15" t="s">
        <v>133</v>
      </c>
      <c r="B4" s="16">
        <v>600</v>
      </c>
    </row>
    <row r="5" spans="1:10" x14ac:dyDescent="0.2">
      <c r="A5" s="15" t="s">
        <v>134</v>
      </c>
      <c r="B5" s="16">
        <v>720</v>
      </c>
    </row>
    <row r="6" spans="1:10" x14ac:dyDescent="0.2">
      <c r="A6" s="15" t="s">
        <v>135</v>
      </c>
      <c r="B6" s="16">
        <v>560</v>
      </c>
    </row>
    <row r="7" spans="1:10" x14ac:dyDescent="0.2">
      <c r="A7" s="15" t="s">
        <v>136</v>
      </c>
      <c r="B7" s="16">
        <v>18</v>
      </c>
    </row>
    <row r="8" spans="1:10" x14ac:dyDescent="0.2">
      <c r="A8" s="15" t="s">
        <v>137</v>
      </c>
      <c r="B8" s="16">
        <v>1</v>
      </c>
    </row>
    <row r="9" spans="1:10" x14ac:dyDescent="0.2">
      <c r="A9" s="15" t="s">
        <v>47</v>
      </c>
      <c r="B9" s="17">
        <v>92903.039999999994</v>
      </c>
    </row>
    <row r="11" spans="1:10" ht="30" customHeight="1" x14ac:dyDescent="0.2">
      <c r="A11" s="3" t="s">
        <v>138</v>
      </c>
      <c r="B11" s="3" t="s">
        <v>139</v>
      </c>
      <c r="C11" s="3" t="s">
        <v>140</v>
      </c>
      <c r="D11" s="3" t="s">
        <v>141</v>
      </c>
      <c r="E11" s="3" t="s">
        <v>142</v>
      </c>
      <c r="F11" s="3" t="s">
        <v>57</v>
      </c>
      <c r="G11" s="3" t="s">
        <v>143</v>
      </c>
      <c r="H11" s="3" t="s">
        <v>144</v>
      </c>
      <c r="I11" s="3" t="s">
        <v>145</v>
      </c>
      <c r="J11" s="3" t="s">
        <v>146</v>
      </c>
    </row>
    <row r="12" spans="1:10" x14ac:dyDescent="0.2">
      <c r="A12" s="4" t="s">
        <v>147</v>
      </c>
      <c r="B12" s="20" t="s">
        <v>148</v>
      </c>
      <c r="C12" s="20" t="s">
        <v>149</v>
      </c>
      <c r="D12" s="19">
        <f>$B$6</f>
        <v>560</v>
      </c>
      <c r="E12" s="19">
        <f>$B$5</f>
        <v>720</v>
      </c>
      <c r="F12" s="19">
        <v>2</v>
      </c>
      <c r="G12" s="19">
        <v>18</v>
      </c>
      <c r="H12" s="21">
        <f>D12*E12/$B$9*F12</f>
        <v>8.6800173600347215</v>
      </c>
      <c r="I12" s="19" t="s">
        <v>150</v>
      </c>
      <c r="J12" s="21">
        <f>IF(I12="Yes",2*(D12+E12)/1000*F12,0)</f>
        <v>5.12</v>
      </c>
    </row>
    <row r="13" spans="1:10" x14ac:dyDescent="0.2">
      <c r="A13" s="4" t="s">
        <v>151</v>
      </c>
      <c r="B13" s="20" t="s">
        <v>152</v>
      </c>
      <c r="C13" s="20" t="s">
        <v>148</v>
      </c>
      <c r="D13" s="19">
        <f>$B$4-2*$B$7</f>
        <v>564</v>
      </c>
      <c r="E13" s="19">
        <f>$B$6</f>
        <v>560</v>
      </c>
      <c r="F13" s="19">
        <v>1</v>
      </c>
      <c r="G13" s="19">
        <v>18</v>
      </c>
      <c r="H13" s="21">
        <f>D13*E13/$B$9*F13</f>
        <v>3.3996734660135988</v>
      </c>
      <c r="I13" s="19" t="s">
        <v>150</v>
      </c>
      <c r="J13" s="21">
        <f>IF(I13="Yes",2*(D13+E13)/1000*F13,0)</f>
        <v>2.2480000000000002</v>
      </c>
    </row>
    <row r="14" spans="1:10" x14ac:dyDescent="0.2">
      <c r="A14" s="4" t="s">
        <v>153</v>
      </c>
      <c r="B14" s="20" t="s">
        <v>152</v>
      </c>
      <c r="C14" s="20" t="s">
        <v>148</v>
      </c>
      <c r="D14" s="19">
        <f>$B$4-2*$B$7</f>
        <v>564</v>
      </c>
      <c r="E14" s="19">
        <f>$B$6</f>
        <v>560</v>
      </c>
      <c r="F14" s="19">
        <v>1</v>
      </c>
      <c r="G14" s="19">
        <v>18</v>
      </c>
      <c r="H14" s="21">
        <f>D14*E14/$B$9*F14</f>
        <v>3.3996734660135988</v>
      </c>
      <c r="I14" s="19" t="s">
        <v>150</v>
      </c>
      <c r="J14" s="21">
        <f>IF(I14="Yes",2*(D14+E14)/1000*F14,0)</f>
        <v>2.2480000000000002</v>
      </c>
    </row>
    <row r="15" spans="1:10" x14ac:dyDescent="0.2">
      <c r="A15" s="4" t="s">
        <v>154</v>
      </c>
      <c r="B15" s="20" t="s">
        <v>155</v>
      </c>
      <c r="C15" s="20" t="s">
        <v>156</v>
      </c>
      <c r="D15" s="19">
        <f>$B$4-2*$B$7-1</f>
        <v>563</v>
      </c>
      <c r="E15" s="19">
        <f>$B$6-28</f>
        <v>532</v>
      </c>
      <c r="F15" s="19">
        <f>$B$8</f>
        <v>1</v>
      </c>
      <c r="G15" s="19">
        <v>18</v>
      </c>
      <c r="H15" s="21">
        <f>D15*E15/$B$9*F15</f>
        <v>3.2239633923712292</v>
      </c>
      <c r="I15" s="19" t="s">
        <v>150</v>
      </c>
      <c r="J15" s="21">
        <f>IF(I15="Yes",2*(D15+E15)/1000*F15,0)</f>
        <v>2.19</v>
      </c>
    </row>
    <row r="16" spans="1:10" x14ac:dyDescent="0.2">
      <c r="A16" s="6" t="s">
        <v>157</v>
      </c>
      <c r="B16" s="23" t="s">
        <v>158</v>
      </c>
      <c r="C16" s="23" t="s">
        <v>159</v>
      </c>
      <c r="D16" s="22">
        <f>$B$4-2*$B$7+9</f>
        <v>573</v>
      </c>
      <c r="E16" s="22">
        <f>$B$5-2*$B$7+9</f>
        <v>693</v>
      </c>
      <c r="F16" s="22">
        <v>1</v>
      </c>
      <c r="G16" s="22">
        <v>8</v>
      </c>
      <c r="H16" s="24">
        <f>D16*E16/$B$9*F16</f>
        <v>4.274230423460847</v>
      </c>
      <c r="I16" s="22" t="s">
        <v>160</v>
      </c>
      <c r="J16" s="24">
        <f>IF(I16="Yes",2*(D16+E16)/1000*F16,0)</f>
        <v>0</v>
      </c>
    </row>
    <row r="17" spans="1:10" x14ac:dyDescent="0.2">
      <c r="A17" s="31" t="s">
        <v>161</v>
      </c>
      <c r="B17" s="31"/>
      <c r="C17" s="31"/>
      <c r="D17" s="32"/>
      <c r="E17" s="32"/>
      <c r="F17" s="32"/>
      <c r="G17" s="32"/>
      <c r="H17" s="33">
        <f>SUM(H12:H16)</f>
        <v>22.977558107893994</v>
      </c>
      <c r="I17" s="32"/>
      <c r="J17" s="33">
        <f>SUM(J12:J16)</f>
        <v>11.805999999999999</v>
      </c>
    </row>
    <row r="19" spans="1:10" x14ac:dyDescent="0.2">
      <c r="A19" s="34" t="s">
        <v>162</v>
      </c>
    </row>
    <row r="20" spans="1:10" ht="30" customHeight="1" x14ac:dyDescent="0.2">
      <c r="A20" s="3" t="s">
        <v>163</v>
      </c>
      <c r="B20" s="3" t="s">
        <v>56</v>
      </c>
      <c r="C20" s="3" t="s">
        <v>57</v>
      </c>
      <c r="D20" s="3" t="s">
        <v>58</v>
      </c>
      <c r="E20" s="3" t="s">
        <v>164</v>
      </c>
    </row>
    <row r="21" spans="1:10" x14ac:dyDescent="0.2">
      <c r="A21" s="4" t="s">
        <v>65</v>
      </c>
      <c r="B21" s="20" t="s">
        <v>165</v>
      </c>
      <c r="C21" s="21">
        <f>J17</f>
        <v>11.805999999999999</v>
      </c>
      <c r="D21" s="19" t="s">
        <v>68</v>
      </c>
      <c r="E21" s="20" t="s">
        <v>166</v>
      </c>
    </row>
    <row r="22" spans="1:10" x14ac:dyDescent="0.2">
      <c r="A22" s="4" t="s">
        <v>70</v>
      </c>
      <c r="B22" s="20" t="s">
        <v>165</v>
      </c>
      <c r="C22" s="21">
        <f>J17</f>
        <v>11.805999999999999</v>
      </c>
      <c r="D22" s="19" t="s">
        <v>68</v>
      </c>
      <c r="E22" s="20" t="s">
        <v>166</v>
      </c>
    </row>
    <row r="23" spans="1:10" x14ac:dyDescent="0.2">
      <c r="A23" s="9" t="s">
        <v>167</v>
      </c>
      <c r="B23" s="26" t="s">
        <v>168</v>
      </c>
      <c r="C23" s="27">
        <f>H17*2</f>
        <v>45.955116215787989</v>
      </c>
      <c r="D23" s="25" t="s">
        <v>64</v>
      </c>
      <c r="E23" s="26" t="s">
        <v>169</v>
      </c>
    </row>
    <row r="24" spans="1:10" x14ac:dyDescent="0.2">
      <c r="A24" s="9" t="s">
        <v>79</v>
      </c>
      <c r="B24" s="26" t="s">
        <v>81</v>
      </c>
      <c r="C24" s="27">
        <f>H17*25*2</f>
        <v>1148.8779053946996</v>
      </c>
      <c r="D24" s="25" t="s">
        <v>82</v>
      </c>
      <c r="E24" s="26" t="s">
        <v>169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tabSelected="1" zoomScale="181" zoomScaleNormal="100" workbookViewId="0">
      <selection activeCell="E4" sqref="E4"/>
    </sheetView>
  </sheetViews>
  <sheetFormatPr baseColWidth="10" defaultColWidth="8.6640625" defaultRowHeight="15" x14ac:dyDescent="0.2"/>
  <cols>
    <col min="1" max="1" width="5" customWidth="1"/>
    <col min="2" max="2" width="24" customWidth="1"/>
    <col min="3" max="3" width="52" customWidth="1"/>
    <col min="4" max="4" width="44" customWidth="1"/>
    <col min="5" max="5" width="10" bestFit="1" customWidth="1"/>
  </cols>
  <sheetData>
    <row r="1" spans="1:5" ht="17" x14ac:dyDescent="0.2">
      <c r="A1" s="35" t="s">
        <v>170</v>
      </c>
    </row>
    <row r="3" spans="1:5" ht="30" customHeight="1" x14ac:dyDescent="0.2">
      <c r="A3" s="3" t="s">
        <v>53</v>
      </c>
      <c r="B3" s="3" t="s">
        <v>171</v>
      </c>
      <c r="C3" s="3" t="s">
        <v>172</v>
      </c>
      <c r="D3" s="3" t="s">
        <v>173</v>
      </c>
      <c r="E3" s="40" t="s">
        <v>197</v>
      </c>
    </row>
    <row r="4" spans="1:5" ht="43.5" customHeight="1" x14ac:dyDescent="0.2">
      <c r="A4" s="36">
        <v>1</v>
      </c>
      <c r="B4" s="37" t="s">
        <v>174</v>
      </c>
      <c r="C4" s="37" t="s">
        <v>175</v>
      </c>
      <c r="D4" s="37" t="s">
        <v>176</v>
      </c>
      <c r="E4" s="38" t="s">
        <v>195</v>
      </c>
    </row>
    <row r="5" spans="1:5" ht="43.5" customHeight="1" x14ac:dyDescent="0.2">
      <c r="A5" s="36">
        <v>2</v>
      </c>
      <c r="B5" s="37" t="s">
        <v>177</v>
      </c>
      <c r="C5" s="37" t="s">
        <v>178</v>
      </c>
      <c r="D5" s="37" t="s">
        <v>179</v>
      </c>
      <c r="E5" s="38" t="s">
        <v>195</v>
      </c>
    </row>
    <row r="6" spans="1:5" ht="43.5" customHeight="1" x14ac:dyDescent="0.2">
      <c r="A6" s="36">
        <v>3</v>
      </c>
      <c r="B6" s="37" t="s">
        <v>180</v>
      </c>
      <c r="C6" s="37" t="s">
        <v>181</v>
      </c>
      <c r="D6" s="37" t="s">
        <v>182</v>
      </c>
      <c r="E6" s="38" t="s">
        <v>195</v>
      </c>
    </row>
    <row r="7" spans="1:5" ht="43.5" customHeight="1" x14ac:dyDescent="0.2">
      <c r="A7" s="36">
        <v>4</v>
      </c>
      <c r="B7" s="37" t="s">
        <v>183</v>
      </c>
      <c r="C7" s="37" t="s">
        <v>184</v>
      </c>
      <c r="D7" s="37" t="s">
        <v>185</v>
      </c>
      <c r="E7" s="38" t="s">
        <v>195</v>
      </c>
    </row>
    <row r="8" spans="1:5" ht="43.5" customHeight="1" x14ac:dyDescent="0.2">
      <c r="A8" s="36">
        <v>5</v>
      </c>
      <c r="B8" s="37" t="s">
        <v>186</v>
      </c>
      <c r="C8" s="37" t="s">
        <v>187</v>
      </c>
      <c r="D8" s="37" t="s">
        <v>188</v>
      </c>
      <c r="E8" s="39" t="s">
        <v>196</v>
      </c>
    </row>
    <row r="9" spans="1:5" ht="43.5" customHeight="1" x14ac:dyDescent="0.2">
      <c r="A9" s="36">
        <v>6</v>
      </c>
      <c r="B9" s="37" t="s">
        <v>189</v>
      </c>
      <c r="C9" s="37" t="s">
        <v>190</v>
      </c>
      <c r="D9" s="37" t="s">
        <v>191</v>
      </c>
      <c r="E9" s="38" t="s">
        <v>195</v>
      </c>
    </row>
    <row r="10" spans="1:5" ht="43.5" customHeight="1" x14ac:dyDescent="0.2">
      <c r="A10" s="36">
        <v>7</v>
      </c>
      <c r="B10" s="37" t="s">
        <v>192</v>
      </c>
      <c r="C10" s="37" t="s">
        <v>193</v>
      </c>
      <c r="D10" s="37" t="s">
        <v>194</v>
      </c>
      <c r="E10" s="38" t="s">
        <v>195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Shutter Types</vt:lpstr>
      <vt:lpstr>Shutter BOM</vt:lpstr>
      <vt:lpstr>Carcass BOM</vt:lpstr>
      <vt:lpstr>Still Open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Harshuu</cp:lastModifiedBy>
  <cp:revision>0</cp:revision>
  <dcterms:created xsi:type="dcterms:W3CDTF">2026-09-02T12:12:36Z</dcterms:created>
  <dcterms:modified xsi:type="dcterms:W3CDTF">2026-09-02T12:17:16Z</dcterms:modified>
  <dc:language>en-US</dc:language>
</cp:coreProperties>
</file>
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utter Types" sheetId="1" state="visible" r:id="rId3"/>
    <sheet name="BOM Logic" sheetId="2" state="visible" r:id="rId4"/>
    <sheet name="Open 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<sst xmlns="http://schemas.openxmlformats.org/spreadsheetml/2006/main" count="179" uniqueCount="123">
  <si>
    <t xml:space="preserve">Shutter Types - my reading of the handwritten note</t>
  </si>
  <si>
    <t xml:space="preserve">Five buildable variants across three types. 'Board' resolves to either PRELAM or RAW depending on variant.</t>
  </si>
  <si>
    <t xml:space="preserve">Type</t>
  </si>
  <si>
    <t xml:space="preserve">Variant</t>
  </si>
  <si>
    <t xml:space="preserve">Board Type</t>
  </si>
  <si>
    <t xml:space="preserve">Face Treatment</t>
  </si>
  <si>
    <t xml:space="preserve">Edge Treatment</t>
  </si>
  <si>
    <t xml:space="preserve">Consumables</t>
  </si>
  <si>
    <t xml:space="preserve">Glue UoM</t>
  </si>
  <si>
    <t xml:space="preserve">1. Laminated</t>
  </si>
  <si>
    <t xml:space="preserve">Prelaminated</t>
  </si>
  <si>
    <t xml:space="preserve">Prelam board</t>
  </si>
  <si>
    <t xml:space="preserve">None - board arrives laminated</t>
  </si>
  <si>
    <t xml:space="preserve">PVC edge band 2mm</t>
  </si>
  <si>
    <t xml:space="preserve">Edgeband adhesive</t>
  </si>
  <si>
    <t xml:space="preserve">RMT</t>
  </si>
  <si>
    <t xml:space="preserve">Post-laminated</t>
  </si>
  <si>
    <t xml:space="preserve">RAW board</t>
  </si>
  <si>
    <t xml:space="preserve">Laminate pasted (outer + liner)</t>
  </si>
  <si>
    <t xml:space="preserve">Laminate adhesive + edgeband adhesive</t>
  </si>
  <si>
    <t xml:space="preserve">Sqft + RMT</t>
  </si>
  <si>
    <t xml:space="preserve">2. Membrane</t>
  </si>
  <si>
    <t xml:space="preserve">Prelam</t>
  </si>
  <si>
    <t xml:space="preserve">Membrane vacuum-pressed</t>
  </si>
  <si>
    <t xml:space="preserve">Wrapped by membrane - no band</t>
  </si>
  <si>
    <t xml:space="preserve">Membrane adhesive</t>
  </si>
  <si>
    <t xml:space="preserve">Sqft</t>
  </si>
  <si>
    <t xml:space="preserve">3. PU</t>
  </si>
  <si>
    <t xml:space="preserve">One side</t>
  </si>
  <si>
    <t xml:space="preserve">PU paint, 1 face</t>
  </si>
  <si>
    <t xml:space="preserve">Painted over - no band</t>
  </si>
  <si>
    <t xml:space="preserve">Primer / base / top coat</t>
  </si>
  <si>
    <t xml:space="preserve">Both sides</t>
  </si>
  <si>
    <t xml:space="preserve">PU paint, 2 faces</t>
  </si>
  <si>
    <t xml:space="preserve">Board type is a BRANCH in the BOM, not a finish attribute - it changes which raw item is consumed.</t>
  </si>
  <si>
    <t xml:space="preserve">Per-shutter-leaf BOM quantities</t>
  </si>
  <si>
    <t xml:space="preserve">Edit the yellow cells. Every Qty below is a live formula driven by them.</t>
  </si>
  <si>
    <t xml:space="preserve">Leaf Width (mm)</t>
  </si>
  <si>
    <t xml:space="preserve">Leaf Height (mm)</t>
  </si>
  <si>
    <t xml:space="preserve">Number of leaves</t>
  </si>
  <si>
    <t xml:space="preserve">Membrane oversize per edge (mm)</t>
  </si>
  <si>
    <t xml:space="preserve">Sheet constant: mm2 per sqft</t>
  </si>
  <si>
    <t xml:space="preserve">Leaf area (sqft)</t>
  </si>
  <si>
    <t xml:space="preserve">Leaf perimeter (RMT)</t>
  </si>
  <si>
    <t xml:space="preserve">#</t>
  </si>
  <si>
    <t xml:space="preserve">Component</t>
  </si>
  <si>
    <t xml:space="preserve">Material spec</t>
  </si>
  <si>
    <t xml:space="preserve">Quantity formula</t>
  </si>
  <si>
    <t xml:space="preserve">Qty</t>
  </si>
  <si>
    <t xml:space="preserve">UoM</t>
  </si>
  <si>
    <t xml:space="preserve">Note</t>
  </si>
  <si>
    <t xml:space="preserve">Prelam board 18mm</t>
  </si>
  <si>
    <t xml:space="preserve">18mm BWP prelaminated ply</t>
  </si>
  <si>
    <t xml:space="preserve">area x leaves</t>
  </si>
  <si>
    <t xml:space="preserve">sqft</t>
  </si>
  <si>
    <t xml:space="preserve">2mm PVC, front edges</t>
  </si>
  <si>
    <t xml:space="preserve">perimeter x leaves</t>
  </si>
  <si>
    <t xml:space="preserve">Hot-melt / EVA</t>
  </si>
  <si>
    <t xml:space="preserve">Note reads '+ Glue (RMT)'</t>
  </si>
  <si>
    <t xml:space="preserve">Raw board 18mm</t>
  </si>
  <si>
    <t xml:space="preserve">18mm BWP plywood</t>
  </si>
  <si>
    <t xml:space="preserve">Laminate - outer face</t>
  </si>
  <si>
    <t xml:space="preserve">1.0mm decorative laminate</t>
  </si>
  <si>
    <t xml:space="preserve">Laminate - liner face</t>
  </si>
  <si>
    <t xml:space="preserve">0.8mm liner laminate</t>
  </si>
  <si>
    <t xml:space="preserve">Confirm: note says 'Laminates' plural</t>
  </si>
  <si>
    <t xml:space="preserve">Laminate adhesive</t>
  </si>
  <si>
    <t xml:space="preserve">Fevicol SH / SR998</t>
  </si>
  <si>
    <t xml:space="preserve">area x 2 faces x leaves</t>
  </si>
  <si>
    <t xml:space="preserve">Note reads '+ Glue (Sqft)'</t>
  </si>
  <si>
    <t xml:space="preserve">Membrane</t>
  </si>
  <si>
    <t xml:space="preserve">Prelam gives the inner face</t>
  </si>
  <si>
    <t xml:space="preserve">Membrane foil</t>
  </si>
  <si>
    <t xml:space="preserve">PVC membrane foil</t>
  </si>
  <si>
    <t xml:space="preserve">oversized area x leaves</t>
  </si>
  <si>
    <t xml:space="preserve">Includes press grip allowance</t>
  </si>
  <si>
    <t xml:space="preserve">Membrane / PUR adhesive</t>
  </si>
  <si>
    <t xml:space="preserve">PU one side</t>
  </si>
  <si>
    <t xml:space="preserve">Prelam gives the unpainted inner face</t>
  </si>
  <si>
    <t xml:space="preserve">PU paint system</t>
  </si>
  <si>
    <t xml:space="preserve">Primer + base + top, 1 face</t>
  </si>
  <si>
    <t xml:space="preserve">area x 1 face x leaves</t>
  </si>
  <si>
    <t xml:space="preserve">PU both sides</t>
  </si>
  <si>
    <t xml:space="preserve">Primer + base + top, 2 faces</t>
  </si>
  <si>
    <t xml:space="preserve">What I inferred - please confirm or correct</t>
  </si>
  <si>
    <t xml:space="preserve">Topic</t>
  </si>
  <si>
    <t xml:space="preserve">What the note shows</t>
  </si>
  <si>
    <t xml:space="preserve">What I assumed</t>
  </si>
  <si>
    <t xml:space="preserve">Need from you</t>
  </si>
  <si>
    <t xml:space="preserve">Edge banding</t>
  </si>
  <si>
    <t xml:space="preserve">Edgeband listed ONLY under 1. Laminated</t>
  </si>
  <si>
    <t xml:space="preserve">Membrane wraps its own edges; PU is painted over the edge - neither gets a band</t>
  </si>
  <si>
    <t xml:space="preserve">Confirm no edge banding on Membrane and PU</t>
  </si>
  <si>
    <t xml:space="preserve">Post-lam laminates</t>
  </si>
  <si>
    <t xml:space="preserve">'(Raw Board + Laminates)' - plural</t>
  </si>
  <si>
    <t xml:space="preserve">Two laminates: 1mm decorative outer + 0.8mm liner inner</t>
  </si>
  <si>
    <t xml:space="preserve">Confirm both, and the thicknesses</t>
  </si>
  <si>
    <t xml:space="preserve">Glue split</t>
  </si>
  <si>
    <t xml:space="preserve">'+Glue (RMT)' on prelam, '+Glue (Sqft)' on post-lam</t>
  </si>
  <si>
    <t xml:space="preserve">RMT = edgeband adhesive; Sqft = laminate pasting adhesive. Two separate lines</t>
  </si>
  <si>
    <t xml:space="preserve">Confirm - and whether prelam also needs a sqft glue</t>
  </si>
  <si>
    <t xml:space="preserve">PU one side board</t>
  </si>
  <si>
    <t xml:space="preserve">'Prelam' written above 'Board'</t>
  </si>
  <si>
    <t xml:space="preserve">PU one-side uses a PRELAM board so the inner face needs no paint</t>
  </si>
  <si>
    <t xml:space="preserve">Confirm</t>
  </si>
  <si>
    <t xml:space="preserve">Laminate adhesive qty</t>
  </si>
  <si>
    <t xml:space="preserve">Not specified</t>
  </si>
  <si>
    <t xml:space="preserve">2 x leaf area for post-lam (both faces get glued)</t>
  </si>
  <si>
    <t xml:space="preserve">Confirm, and give a coverage rate if you have one (e.g. gm/sqft)</t>
  </si>
  <si>
    <t xml:space="preserve">Membrane oversize</t>
  </si>
  <si>
    <t xml:space="preserve">+50mm each edge for the press grip</t>
  </si>
  <si>
    <t xml:space="preserve">Confirm the allowance your vendor needs</t>
  </si>
  <si>
    <t xml:space="preserve">PU paint consumption</t>
  </si>
  <si>
    <t xml:space="preserve">Charged per sqft per face</t>
  </si>
  <si>
    <t xml:space="preserve">Give litres or kg per sqft if you cost it that way</t>
  </si>
  <si>
    <t xml:space="preserve">Carcass vs shutter</t>
  </si>
  <si>
    <t xml:space="preserve">Note covers shutters only</t>
  </si>
  <si>
    <t xml:space="preserve">Carcass stays 18mm BWP + 6mm ply back regardless of shutter type</t>
  </si>
  <si>
    <t xml:space="preserve">Confirm the carcass is independent of shutter type</t>
  </si>
  <si>
    <t xml:space="preserve">Missing type</t>
  </si>
  <si>
    <t xml:space="preserve">No glass or open-frame shutter listed</t>
  </si>
  <si>
    <t xml:space="preserve">Glass families (WGL/SHFG/LGL) still need a shutter definition</t>
  </si>
  <si>
    <t xml:space="preserve">Tell me how glass doors are built in wood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</si>
</sst>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A17"/>
      <name val="Arial"/>
      <family val="0"/>
      <charset val="1"/>
    </font>
    <font>
      <i val="true"/>
      <sz val="9"/>
      <color rgb="FF7A72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8521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C1A1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5D6B"/>
        <bgColor rgb="FF008080"/>
      </patternFill>
    </fill>
    <fill>
      <patternFill patternType="solid">
        <fgColor rgb="FFEAF1F5"/>
        <bgColor rgb="FFF3EFF5"/>
      </patternFill>
    </fill>
    <fill>
      <patternFill patternType="solid">
        <fgColor rgb="FFF0EEE8"/>
        <bgColor rgb="FFF2F0EB"/>
      </patternFill>
    </fill>
    <fill>
      <patternFill patternType="solid">
        <fgColor rgb="FFF3EFF5"/>
        <bgColor rgb="FFF2F0EB"/>
      </patternFill>
    </fill>
    <fill>
      <patternFill patternType="solid">
        <fgColor rgb="FFFFFF00"/>
        <bgColor rgb="FFFFFF00"/>
      </patternFill>
    </fill>
    <fill>
      <patternFill patternType="solid">
        <fgColor rgb="FFF2F0EB"/>
        <bgColor rgb="FFF0EEE8"/>
      </patternFill>
    </fill>
    <fill>
      <patternFill patternType="solid">
        <fgColor rgb="FFFFF2CC"/>
        <bgColor rgb="FFF2F0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EA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B"/>
      <rgbColor rgb="FFF0EEE8"/>
      <rgbColor rgb="FFF3EF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7.75" hidden="false" customHeight="true" outlineLevel="0" collapsed="false">
      <c r="A5" s="4" t="s">
        <v>9</v>
      </c>
      <c r="B5" s="4" t="s">
        <v>10</v>
      </c>
      <c r="C5" s="5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customFormat="false" ht="27.75" hidden="false" customHeight="true" outlineLevel="0" collapsed="false">
      <c r="A6" s="4" t="s">
        <v>9</v>
      </c>
      <c r="B6" s="4" t="s">
        <v>16</v>
      </c>
      <c r="C6" s="6" t="s">
        <v>17</v>
      </c>
      <c r="D6" s="4" t="s">
        <v>18</v>
      </c>
      <c r="E6" s="4" t="s">
        <v>13</v>
      </c>
      <c r="F6" s="4" t="s">
        <v>19</v>
      </c>
      <c r="G6" s="5" t="s">
        <v>20</v>
      </c>
    </row>
    <row r="7" customFormat="false" ht="27.75" hidden="false" customHeight="true" outlineLevel="0" collapsed="false">
      <c r="A7" s="7" t="s">
        <v>21</v>
      </c>
      <c r="B7" s="7" t="s">
        <v>22</v>
      </c>
      <c r="C7" s="8" t="s">
        <v>11</v>
      </c>
      <c r="D7" s="7" t="s">
        <v>23</v>
      </c>
      <c r="E7" s="7" t="s">
        <v>24</v>
      </c>
      <c r="F7" s="7" t="s">
        <v>25</v>
      </c>
      <c r="G7" s="8" t="s">
        <v>26</v>
      </c>
    </row>
    <row r="8" customFormat="false" ht="27.75" hidden="false" customHeight="true" outlineLevel="0" collapsed="false">
      <c r="A8" s="9" t="s">
        <v>27</v>
      </c>
      <c r="B8" s="9" t="s">
        <v>28</v>
      </c>
      <c r="C8" s="10" t="s">
        <v>11</v>
      </c>
      <c r="D8" s="9" t="s">
        <v>29</v>
      </c>
      <c r="E8" s="9" t="s">
        <v>30</v>
      </c>
      <c r="F8" s="9" t="s">
        <v>31</v>
      </c>
      <c r="G8" s="10" t="s">
        <v>26</v>
      </c>
    </row>
    <row r="9" customFormat="false" ht="27.75" hidden="false" customHeight="true" outlineLevel="0" collapsed="false">
      <c r="A9" s="9" t="s">
        <v>27</v>
      </c>
      <c r="B9" s="9" t="s">
        <v>32</v>
      </c>
      <c r="C9" s="11" t="s">
        <v>17</v>
      </c>
      <c r="D9" s="9" t="s">
        <v>33</v>
      </c>
      <c r="E9" s="9" t="s">
        <v>30</v>
      </c>
      <c r="F9" s="9" t="s">
        <v>31</v>
      </c>
      <c r="G9" s="10" t="s">
        <v>26</v>
      </c>
    </row>
    <row r="11" customFormat="false" ht="15" hidden="false" customHeight="false" outlineLevel="0" collapsed="false">
      <c r="A11" s="1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3" t="s">
        <v>37</v>
      </c>
      <c r="B4" s="14" t="n">
        <v>600</v>
      </c>
    </row>
    <row r="5" customFormat="false" ht="15" hidden="false" customHeight="false" outlineLevel="0" collapsed="false">
      <c r="A5" s="13" t="s">
        <v>38</v>
      </c>
      <c r="B5" s="14" t="n">
        <v>720</v>
      </c>
    </row>
    <row r="6" customFormat="false" ht="15" hidden="false" customHeight="false" outlineLevel="0" collapsed="false">
      <c r="A6" s="13" t="s">
        <v>39</v>
      </c>
      <c r="B6" s="14" t="n">
        <v>1</v>
      </c>
    </row>
    <row r="7" customFormat="false" ht="15" hidden="false" customHeight="false" outlineLevel="0" collapsed="false">
      <c r="A7" s="13" t="s">
        <v>40</v>
      </c>
      <c r="B7" s="14" t="n">
        <v>50</v>
      </c>
    </row>
    <row r="8" customFormat="false" ht="15" hidden="false" customHeight="false" outlineLevel="0" collapsed="false">
      <c r="A8" s="13" t="s">
        <v>41</v>
      </c>
      <c r="B8" s="15" t="n">
        <v>92903.04</v>
      </c>
    </row>
    <row r="10" customFormat="false" ht="15" hidden="false" customHeight="false" outlineLevel="0" collapsed="false">
      <c r="A10" s="13" t="s">
        <v>42</v>
      </c>
      <c r="B10" s="16" t="n">
        <f aca="false">$B$4*$B$5/$B$8</f>
        <v>4.6500093000186</v>
      </c>
    </row>
    <row r="11" customFormat="false" ht="15" hidden="false" customHeight="false" outlineLevel="0" collapsed="false">
      <c r="A11" s="13" t="s">
        <v>43</v>
      </c>
      <c r="B11" s="16" t="n">
        <f aca="false">2*($B$4+$B$5)/1000</f>
        <v>2.64</v>
      </c>
    </row>
    <row r="13" customFormat="false" ht="30" hidden="false" customHeight="true" outlineLevel="0" collapsed="false">
      <c r="A13" s="3" t="s">
        <v>3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49</v>
      </c>
      <c r="H13" s="3" t="s">
        <v>50</v>
      </c>
    </row>
    <row r="14" customFormat="false" ht="15" hidden="false" customHeight="false" outlineLevel="0" collapsed="false">
      <c r="A14" s="17" t="s">
        <v>10</v>
      </c>
      <c r="B14" s="18" t="n">
        <v>1</v>
      </c>
      <c r="C14" s="19" t="s">
        <v>51</v>
      </c>
      <c r="D14" s="19" t="s">
        <v>52</v>
      </c>
      <c r="E14" s="19" t="s">
        <v>53</v>
      </c>
      <c r="F14" s="20" t="n">
        <f aca="false">$B$10*$B$6</f>
        <v>4.6500093000186</v>
      </c>
      <c r="G14" s="18" t="s">
        <v>54</v>
      </c>
      <c r="H14" s="4"/>
    </row>
    <row r="15" customFormat="false" ht="15" hidden="false" customHeight="false" outlineLevel="0" collapsed="false">
      <c r="A15" s="17"/>
      <c r="B15" s="18" t="n">
        <v>2</v>
      </c>
      <c r="C15" s="19" t="s">
        <v>13</v>
      </c>
      <c r="D15" s="19" t="s">
        <v>55</v>
      </c>
      <c r="E15" s="19" t="s">
        <v>56</v>
      </c>
      <c r="F15" s="20" t="n">
        <f aca="false">$B$11*$B$6</f>
        <v>2.64</v>
      </c>
      <c r="G15" s="18" t="s">
        <v>15</v>
      </c>
      <c r="H15" s="4"/>
    </row>
    <row r="16" customFormat="false" ht="15" hidden="false" customHeight="false" outlineLevel="0" collapsed="false">
      <c r="A16" s="17"/>
      <c r="B16" s="18" t="n">
        <v>3</v>
      </c>
      <c r="C16" s="19" t="s">
        <v>14</v>
      </c>
      <c r="D16" s="19" t="s">
        <v>57</v>
      </c>
      <c r="E16" s="19" t="s">
        <v>56</v>
      </c>
      <c r="F16" s="20" t="n">
        <f aca="false">$B$11*$B$6</f>
        <v>2.64</v>
      </c>
      <c r="G16" s="18" t="s">
        <v>15</v>
      </c>
      <c r="H16" s="21" t="s">
        <v>58</v>
      </c>
    </row>
    <row r="17" customFormat="false" ht="15" hidden="false" customHeight="false" outlineLevel="0" collapsed="false">
      <c r="A17" s="17" t="s">
        <v>16</v>
      </c>
      <c r="B17" s="18" t="n">
        <v>1</v>
      </c>
      <c r="C17" s="19" t="s">
        <v>59</v>
      </c>
      <c r="D17" s="19" t="s">
        <v>60</v>
      </c>
      <c r="E17" s="19" t="s">
        <v>53</v>
      </c>
      <c r="F17" s="20" t="n">
        <f aca="false">$B$10*$B$6</f>
        <v>4.6500093000186</v>
      </c>
      <c r="G17" s="18" t="s">
        <v>54</v>
      </c>
      <c r="H17" s="4"/>
    </row>
    <row r="18" customFormat="false" ht="15" hidden="false" customHeight="false" outlineLevel="0" collapsed="false">
      <c r="A18" s="17"/>
      <c r="B18" s="18" t="n">
        <v>2</v>
      </c>
      <c r="C18" s="19" t="s">
        <v>61</v>
      </c>
      <c r="D18" s="19" t="s">
        <v>62</v>
      </c>
      <c r="E18" s="19" t="s">
        <v>53</v>
      </c>
      <c r="F18" s="20" t="n">
        <f aca="false">$B$10*$B$6</f>
        <v>4.6500093000186</v>
      </c>
      <c r="G18" s="18" t="s">
        <v>54</v>
      </c>
      <c r="H18" s="4"/>
    </row>
    <row r="19" customFormat="false" ht="15" hidden="false" customHeight="false" outlineLevel="0" collapsed="false">
      <c r="A19" s="17"/>
      <c r="B19" s="18" t="n">
        <v>3</v>
      </c>
      <c r="C19" s="19" t="s">
        <v>63</v>
      </c>
      <c r="D19" s="19" t="s">
        <v>64</v>
      </c>
      <c r="E19" s="19" t="s">
        <v>53</v>
      </c>
      <c r="F19" s="20" t="n">
        <f aca="false">$B$10*$B$6</f>
        <v>4.6500093000186</v>
      </c>
      <c r="G19" s="18" t="s">
        <v>54</v>
      </c>
      <c r="H19" s="21" t="s">
        <v>65</v>
      </c>
    </row>
    <row r="20" customFormat="false" ht="15" hidden="false" customHeight="false" outlineLevel="0" collapsed="false">
      <c r="A20" s="17"/>
      <c r="B20" s="18" t="n">
        <v>4</v>
      </c>
      <c r="C20" s="19" t="s">
        <v>66</v>
      </c>
      <c r="D20" s="19" t="s">
        <v>67</v>
      </c>
      <c r="E20" s="19" t="s">
        <v>68</v>
      </c>
      <c r="F20" s="20" t="n">
        <f aca="false">$B$10*2*$B$6</f>
        <v>9.3000186000372</v>
      </c>
      <c r="G20" s="18" t="s">
        <v>54</v>
      </c>
      <c r="H20" s="21" t="s">
        <v>69</v>
      </c>
    </row>
    <row r="21" customFormat="false" ht="15" hidden="false" customHeight="false" outlineLevel="0" collapsed="false">
      <c r="A21" s="17"/>
      <c r="B21" s="18" t="n">
        <v>5</v>
      </c>
      <c r="C21" s="19" t="s">
        <v>13</v>
      </c>
      <c r="D21" s="19" t="s">
        <v>55</v>
      </c>
      <c r="E21" s="19" t="s">
        <v>56</v>
      </c>
      <c r="F21" s="20" t="n">
        <f aca="false">$B$11*$B$6</f>
        <v>2.64</v>
      </c>
      <c r="G21" s="18" t="s">
        <v>15</v>
      </c>
      <c r="H21" s="4"/>
    </row>
    <row r="22" customFormat="false" ht="15" hidden="false" customHeight="false" outlineLevel="0" collapsed="false">
      <c r="A22" s="17"/>
      <c r="B22" s="18" t="n">
        <v>6</v>
      </c>
      <c r="C22" s="19" t="s">
        <v>14</v>
      </c>
      <c r="D22" s="19" t="s">
        <v>57</v>
      </c>
      <c r="E22" s="19" t="s">
        <v>56</v>
      </c>
      <c r="F22" s="20" t="n">
        <f aca="false">$B$11*$B$6</f>
        <v>2.64</v>
      </c>
      <c r="G22" s="18" t="s">
        <v>15</v>
      </c>
      <c r="H22" s="4"/>
    </row>
    <row r="23" customFormat="false" ht="15" hidden="false" customHeight="false" outlineLevel="0" collapsed="false">
      <c r="A23" s="22" t="s">
        <v>70</v>
      </c>
      <c r="B23" s="23" t="n">
        <v>1</v>
      </c>
      <c r="C23" s="24" t="s">
        <v>51</v>
      </c>
      <c r="D23" s="24" t="s">
        <v>52</v>
      </c>
      <c r="E23" s="24" t="s">
        <v>53</v>
      </c>
      <c r="F23" s="25" t="n">
        <f aca="false">$B$10*$B$6</f>
        <v>4.6500093000186</v>
      </c>
      <c r="G23" s="23" t="s">
        <v>54</v>
      </c>
      <c r="H23" s="21" t="s">
        <v>71</v>
      </c>
    </row>
    <row r="24" customFormat="false" ht="15" hidden="false" customHeight="false" outlineLevel="0" collapsed="false">
      <c r="A24" s="22"/>
      <c r="B24" s="23" t="n">
        <v>2</v>
      </c>
      <c r="C24" s="24" t="s">
        <v>72</v>
      </c>
      <c r="D24" s="24" t="s">
        <v>73</v>
      </c>
      <c r="E24" s="24" t="s">
        <v>74</v>
      </c>
      <c r="F24" s="25" t="n">
        <f aca="false">($B$4+2*$B$7)*($B$5+2*$B$7)/$B$8*$B$6</f>
        <v>6.17848457919138</v>
      </c>
      <c r="G24" s="23" t="s">
        <v>54</v>
      </c>
      <c r="H24" s="21" t="s">
        <v>75</v>
      </c>
    </row>
    <row r="25" customFormat="false" ht="15" hidden="false" customHeight="false" outlineLevel="0" collapsed="false">
      <c r="A25" s="22"/>
      <c r="B25" s="23" t="n">
        <v>3</v>
      </c>
      <c r="C25" s="24" t="s">
        <v>25</v>
      </c>
      <c r="D25" s="24" t="s">
        <v>76</v>
      </c>
      <c r="E25" s="24" t="s">
        <v>53</v>
      </c>
      <c r="F25" s="25" t="n">
        <f aca="false">$B$10*$B$6</f>
        <v>4.6500093000186</v>
      </c>
      <c r="G25" s="23" t="s">
        <v>54</v>
      </c>
      <c r="H25" s="7"/>
    </row>
    <row r="26" customFormat="false" ht="15" hidden="false" customHeight="false" outlineLevel="0" collapsed="false">
      <c r="A26" s="26" t="s">
        <v>77</v>
      </c>
      <c r="B26" s="27" t="n">
        <v>1</v>
      </c>
      <c r="C26" s="28" t="s">
        <v>51</v>
      </c>
      <c r="D26" s="28" t="s">
        <v>52</v>
      </c>
      <c r="E26" s="28" t="s">
        <v>53</v>
      </c>
      <c r="F26" s="29" t="n">
        <f aca="false">$B$10*$B$6</f>
        <v>4.6500093000186</v>
      </c>
      <c r="G26" s="27" t="s">
        <v>54</v>
      </c>
      <c r="H26" s="21" t="s">
        <v>78</v>
      </c>
    </row>
    <row r="27" customFormat="false" ht="15" hidden="false" customHeight="false" outlineLevel="0" collapsed="false">
      <c r="A27" s="26"/>
      <c r="B27" s="27" t="n">
        <v>2</v>
      </c>
      <c r="C27" s="28" t="s">
        <v>79</v>
      </c>
      <c r="D27" s="28" t="s">
        <v>80</v>
      </c>
      <c r="E27" s="28" t="s">
        <v>81</v>
      </c>
      <c r="F27" s="29" t="n">
        <f aca="false">$B$10*$B$6</f>
        <v>4.6500093000186</v>
      </c>
      <c r="G27" s="27" t="s">
        <v>54</v>
      </c>
      <c r="H27" s="9"/>
    </row>
    <row r="28" customFormat="false" ht="15" hidden="false" customHeight="false" outlineLevel="0" collapsed="false">
      <c r="A28" s="26" t="s">
        <v>82</v>
      </c>
      <c r="B28" s="27" t="n">
        <v>1</v>
      </c>
      <c r="C28" s="28" t="s">
        <v>59</v>
      </c>
      <c r="D28" s="28" t="s">
        <v>60</v>
      </c>
      <c r="E28" s="28" t="s">
        <v>53</v>
      </c>
      <c r="F28" s="29" t="n">
        <f aca="false">$B$10*$B$6</f>
        <v>4.6500093000186</v>
      </c>
      <c r="G28" s="27" t="s">
        <v>54</v>
      </c>
      <c r="H28" s="9"/>
    </row>
    <row r="29" customFormat="false" ht="15" hidden="false" customHeight="false" outlineLevel="0" collapsed="false">
      <c r="A29" s="26"/>
      <c r="B29" s="27" t="n">
        <v>2</v>
      </c>
      <c r="C29" s="28" t="s">
        <v>79</v>
      </c>
      <c r="D29" s="28" t="s">
        <v>83</v>
      </c>
      <c r="E29" s="28" t="s">
        <v>68</v>
      </c>
      <c r="F29" s="29" t="n">
        <f aca="false">$B$10*2*$B$6</f>
        <v>9.3000186000372</v>
      </c>
      <c r="G29" s="27" t="s">
        <v>54</v>
      </c>
      <c r="H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30" t="s">
        <v>84</v>
      </c>
    </row>
    <row r="3" customFormat="false" ht="30" hidden="false" customHeight="true" outlineLevel="0" collapsed="false">
      <c r="A3" s="3" t="s">
        <v>44</v>
      </c>
      <c r="B3" s="3" t="s">
        <v>85</v>
      </c>
      <c r="C3" s="3" t="s">
        <v>86</v>
      </c>
      <c r="D3" s="3" t="s">
        <v>87</v>
      </c>
      <c r="E3" s="3" t="s">
        <v>88</v>
      </c>
    </row>
    <row r="4" customFormat="false" ht="31.5" hidden="false" customHeight="true" outlineLevel="0" collapsed="false">
      <c r="A4" s="31" t="n">
        <v>1</v>
      </c>
      <c r="B4" s="32" t="s">
        <v>89</v>
      </c>
      <c r="C4" s="32" t="s">
        <v>90</v>
      </c>
      <c r="D4" s="32" t="s">
        <v>91</v>
      </c>
      <c r="E4" s="33" t="s">
        <v>92</v>
      </c>
    </row>
    <row r="5" customFormat="false" ht="31.5" hidden="false" customHeight="true" outlineLevel="0" collapsed="false">
      <c r="A5" s="31" t="n">
        <v>2</v>
      </c>
      <c r="B5" s="32" t="s">
        <v>93</v>
      </c>
      <c r="C5" s="32" t="s">
        <v>94</v>
      </c>
      <c r="D5" s="32" t="s">
        <v>95</v>
      </c>
      <c r="E5" s="33" t="s">
        <v>96</v>
      </c>
    </row>
    <row r="6" customFormat="false" ht="31.5" hidden="false" customHeight="true" outlineLevel="0" collapsed="false">
      <c r="A6" s="31" t="n">
        <v>3</v>
      </c>
      <c r="B6" s="32" t="s">
        <v>97</v>
      </c>
      <c r="C6" s="32" t="s">
        <v>98</v>
      </c>
      <c r="D6" s="32" t="s">
        <v>99</v>
      </c>
      <c r="E6" s="33" t="s">
        <v>100</v>
      </c>
    </row>
    <row r="7" customFormat="false" ht="31.5" hidden="false" customHeight="true" outlineLevel="0" collapsed="false">
      <c r="A7" s="31" t="n">
        <v>4</v>
      </c>
      <c r="B7" s="32" t="s">
        <v>101</v>
      </c>
      <c r="C7" s="32" t="s">
        <v>102</v>
      </c>
      <c r="D7" s="32" t="s">
        <v>103</v>
      </c>
      <c r="E7" s="33" t="s">
        <v>104</v>
      </c>
    </row>
    <row r="8" customFormat="false" ht="31.5" hidden="false" customHeight="true" outlineLevel="0" collapsed="false">
      <c r="A8" s="31" t="n">
        <v>5</v>
      </c>
      <c r="B8" s="32" t="s">
        <v>105</v>
      </c>
      <c r="C8" s="32" t="s">
        <v>106</v>
      </c>
      <c r="D8" s="32" t="s">
        <v>107</v>
      </c>
      <c r="E8" s="33" t="s">
        <v>108</v>
      </c>
    </row>
    <row r="9" customFormat="false" ht="31.5" hidden="false" customHeight="true" outlineLevel="0" collapsed="false">
      <c r="A9" s="31" t="n">
        <v>6</v>
      </c>
      <c r="B9" s="32" t="s">
        <v>109</v>
      </c>
      <c r="C9" s="32" t="s">
        <v>106</v>
      </c>
      <c r="D9" s="32" t="s">
        <v>110</v>
      </c>
      <c r="E9" s="33" t="s">
        <v>111</v>
      </c>
    </row>
    <row r="10" customFormat="false" ht="31.5" hidden="false" customHeight="true" outlineLevel="0" collapsed="false">
      <c r="A10" s="31" t="n">
        <v>7</v>
      </c>
      <c r="B10" s="32" t="s">
        <v>112</v>
      </c>
      <c r="C10" s="32" t="s">
        <v>106</v>
      </c>
      <c r="D10" s="32" t="s">
        <v>113</v>
      </c>
      <c r="E10" s="33" t="s">
        <v>114</v>
      </c>
    </row>
    <row r="11" customFormat="false" ht="31.5" hidden="false" customHeight="true" outlineLevel="0" collapsed="false">
      <c r="A11" s="31" t="n">
        <v>8</v>
      </c>
      <c r="B11" s="32" t="s">
        <v>115</v>
      </c>
      <c r="C11" s="32" t="s">
        <v>116</v>
      </c>
      <c r="D11" s="32" t="s">
        <v>117</v>
      </c>
      <c r="E11" s="33" t="s">
        <v>118</v>
      </c>
    </row>
    <row r="12" customFormat="false" ht="31.5" hidden="false" customHeight="true" outlineLevel="0" collapsed="false">
      <c r="A12" s="31" t="n">
        <v>9</v>
      </c>
      <c r="B12" s="32" t="s">
        <v>119</v>
      </c>
      <c r="C12" s="32" t="s">
        <v>120</v>
      </c>
      <c r="D12" s="32" t="s">
        <v>121</v>
      </c>
      <c r="E12" s="3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2026-09-02T10:10:50Z</dcterms:created>
  <dc:creator>openpyxl</dc:creator>
  <dc:description/>
  <dc:language>en-US</dc:language>
  <cp:lastModifiedBy/>
  <dcterms:modified xsi:type="dcterms:W3CDTF">2026-09-02T10:10:51Z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